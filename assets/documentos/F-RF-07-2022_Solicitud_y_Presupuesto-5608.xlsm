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28800" windowHeight="11730" tabRatio="601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8"/>
  <definedNames>
    <definedName name="_xlnm._FilterDatabase" localSheetId="3" hidden="1">partida!$B$1:$C$1</definedName>
    <definedName name="_xlnm.Print_Area" localSheetId="1">VIÁTICOS!$A$1:$F$25</definedName>
    <definedName name="CONCEPTO">GRC!$A$49:$A$57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5" l="1"/>
  <c r="D55" i="20"/>
  <c r="D51" i="20"/>
  <c r="B21" i="25"/>
  <c r="D52" i="20"/>
  <c r="D49" i="20"/>
  <c r="D56" i="20"/>
  <c r="D54" i="20"/>
  <c r="D53" i="20"/>
  <c r="D50" i="20"/>
  <c r="C40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17" i="20"/>
  <c r="D57" i="20"/>
  <c r="C62" i="22" l="1"/>
  <c r="C23" i="22"/>
  <c r="B5" i="22"/>
  <c r="B145" i="22"/>
  <c r="C172" i="22"/>
  <c r="B113" i="22"/>
  <c r="C6" i="22"/>
  <c r="C85" i="22"/>
  <c r="C148" i="22"/>
  <c r="B169" i="22"/>
  <c r="B165" i="22"/>
  <c r="B46" i="22"/>
  <c r="B179" i="22"/>
  <c r="B195" i="22"/>
  <c r="B72" i="22"/>
  <c r="B180" i="22"/>
  <c r="B77" i="22"/>
  <c r="C232" i="22"/>
  <c r="C78" i="22"/>
  <c r="B239" i="22"/>
  <c r="C248" i="22"/>
  <c r="B15" i="22"/>
  <c r="C124" i="22"/>
  <c r="B6" i="22"/>
  <c r="C61" i="22"/>
  <c r="B103" i="22"/>
  <c r="C73" i="22"/>
  <c r="C90" i="22"/>
  <c r="C109" i="22"/>
  <c r="B158" i="22"/>
  <c r="B114" i="22"/>
  <c r="B215" i="22"/>
  <c r="B37" i="22"/>
  <c r="C68" i="22"/>
  <c r="C145" i="22"/>
  <c r="C186" i="22"/>
  <c r="C228" i="22"/>
  <c r="B73" i="22"/>
  <c r="C176" i="22"/>
  <c r="B56" i="22"/>
  <c r="B50" i="22"/>
  <c r="C219" i="22"/>
  <c r="B183" i="22"/>
  <c r="C210" i="22"/>
  <c r="B178" i="22"/>
  <c r="C57" i="22"/>
  <c r="C175" i="22"/>
  <c r="B157" i="22"/>
  <c r="C233" i="22"/>
  <c r="B117" i="22"/>
  <c r="C144" i="22"/>
  <c r="B235" i="22"/>
  <c r="B243" i="22"/>
  <c r="B187" i="22"/>
  <c r="B18" i="22"/>
  <c r="C205" i="22"/>
  <c r="B70" i="22"/>
  <c r="C181" i="22"/>
  <c r="C217" i="22"/>
  <c r="B236" i="22"/>
  <c r="B8" i="22"/>
  <c r="C225" i="22"/>
  <c r="B82" i="22"/>
  <c r="B154" i="22"/>
  <c r="C75" i="22"/>
  <c r="C137" i="22"/>
  <c r="B146" i="22"/>
  <c r="B87" i="22"/>
  <c r="C67" i="22"/>
  <c r="B193" i="22"/>
  <c r="C224" i="22"/>
  <c r="B131" i="22"/>
  <c r="B91" i="22"/>
  <c r="C183" i="22"/>
  <c r="B234" i="22"/>
  <c r="C244" i="22"/>
  <c r="C229" i="22"/>
  <c r="B227" i="22"/>
  <c r="B41" i="22"/>
  <c r="C223" i="22"/>
  <c r="C76" i="22"/>
  <c r="C212" i="22"/>
  <c r="C44" i="22"/>
  <c r="C157" i="22"/>
  <c r="C112" i="22"/>
  <c r="B65" i="22"/>
  <c r="B205" i="22"/>
  <c r="C246" i="22"/>
  <c r="B232" i="22"/>
  <c r="B108" i="22"/>
  <c r="B9" i="22"/>
  <c r="C133" i="22"/>
  <c r="C95" i="22"/>
  <c r="B155" i="22"/>
  <c r="B26" i="22"/>
  <c r="B163" i="22"/>
  <c r="C118" i="22"/>
  <c r="B100" i="22"/>
  <c r="B94" i="22"/>
  <c r="B224" i="22"/>
  <c r="C93" i="22"/>
  <c r="B207" i="22"/>
  <c r="B166" i="22"/>
  <c r="C197" i="22"/>
  <c r="B156" i="22"/>
  <c r="C199" i="22"/>
  <c r="B246" i="22"/>
  <c r="B66" i="22"/>
  <c r="C160" i="22"/>
  <c r="C89" i="22"/>
  <c r="C130" i="22"/>
  <c r="B42" i="22"/>
  <c r="C15" i="22"/>
  <c r="C191" i="22"/>
  <c r="C122" i="22"/>
  <c r="C236" i="22"/>
  <c r="C230" i="22"/>
  <c r="C128" i="22"/>
  <c r="B96" i="22"/>
  <c r="B170" i="22"/>
  <c r="C79" i="22"/>
  <c r="C211" i="22"/>
  <c r="C77" i="22"/>
  <c r="C111" i="22"/>
  <c r="C153" i="22"/>
  <c r="C104" i="22"/>
  <c r="B186" i="22"/>
  <c r="C174" i="22"/>
  <c r="B34" i="22"/>
  <c r="C84" i="22"/>
  <c r="C110" i="22"/>
  <c r="B40" i="22"/>
  <c r="B149" i="22"/>
  <c r="C177" i="22"/>
  <c r="B139" i="22"/>
  <c r="B161" i="22"/>
  <c r="C41" i="22"/>
  <c r="B226" i="22"/>
  <c r="C105" i="22"/>
  <c r="B212" i="22"/>
  <c r="B53" i="22"/>
  <c r="B200" i="22"/>
  <c r="B201" i="22"/>
  <c r="B105" i="22"/>
  <c r="B162" i="22"/>
  <c r="B237" i="22"/>
  <c r="C151" i="22"/>
  <c r="C45" i="22"/>
  <c r="C56" i="22"/>
  <c r="B197" i="22"/>
  <c r="B33" i="22"/>
  <c r="B206" i="22"/>
  <c r="B98" i="22"/>
  <c r="C179" i="22"/>
  <c r="B29" i="22"/>
  <c r="B102" i="22"/>
  <c r="B173" i="22"/>
  <c r="B216" i="22"/>
  <c r="C159" i="22"/>
  <c r="B138" i="22"/>
  <c r="B225" i="22"/>
  <c r="B196" i="22"/>
  <c r="B71" i="22"/>
  <c r="B242" i="22"/>
  <c r="C71" i="22"/>
  <c r="C121" i="22"/>
  <c r="B69" i="22"/>
  <c r="B59" i="22"/>
  <c r="C48" i="22"/>
  <c r="B43" i="22"/>
  <c r="B122" i="22"/>
  <c r="B198" i="22"/>
  <c r="C190" i="22"/>
  <c r="B150" i="22"/>
  <c r="B55" i="22"/>
  <c r="C138" i="22"/>
  <c r="C120" i="22"/>
  <c r="C64" i="22"/>
  <c r="C116" i="22"/>
  <c r="B89" i="22"/>
  <c r="C36" i="22"/>
  <c r="C32" i="22"/>
  <c r="C115" i="22"/>
  <c r="C206" i="22"/>
  <c r="C43" i="22"/>
  <c r="C238" i="22"/>
  <c r="C65" i="22"/>
  <c r="C207" i="22"/>
  <c r="B7" i="22"/>
  <c r="B11" i="22"/>
  <c r="B159" i="22"/>
  <c r="B244" i="22"/>
  <c r="B210" i="22"/>
  <c r="B48" i="22"/>
  <c r="B221" i="22"/>
  <c r="B19" i="22"/>
  <c r="C234" i="22"/>
  <c r="C86" i="22"/>
  <c r="C169" i="22"/>
  <c r="B164" i="22"/>
  <c r="C92" i="22"/>
  <c r="C13" i="22"/>
  <c r="C26" i="22"/>
  <c r="C96" i="22"/>
  <c r="C106" i="22"/>
  <c r="B101" i="22"/>
  <c r="B188" i="22"/>
  <c r="B120" i="22"/>
  <c r="C7" i="22"/>
  <c r="B20" i="22"/>
  <c r="C152" i="22"/>
  <c r="B249" i="22"/>
  <c r="B83" i="22"/>
  <c r="B218" i="22"/>
  <c r="C194" i="22"/>
  <c r="B118" i="22"/>
  <c r="C19" i="22"/>
  <c r="B144" i="22"/>
  <c r="B247" i="22"/>
  <c r="C132" i="22"/>
  <c r="B125" i="22"/>
  <c r="C196" i="22"/>
  <c r="B184" i="22"/>
  <c r="C39" i="22"/>
  <c r="C216" i="22"/>
  <c r="C168" i="22"/>
  <c r="B189" i="22"/>
  <c r="C193" i="22"/>
  <c r="C119" i="22"/>
  <c r="C35" i="22"/>
  <c r="B85" i="22"/>
  <c r="B90" i="22"/>
  <c r="C17" i="22"/>
  <c r="B14" i="22"/>
  <c r="B137" i="22"/>
  <c r="B123" i="22"/>
  <c r="B213" i="22"/>
  <c r="B136" i="22"/>
  <c r="C178" i="22"/>
  <c r="C37" i="22"/>
  <c r="C18" i="22"/>
  <c r="B132" i="22"/>
  <c r="B140" i="22"/>
  <c r="C103" i="22"/>
  <c r="B153" i="22"/>
  <c r="B147" i="22"/>
  <c r="B97" i="22"/>
  <c r="C80" i="22"/>
  <c r="C113" i="22"/>
  <c r="C52" i="22"/>
  <c r="B109" i="22"/>
  <c r="B12" i="22"/>
  <c r="C226" i="22"/>
  <c r="C203" i="22"/>
  <c r="B211" i="22"/>
  <c r="C83" i="22"/>
  <c r="C171" i="22"/>
  <c r="C213" i="22"/>
  <c r="B223" i="22"/>
  <c r="C2" i="22"/>
  <c r="C38" i="22"/>
  <c r="C237" i="22"/>
  <c r="B126" i="22"/>
  <c r="C185" i="22"/>
  <c r="B152" i="22"/>
  <c r="C209" i="22"/>
  <c r="C239" i="22"/>
  <c r="C247" i="22"/>
  <c r="C227" i="22"/>
  <c r="C147" i="22"/>
  <c r="B22" i="22"/>
  <c r="C161" i="22"/>
  <c r="C114" i="22"/>
  <c r="C166" i="22"/>
  <c r="C127" i="22"/>
  <c r="C20" i="22"/>
  <c r="B60" i="22"/>
  <c r="B203" i="22"/>
  <c r="C98" i="22"/>
  <c r="B182" i="22"/>
  <c r="B39" i="22"/>
  <c r="B171" i="22"/>
  <c r="B74" i="22"/>
  <c r="B177" i="22"/>
  <c r="B67" i="22"/>
  <c r="C29" i="22"/>
  <c r="B228" i="22"/>
  <c r="C46" i="22"/>
  <c r="C63" i="22"/>
  <c r="C192" i="22"/>
  <c r="B30" i="22"/>
  <c r="C70" i="22"/>
  <c r="B129" i="22"/>
  <c r="C102" i="22"/>
  <c r="B110" i="22"/>
  <c r="C81" i="22"/>
  <c r="B64" i="22"/>
  <c r="B51" i="22"/>
  <c r="B27" i="22"/>
  <c r="B174" i="22"/>
  <c r="B93" i="22"/>
  <c r="C184" i="22"/>
  <c r="C143" i="22"/>
  <c r="C162" i="22"/>
  <c r="B229" i="22"/>
  <c r="B219" i="22"/>
  <c r="C139" i="22"/>
  <c r="C88" i="22"/>
  <c r="C242" i="22"/>
  <c r="C201" i="22"/>
  <c r="B220" i="22"/>
  <c r="B4" i="22"/>
  <c r="B35" i="22"/>
  <c r="C231" i="22"/>
  <c r="B45" i="22"/>
  <c r="B134" i="22"/>
  <c r="C131" i="22"/>
  <c r="B95" i="22"/>
  <c r="B28" i="22"/>
  <c r="B13" i="22"/>
  <c r="C14" i="22"/>
  <c r="C165" i="22"/>
  <c r="C134" i="22"/>
  <c r="B248" i="22"/>
  <c r="C100" i="22"/>
  <c r="B88" i="22"/>
  <c r="C99" i="22"/>
  <c r="B10" i="22"/>
  <c r="C195" i="22"/>
  <c r="B168" i="22"/>
  <c r="C123" i="22"/>
  <c r="B75" i="22"/>
  <c r="C189" i="22"/>
  <c r="C74" i="22"/>
  <c r="B217" i="22"/>
  <c r="B3" i="22"/>
  <c r="C170" i="22"/>
  <c r="C141" i="22"/>
  <c r="C136" i="22"/>
  <c r="B142" i="22"/>
  <c r="C69" i="22"/>
  <c r="B175" i="22"/>
  <c r="C164" i="22"/>
  <c r="C163" i="22"/>
  <c r="C215" i="22"/>
  <c r="C16" i="22"/>
  <c r="B23" i="22"/>
  <c r="C208" i="22"/>
  <c r="C245" i="22"/>
  <c r="B240" i="22"/>
  <c r="B185" i="22"/>
  <c r="B241" i="22"/>
  <c r="C34" i="22"/>
  <c r="B44" i="22"/>
  <c r="C22" i="22"/>
  <c r="B92" i="22"/>
  <c r="B63" i="22"/>
  <c r="C218" i="22"/>
  <c r="C4" i="22"/>
  <c r="C47" i="22"/>
  <c r="B230" i="22"/>
  <c r="B79" i="22"/>
  <c r="B204" i="22"/>
  <c r="B133" i="22"/>
  <c r="C156" i="22"/>
  <c r="B191" i="22"/>
  <c r="C27" i="22"/>
  <c r="B58" i="22"/>
  <c r="B190" i="22"/>
  <c r="C24" i="22"/>
  <c r="C91" i="22"/>
  <c r="B119" i="22"/>
  <c r="B17" i="22"/>
  <c r="B81" i="22"/>
  <c r="C154" i="22"/>
  <c r="B172" i="22"/>
  <c r="C188" i="22"/>
  <c r="C28" i="22"/>
  <c r="C129" i="22"/>
  <c r="C54" i="22"/>
  <c r="B151" i="22"/>
  <c r="C202" i="22"/>
  <c r="B115" i="22"/>
  <c r="C200" i="22"/>
  <c r="C12" i="22"/>
  <c r="B124" i="22"/>
  <c r="B233" i="22"/>
  <c r="B214" i="22"/>
  <c r="B78" i="22"/>
  <c r="C97" i="22"/>
  <c r="C30" i="22"/>
  <c r="B112" i="22"/>
  <c r="C182" i="22"/>
  <c r="C42" i="22"/>
  <c r="C221" i="22"/>
  <c r="B21" i="22"/>
  <c r="C150" i="22"/>
  <c r="C25" i="22"/>
  <c r="C222" i="22"/>
  <c r="B121" i="22"/>
  <c r="B141" i="22"/>
  <c r="C180" i="22"/>
  <c r="B80" i="22"/>
  <c r="B128" i="22"/>
  <c r="B135" i="22"/>
  <c r="B176" i="22"/>
  <c r="C101" i="22"/>
  <c r="C158" i="22"/>
  <c r="B192" i="22"/>
  <c r="B130" i="22"/>
  <c r="C204" i="22"/>
  <c r="C155" i="22"/>
  <c r="C135" i="22"/>
  <c r="B127" i="22"/>
  <c r="B222" i="22"/>
  <c r="B202" i="22"/>
  <c r="C173" i="22"/>
  <c r="B181" i="22"/>
  <c r="B148" i="22"/>
  <c r="C240" i="22"/>
  <c r="B24" i="22"/>
  <c r="C58" i="22"/>
  <c r="C82" i="22"/>
  <c r="B238" i="22"/>
  <c r="B143" i="22"/>
  <c r="B32" i="22"/>
  <c r="C59" i="22"/>
  <c r="C66" i="22"/>
  <c r="C117" i="22"/>
  <c r="B209" i="22"/>
  <c r="B199" i="22"/>
  <c r="C142" i="22"/>
  <c r="B16" i="22"/>
  <c r="B160" i="22"/>
  <c r="B194" i="22"/>
  <c r="B52" i="22"/>
  <c r="B106" i="22"/>
  <c r="C108" i="22"/>
  <c r="C198" i="22"/>
  <c r="B57" i="22"/>
  <c r="C243" i="22"/>
  <c r="B231" i="22"/>
  <c r="B167" i="22"/>
  <c r="C8" i="22"/>
  <c r="C31" i="22"/>
  <c r="C249" i="22"/>
  <c r="B86" i="22"/>
  <c r="C187" i="22"/>
  <c r="C220" i="22"/>
  <c r="C53" i="22"/>
  <c r="C107" i="22"/>
  <c r="C94" i="22"/>
  <c r="C125" i="22"/>
  <c r="C51" i="22"/>
  <c r="C50" i="22"/>
  <c r="C146" i="22"/>
  <c r="C9" i="22"/>
  <c r="C55" i="22"/>
  <c r="C140" i="22"/>
  <c r="B84" i="22"/>
  <c r="C241" i="22"/>
  <c r="B116" i="22"/>
  <c r="B54" i="22"/>
  <c r="C11" i="22"/>
  <c r="B31" i="22"/>
  <c r="B38" i="22"/>
  <c r="B62" i="22"/>
  <c r="C214" i="22"/>
  <c r="B25" i="22"/>
  <c r="B61" i="22"/>
  <c r="B107" i="22"/>
  <c r="C72" i="22"/>
  <c r="C167" i="22"/>
  <c r="B76" i="22"/>
  <c r="C87" i="22"/>
  <c r="C10" i="22"/>
  <c r="B208" i="22"/>
  <c r="B68" i="22"/>
  <c r="B36" i="22"/>
  <c r="B49" i="22"/>
  <c r="B47" i="22"/>
  <c r="C126" i="22"/>
  <c r="B111" i="22"/>
  <c r="C49" i="22"/>
  <c r="B99" i="22"/>
  <c r="C5" i="22"/>
  <c r="C21" i="22"/>
  <c r="C33" i="22"/>
  <c r="B104" i="22"/>
  <c r="C3" i="22"/>
  <c r="C149" i="22"/>
  <c r="B245" i="22"/>
  <c r="C40" i="22"/>
  <c r="C235" i="22"/>
  <c r="C60" i="22"/>
  <c r="B2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<sst xmlns="http://schemas.openxmlformats.org/spreadsheetml/2006/main" count="1679" uniqueCount="954">
  <si>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</si>
  <si>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</si>
  <si>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</si>
  <si>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</si>
  <si>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</si>
  <si>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</si>
  <si>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</si>
  <si>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</si>
  <si>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</si>
  <si>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</si>
  <si>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</si>
  <si>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</si>
  <si>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</si>
  <si>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</si>
  <si>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</si>
  <si>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</si>
  <si>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</si>
  <si>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</si>
  <si>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</si>
  <si>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</si>
  <si>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</si>
  <si>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</si>
  <si>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</si>
  <si>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</si>
  <si>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</si>
  <si>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</si>
  <si>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</si>
  <si>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</si>
  <si>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</si>
  <si>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</si>
  <si>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</si>
  <si>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</si>
  <si>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</si>
  <si>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</si>
  <si>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</si>
  <si>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</si>
  <si>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</si>
  <si>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</si>
  <si>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</si>
  <si>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</si>
  <si>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</si>
  <si>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</si>
  <si>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</si>
  <si>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</si>
  <si>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</si>
  <si>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</si>
  <si>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</si>
  <si>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</si>
  <si>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</si>
  <si>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</si>
  <si>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</si>
  <si>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</si>
  <si>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</si>
  <si>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</si>
  <si>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</si>
  <si>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</si>
  <si>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</si>
  <si>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</si>
  <si>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</si>
  <si>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</si>
  <si>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</si>
  <si>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</si>
  <si>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</si>
  <si>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</si>
  <si>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</si>
  <si>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</si>
  <si>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</si>
  <si>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</si>
  <si>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</si>
  <si>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</si>
  <si>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</si>
  <si>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</si>
  <si>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</si>
  <si>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</si>
  <si>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</si>
  <si>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</si>
  <si>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</si>
  <si>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</si>
  <si>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</si>
  <si>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</si>
  <si>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</si>
  <si>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</si>
  <si>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</si>
  <si>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</si>
  <si>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</si>
  <si>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</si>
  <si>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</si>
  <si>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</si>
  <si>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</si>
  <si>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</si>
  <si>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</si>
  <si>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</si>
  <si>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</si>
  <si>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</si>
  <si>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</si>
  <si>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</si>
  <si>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</si>
  <si>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</si>
  <si>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</si>
  <si>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</si>
  <si>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</si>
  <si>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</si>
  <si>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</si>
  <si>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</si>
  <si>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</si>
  <si>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</si>
  <si>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</si>
  <si>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</si>
  <si>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</si>
  <si>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</si>
  <si>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</si>
  <si>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</si>
  <si>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</si>
  <si>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</si>
  <si>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</si>
  <si>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</si>
  <si>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</si>
  <si>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</si>
  <si>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</si>
  <si>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</si>
  <si>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</si>
  <si>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</si>
  <si>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</si>
  <si>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</si>
  <si>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</si>
  <si>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</si>
  <si>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</si>
  <si>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</si>
  <si>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</si>
  <si>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</si>
  <si>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</si>
  <si>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</si>
  <si>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</si>
  <si>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</si>
  <si>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</si>
  <si>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</si>
  <si>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</si>
  <si>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</si>
  <si>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</si>
  <si>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</si>
  <si>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</si>
  <si>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</si>
  <si>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</si>
  <si>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</si>
  <si>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</si>
  <si>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</si>
  <si>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</si>
  <si>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</si>
  <si>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</si>
  <si>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</si>
  <si>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</si>
  <si>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</si>
  <si>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</si>
  <si>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</si>
  <si>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</si>
  <si>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</si>
  <si>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</si>
  <si>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</si>
  <si>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</si>
  <si>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</si>
  <si>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</si>
  <si>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</si>
  <si>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</si>
  <si>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</si>
  <si>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</si>
  <si>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</si>
  <si>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</si>
  <si>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</si>
  <si>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</si>
  <si>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</si>
  <si>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</si>
  <si>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</si>
  <si>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</si>
  <si>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</si>
  <si>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</si>
  <si>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</si>
  <si>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</si>
  <si>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</si>
  <si>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</si>
  <si>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</si>
  <si>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</si>
  <si>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</si>
  <si>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</si>
  <si>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</si>
  <si>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</si>
  <si>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</si>
  <si>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</si>
  <si>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</si>
  <si>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</si>
  <si>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</si>
  <si>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</si>
  <si>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</si>
  <si>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</si>
  <si>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</si>
  <si>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</si>
  <si>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</si>
  <si>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</si>
  <si>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</si>
  <si>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</si>
  <si>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</si>
  <si>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</si>
  <si>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</si>
  <si>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</si>
  <si>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</si>
  <si>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</si>
  <si>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</si>
  <si>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</si>
  <si>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</si>
  <si>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</si>
  <si>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</si>
  <si>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</si>
  <si>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</si>
  <si>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</si>
  <si>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</si>
  <si>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</si>
  <si>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</si>
  <si>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</si>
  <si>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</si>
  <si>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</si>
  <si>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</si>
  <si>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</si>
  <si>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</si>
  <si>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</si>
  <si>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</si>
  <si>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</si>
  <si>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</si>
  <si>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</si>
  <si>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</si>
  <si>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</si>
  <si>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</si>
  <si>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</si>
  <si>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</si>
  <si>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</si>
  <si>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</si>
  <si>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</si>
  <si>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</si>
  <si>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</si>
  <si>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</si>
  <si>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</si>
  <si>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</si>
  <si>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</si>
  <si>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</si>
  <si>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</si>
  <si>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</si>
  <si>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</si>
  <si>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</si>
  <si>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</si>
  <si>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</si>
  <si>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</si>
  <si>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</si>
  <si>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</si>
  <si>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</si>
  <si>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</si>
  <si>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</si>
  <si>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</si>
  <si>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</si>
  <si>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</si>
  <si>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</si>
  <si>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</si>
  <si>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</si>
  <si>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</si>
  <si>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</si>
  <si>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</si>
  <si>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</si>
  <si>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</si>
  <si>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</si>
  <si>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</si>
  <si>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</si>
  <si>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</si>
  <si>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</si>
  <si>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</si>
  <si>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</si>
  <si>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</si>
  <si>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</si>
  <si>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</si>
  <si>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</si>
  <si>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</si>
  <si>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</si>
  <si>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</si>
  <si>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</si>
  <si>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</si>
  <si>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</si>
  <si>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</si>
  <si>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</si>
  <si>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</si>
  <si>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</si>
  <si>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</si>
  <si>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</si>
  <si>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</si>
  <si>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</si>
  <si>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</si>
  <si>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</si>
  <si>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</si>
  <si>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</si>
  <si>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</si>
  <si>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</si>
  <si>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</si>
  <si>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</si>
  <si>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</si>
  <si>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</si>
  <si>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</si>
  <si>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</si>
  <si>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</si>
  <si>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</si>
  <si>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</si>
  <si>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</si>
  <si>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</si>
  <si>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</si>
  <si>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</si>
  <si>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</si>
  <si>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</si>
  <si>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</si>
  <si>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</si>
  <si>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</si>
  <si>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</si>
  <si>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</si>
  <si>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</si>
  <si>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</si>
  <si>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</si>
  <si>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</si>
  <si>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</si>
  <si>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</si>
  <si>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</si>
  <si>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</si>
  <si>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</si>
  <si>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</si>
  <si>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</si>
  <si>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</si>
  <si>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</si>
  <si>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</si>
  <si>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</si>
  <si>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</si>
  <si>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</si>
  <si>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</si>
  <si>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</si>
  <si>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</si>
  <si>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</si>
  <si>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</si>
  <si>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</si>
  <si>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</si>
  <si>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</si>
  <si>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</si>
  <si>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</si>
  <si>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</si>
  <si>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</si>
  <si>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</si>
  <si>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</si>
  <si>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</si>
  <si>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</si>
  <si>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</si>
  <si>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</si>
  <si>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</si>
  <si>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</si>
  <si>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</si>
  <si>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</si>
  <si>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</si>
  <si>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</si>
  <si>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</si>
  <si>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</si>
  <si>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</si>
  <si>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</si>
  <si>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</si>
  <si>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</si>
  <si>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</si>
  <si>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</si>
  <si>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</si>
  <si>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</si>
  <si>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</si>
  <si>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</si>
  <si>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</si>
  <si>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</si>
  <si>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</si>
  <si>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</si>
  <si>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</si>
  <si>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</si>
  <si>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</si>
  <si>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</si>
  <si>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</si>
  <si>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</si>
  <si>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</si>
  <si>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</si>
  <si>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</si>
  <si>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</si>
  <si>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</si>
  <si>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</si>
  <si>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</si>
  <si>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</si>
  <si>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</si>
  <si>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</si>
  <si>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</si>
  <si>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</si>
  <si>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</si>
  <si>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</si>
  <si>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</si>
  <si>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</si>
  <si>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</si>
  <si>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</si>
  <si>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</si>
  <si>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</si>
  <si>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</si>
  <si>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</si>
  <si>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</si>
  <si>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</si>
  <si>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</si>
  <si>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</si>
  <si>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</si>
  <si>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</si>
  <si>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</si>
  <si>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</si>
  <si>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</si>
  <si>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</si>
  <si>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</si>
  <si>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</si>
  <si>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</si>
  <si>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</si>
  <si>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</si>
  <si>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</si>
  <si>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</si>
  <si>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</si>
  <si>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</si>
  <si>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</si>
  <si>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</si>
  <si>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</si>
  <si>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</si>
  <si>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</si>
  <si>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</si>
  <si>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</si>
  <si>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</si>
  <si>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</si>
  <si>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</si>
  <si>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</si>
  <si>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</si>
  <si>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</si>
  <si>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</si>
  <si>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</si>
  <si>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</si>
  <si>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</si>
  <si>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</si>
  <si>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</si>
  <si>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</si>
  <si>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</si>
  <si>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</si>
  <si>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</si>
  <si>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</si>
  <si>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</si>
  <si>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</si>
  <si>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</si>
  <si>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</si>
  <si>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</si>
  <si>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</si>
  <si>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</si>
  <si>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</si>
  <si>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</si>
  <si>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</si>
  <si>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</si>
  <si>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</si>
  <si>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</si>
  <si>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</si>
  <si>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</si>
  <si>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</si>
  <si>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</si>
  <si>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</si>
  <si>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</si>
  <si>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</si>
  <si>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</si>
  <si>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</si>
  <si>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</si>
  <si>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</si>
  <si>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</si>
  <si>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</si>
  <si>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</si>
  <si>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</si>
  <si>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</si>
  <si>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</si>
  <si>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</si>
  <si>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</si>
  <si>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</si>
  <si>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</si>
  <si>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</si>
  <si>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</si>
  <si>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</si>
  <si>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</si>
  <si>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</si>
  <si>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</si>
  <si>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</si>
  <si>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</si>
  <si>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</si>
  <si>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</si>
  <si>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</si>
  <si>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</si>
  <si>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</si>
  <si>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</si>
  <si>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</si>
  <si>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</si>
  <si>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</si>
  <si>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</si>
  <si>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</si>
  <si>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</si>
  <si>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</si>
  <si>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</si>
  <si>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</si>
  <si>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</si>
  <si>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</si>
  <si>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</si>
  <si>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</si>
  <si>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</si>
  <si>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</si>
  <si>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</si>
  <si>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</si>
  <si>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</si>
  <si>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</si>
  <si>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</si>
  <si>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</si>
  <si>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</si>
  <si>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</si>
  <si>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</si>
  <si>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</si>
  <si>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</si>
  <si>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</si>
  <si>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</si>
  <si>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</si>
  <si>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</si>
  <si>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</si>
  <si>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</si>
  <si>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</si>
  <si>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</si>
  <si>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</si>
  <si>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</si>
  <si>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</si>
  <si>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</si>
  <si>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</si>
  <si>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</si>
  <si>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</si>
  <si>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</si>
  <si>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</si>
  <si>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</si>
  <si>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</si>
  <si>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</si>
  <si>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</si>
  <si>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</si>
  <si>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</si>
  <si>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</si>
  <si>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</si>
  <si>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</si>
  <si>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</si>
  <si>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</si>
  <si>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</si>
  <si>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</si>
  <si>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</si>
  <si>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</si>
  <si>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</si>
  <si>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</si>
  <si>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</si>
  <si>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</si>
  <si>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</si>
  <si>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</si>
  <si>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</si>
  <si>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</si>
  <si>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</si>
  <si>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</si>
  <si>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</si>
  <si>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</si>
  <si>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</si>
  <si>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</si>
  <si>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</si>
  <si>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</si>
  <si>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</si>
  <si>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</si>
  <si>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</si>
  <si>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</si>
  <si>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</si>
  <si>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</si>
  <si>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</si>
  <si>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</si>
  <si>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</si>
  <si>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</si>
  <si>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</si>
  <si>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</si>
  <si>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</si>
  <si>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</si>
  <si>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</si>
  <si>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</si>
  <si>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</si>
  <si>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</si>
  <si>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</si>
  <si>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</si>
  <si>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</si>
  <si>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</si>
  <si>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</si>
  <si>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</si>
  <si>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</si>
  <si>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</si>
  <si>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</si>
  <si>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</si>
  <si>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</si>
  <si>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</si>
  <si>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</si>
  <si>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</si>
  <si>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</si>
  <si>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</si>
  <si>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</si>
  <si>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</si>
  <si>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</si>
  <si>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</si>
  <si>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</si>
  <si>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</si>
  <si>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</si>
  <si>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</si>
  <si>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</si>
  <si>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</si>
  <si>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</si>
  <si>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</si>
  <si>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</si>
  <si>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</si>
  <si>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</si>
  <si>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</si>
  <si>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</si>
  <si>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</si>
  <si>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</si>
  <si>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</si>
  <si>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</si>
  <si>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</si>
  <si>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</si>
  <si>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</si>
  <si>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</si>
  <si>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</si>
  <si>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</si>
  <si>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</si>
  <si>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</si>
  <si>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</si>
  <si>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</si>
  <si>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</si>
  <si>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</si>
  <si>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</si>
  <si>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</si>
  <si>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</si>
  <si>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</si>
  <si>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</si>
  <si>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</si>
  <si>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</si>
  <si>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</si>
  <si>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</si>
  <si>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</si>
  <si>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</si>
  <si>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</si>
  <si>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</si>
  <si>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</si>
  <si>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</si>
  <si>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</si>
  <si>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</si>
  <si>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</si>
  <si>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</si>
  <si>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</si>
  <si>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</si>
  <si>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</si>
  <si>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</si>
  <si>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</si>
  <si>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</si>
  <si>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</si>
  <si>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</si>
  <si>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</si>
  <si>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</si>
  <si>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</si>
  <si>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</si>
  <si>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</si>
  <si>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</si>
  <si>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</si>
  <si>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</si>
  <si>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</si>
  <si>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</si>
  <si>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</si>
  <si>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</si>
  <si>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</si>
  <si>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</si>
  <si>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</si>
  <si>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</si>
  <si>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</si>
  <si>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</si>
  <si>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</si>
  <si>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</si>
  <si>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</si>
  <si>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</si>
  <si>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</si>
  <si>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</si>
  <si>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</si>
  <si>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</si>
  <si>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</si>
  <si>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</si>
  <si>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</si>
  <si>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</si>
  <si>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</si>
  <si>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</si>
  <si>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</si>
  <si>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</si>
  <si>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</si>
  <si>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</si>
  <si>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</si>
  <si>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</si>
  <si>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</si>
  <si>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</si>
  <si>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</si>
  <si>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</si>
  <si>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</si>
  <si>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</si>
  <si>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</si>
  <si>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</si>
  <si>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</si>
  <si>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</si>
  <si>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</si>
  <si>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</si>
  <si>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</si>
  <si>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</si>
  <si>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</si>
  <si>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</si>
  <si>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</si>
  <si>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</si>
  <si>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</si>
  <si>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</si>
  <si>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</si>
  <si>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</si>
  <si>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</si>
  <si>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</si>
  <si>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</si>
  <si>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</si>
  <si>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</si>
  <si>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</si>
  <si>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</si>
  <si>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</si>
  <si>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</si>
  <si>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</si>
  <si>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</si>
  <si>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</si>
  <si>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</si>
  <si>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</si>
  <si>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</si>
  <si>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</si>
  <si>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</si>
  <si>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</si>
  <si>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</si>
  <si>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</si>
  <si>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</si>
  <si>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</si>
  <si>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</si>
  <si>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</si>
  <si>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</si>
  <si>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</si>
  <si>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</si>
  <si>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</si>
  <si>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</si>
  <si>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</si>
  <si>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</si>
  <si>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</si>
  <si>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</si>
  <si>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</si>
  <si>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</si>
  <si>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</si>
  <si>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</si>
  <si>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</si>
  <si>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</si>
  <si>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</si>
  <si>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</si>
  <si>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</si>
  <si>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</si>
  <si>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</si>
  <si>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</si>
  <si>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</si>
  <si>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</si>
  <si>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</si>
  <si>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</si>
  <si>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</si>
  <si>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</si>
  <si>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</si>
  <si>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</si>
  <si>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</si>
  <si>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</si>
  <si>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</si>
  <si>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</si>
  <si>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</si>
  <si>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</si>
  <si>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</si>
  <si>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</si>
  <si>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</si>
  <si>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</si>
  <si>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</si>
  <si>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</si>
  <si>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</si>
  <si>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</si>
  <si>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</si>
  <si>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</si>
  <si>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</si>
  <si>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</si>
  <si>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</si>
  <si>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</si>
  <si>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</si>
  <si>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</si>
  <si>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</si>
  <si>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</si>
  <si>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</si>
  <si>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</si>
  <si>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</si>
  <si>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</si>
  <si>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</si>
  <si>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</si>
  <si>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</si>
  <si>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</si>
  <si>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</si>
  <si>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</si>
  <si>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</si>
  <si>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</si>
  <si>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</si>
  <si>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</si>
  <si>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</si>
  <si>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</si>
  <si>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</si>
  <si>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</si>
  <si>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</si>
  <si>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</si>
  <si>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</si>
  <si>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</si>
  <si>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</si>
  <si>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</si>
  <si>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</si>
  <si>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</si>
  <si>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</si>
  <si>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</si>
  <si>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</si>
  <si>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</si>
  <si>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</si>
  <si>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</si>
  <si>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</si>
  <si>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</si>
  <si>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</si>
  <si>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</si>
  <si>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</si>
  <si>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</si>
  <si>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</si>
  <si>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</si>
  <si>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</si>
  <si>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</si>
  <si>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</si>
  <si>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</si>
  <si>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</si>
  <si>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</si>
  <si>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</si>
  <si>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</si>
  <si>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</si>
  <si>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</si>
  <si>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</si>
  <si>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</si>
  <si>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</si>
  <si>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</si>
  <si>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</si>
  <si>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</si>
  <si>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</si>
  <si>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</si>
  <si>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</si>
  <si>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</si>
  <si>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</si>
  <si>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</si>
  <si>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</si>
  <si>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</si>
  <si>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</si>
  <si>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</si>
  <si>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</si>
  <si>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</si>
  <si>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</si>
  <si>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</si>
  <si>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</si>
  <si>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</si>
  <si>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</si>
  <si>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</si>
  <si>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</si>
  <si>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</si>
  <si>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</si>
  <si>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</si>
  <si>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</si>
  <si>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</si>
  <si>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</si>
  <si>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</si>
  <si>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</si>
  <si>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</si>
  <si>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</si>
  <si>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</si>
  <si>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</si>
  <si>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</si>
  <si>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</si>
  <si>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</si>
  <si>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</si>
  <si>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</si>
  <si>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</si>
  <si>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</si>
  <si>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</si>
  <si>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</si>
  <si>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</si>
  <si>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</si>
  <si>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</si>
  <si>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</si>
  <si>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</si>
  <si>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</si>
  <si>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</si>
  <si>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</si>
  <si>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</si>
  <si>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</si>
  <si>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</si>
  <si>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</si>
  <si>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</si>
  <si>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</si>
  <si>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</si>
  <si>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</si>
  <si>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</si>
  <si>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LIC. JUAN PEREZ LOPEZ</t>
  </si>
  <si>
    <t>COMISION OFICIAL A LA CIUDAD DE MEXICO</t>
  </si>
  <si>
    <t>VIATICOS Y PASAJES POR COMISION</t>
  </si>
  <si>
    <t>MEXICO</t>
  </si>
  <si>
    <t>xxxx</t>
  </si>
  <si>
    <t>DIRECTORA ADMINISTRATIVA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</si>
  <si>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</si>
  <si>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</si>
  <si>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</si>
  <si>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</si>
  <si>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</si>
  <si>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</si>
  <si>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</si>
  <si>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</si>
  <si>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</si>
  <si>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FORMATO GRC - 22</t>
  </si>
  <si>
    <t>Y22.GG.G1074</t>
  </si>
  <si>
    <t>Y22.GG.G2061</t>
  </si>
  <si>
    <t>Y22.GG.G1286</t>
  </si>
  <si>
    <t>Y22.GG.P0292</t>
  </si>
  <si>
    <t>Y22.GG.P0293</t>
  </si>
  <si>
    <t>Y22.GG.Q0340</t>
  </si>
  <si>
    <t>Y22.GG.Q0342</t>
  </si>
  <si>
    <t>Y22.GG.Q0343</t>
  </si>
  <si>
    <t>Y22.GG.Q0344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</si>
  <si>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</si>
  <si>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</si>
  <si>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</si>
  <si>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</si>
  <si>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</si>
  <si>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</si>
  <si>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</si>
  <si>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</si>
  <si>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</si>
  <si>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Y22.GG.Q0418</t>
  </si>
  <si>
    <t>Y22.GG.Q0488</t>
  </si>
  <si>
    <t>Y22.GG.Q0622</t>
  </si>
  <si>
    <t>Y22.GG.Q3214</t>
  </si>
  <si>
    <t>Y22.GG.Q0381</t>
  </si>
  <si>
    <t>Y22.GG.Q0623</t>
  </si>
  <si>
    <t>SECTUR/PRUEBA/001/20XX</t>
  </si>
  <si>
    <t>DEL 14 AL 15 DE JUNIO DE 20XX</t>
  </si>
  <si>
    <t>Silao, Gto., a ____30__ de ____Marzo_________ de 20XX.</t>
  </si>
  <si>
    <t>DIRECTORA GENERAL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</si>
</sst>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6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 applyBorder="1" applyProtection="1"/>
    <xf numFmtId="0" fontId="15" fillId="0" borderId="3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 applyProtection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 applyProtection="1"/>
    <xf numFmtId="0" fontId="11" fillId="0" borderId="30" xfId="0" applyFont="1" applyBorder="1" applyProtection="1"/>
    <xf numFmtId="0" fontId="14" fillId="0" borderId="30" xfId="0" applyFont="1" applyBorder="1" applyProtection="1"/>
    <xf numFmtId="0" fontId="16" fillId="0" borderId="30" xfId="0" applyFont="1" applyBorder="1" applyProtection="1"/>
    <xf numFmtId="0" fontId="17" fillId="0" borderId="30" xfId="0" applyFont="1" applyBorder="1" applyProtection="1"/>
    <xf numFmtId="0" fontId="17" fillId="0" borderId="30" xfId="0" applyFont="1" applyBorder="1" applyAlignment="1" applyProtection="1"/>
    <xf numFmtId="0" fontId="4" fillId="0" borderId="30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right"/>
    </xf>
    <xf numFmtId="0" fontId="17" fillId="0" borderId="28" xfId="0" applyFont="1" applyBorder="1" applyProtection="1"/>
    <xf numFmtId="0" fontId="17" fillId="0" borderId="30" xfId="0" applyFont="1" applyBorder="1" applyAlignment="1" applyProtection="1">
      <alignment vertical="center" wrapText="1"/>
    </xf>
    <xf numFmtId="0" fontId="17" fillId="0" borderId="3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Fill="1" applyBorder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0" fillId="0" borderId="0" xfId="0" applyFont="1"/>
    <xf numFmtId="0" fontId="33" fillId="0" borderId="21" xfId="0" applyFont="1" applyBorder="1" applyAlignment="1">
      <alignment horizontal="center" wrapText="1"/>
    </xf>
    <xf numFmtId="0" fontId="35" fillId="0" borderId="0" xfId="0" applyFont="1" applyBorder="1"/>
    <xf numFmtId="0" fontId="0" fillId="0" borderId="0" xfId="0" applyFont="1" applyBorder="1"/>
    <xf numFmtId="0" fontId="35" fillId="0" borderId="0" xfId="0" applyFont="1" applyBorder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0" fillId="0" borderId="21" xfId="0" applyFont="1" applyBorder="1"/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17" fillId="0" borderId="3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justify" wrapText="1"/>
    </xf>
    <xf numFmtId="0" fontId="17" fillId="0" borderId="30" xfId="0" applyFont="1" applyBorder="1" applyAlignment="1" applyProtection="1">
      <alignment horizontal="left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30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22" fillId="0" borderId="33" xfId="0" applyFont="1" applyFill="1" applyBorder="1" applyAlignment="1" applyProtection="1">
      <alignment horizontal="center" vertical="center" wrapText="1"/>
    </xf>
    <xf numFmtId="0" fontId="22" fillId="0" borderId="34" xfId="0" applyFont="1" applyFill="1" applyBorder="1" applyAlignment="1" applyProtection="1">
      <alignment horizontal="center" vertical="center"/>
    </xf>
    <xf numFmtId="0" fontId="22" fillId="0" borderId="35" xfId="0" applyFont="1" applyFill="1" applyBorder="1" applyAlignment="1" applyProtection="1">
      <alignment horizontal="center" vertical="center"/>
    </xf>
    <xf numFmtId="0" fontId="20" fillId="0" borderId="36" xfId="0" applyFont="1" applyFill="1" applyBorder="1" applyAlignment="1" applyProtection="1">
      <alignment horizontal="center"/>
    </xf>
    <xf numFmtId="0" fontId="20" fillId="0" borderId="11" xfId="0" applyFont="1" applyFill="1" applyBorder="1" applyAlignment="1" applyProtection="1">
      <alignment horizontal="center"/>
    </xf>
    <xf numFmtId="0" fontId="20" fillId="0" borderId="12" xfId="0" applyFont="1" applyFill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Fill="1" applyBorder="1" applyAlignment="1" applyProtection="1">
      <alignment horizontal="left"/>
      <protection locked="0"/>
    </xf>
    <xf numFmtId="0" fontId="27" fillId="0" borderId="30" xfId="0" applyFont="1" applyFill="1" applyBorder="1" applyAlignment="1">
      <alignment horizontal="center" vertical="top" wrapText="1"/>
    </xf>
    <xf numFmtId="0" fontId="24" fillId="0" borderId="0" xfId="0" applyFont="1" applyFill="1" applyBorder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34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2"/>
  <sheetViews>
    <sheetView tabSelected="1" topLeftCell="A22" workbookViewId="0">
      <selection activeCell="A19" sqref="A19:F19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ht="15.6" x14ac:dyDescent="0.3">
      <c r="A1" s="51"/>
      <c r="B1" s="24"/>
      <c r="C1" s="24"/>
      <c r="D1" s="24"/>
      <c r="E1" s="1" t="s">
        <v>925</v>
      </c>
      <c r="F1" s="48"/>
    </row>
    <row r="2" spans="1:6" ht="15.6" x14ac:dyDescent="0.3">
      <c r="A2" s="52"/>
      <c r="B2" s="26"/>
      <c r="C2" s="26"/>
      <c r="D2" s="26"/>
      <c r="E2" s="26"/>
      <c r="F2" s="27"/>
    </row>
    <row r="3" spans="1:6" ht="15.6" x14ac:dyDescent="0.3">
      <c r="A3" s="52"/>
      <c r="B3" s="104" t="s">
        <v>0</v>
      </c>
      <c r="C3" s="104"/>
      <c r="D3" s="104"/>
      <c r="E3" s="104"/>
      <c r="F3" s="105"/>
    </row>
    <row r="4" spans="1:6" ht="18.75" customHeight="1" x14ac:dyDescent="0.3">
      <c r="A4" s="52"/>
      <c r="B4" s="104" t="s">
        <v>1</v>
      </c>
      <c r="C4" s="104"/>
      <c r="D4" s="104"/>
      <c r="E4" s="104"/>
      <c r="F4" s="28"/>
    </row>
    <row r="5" spans="1:6" ht="21" customHeight="1" x14ac:dyDescent="0.3">
      <c r="A5" s="52"/>
      <c r="B5" s="104" t="s">
        <v>2</v>
      </c>
      <c r="C5" s="104"/>
      <c r="D5" s="104"/>
      <c r="E5" s="104"/>
      <c r="F5" s="29"/>
    </row>
    <row r="6" spans="1:6" ht="16.149999999999999" thickBot="1" x14ac:dyDescent="0.35">
      <c r="A6" s="52"/>
      <c r="B6" s="26"/>
      <c r="C6" s="26"/>
      <c r="D6" s="26"/>
      <c r="E6" s="26"/>
      <c r="F6" s="27"/>
    </row>
    <row r="7" spans="1:6" ht="16.149999999999999" thickBot="1" x14ac:dyDescent="0.35">
      <c r="A7" s="52"/>
      <c r="B7" s="26"/>
      <c r="C7" s="26"/>
      <c r="D7" s="30" t="s">
        <v>3</v>
      </c>
      <c r="E7" s="31" t="s">
        <v>950</v>
      </c>
      <c r="F7" s="27"/>
    </row>
    <row r="8" spans="1:6" ht="15.6" x14ac:dyDescent="0.3">
      <c r="A8" s="52"/>
      <c r="B8" s="26"/>
      <c r="C8" s="26"/>
      <c r="D8" s="26"/>
      <c r="E8" s="26"/>
      <c r="F8" s="27"/>
    </row>
    <row r="9" spans="1:6" ht="22.5" customHeight="1" x14ac:dyDescent="0.3">
      <c r="A9" s="106"/>
      <c r="B9" s="107"/>
      <c r="C9" s="107"/>
      <c r="D9" s="107"/>
      <c r="E9" s="107"/>
      <c r="F9" s="108"/>
    </row>
    <row r="10" spans="1:6" ht="15.6" x14ac:dyDescent="0.3">
      <c r="A10" s="52"/>
      <c r="B10" s="26"/>
      <c r="C10" s="26"/>
      <c r="D10" s="26"/>
      <c r="E10" s="26"/>
      <c r="F10" s="27"/>
    </row>
    <row r="11" spans="1:6" ht="16.149999999999999" x14ac:dyDescent="0.3">
      <c r="A11" s="53" t="s">
        <v>916</v>
      </c>
      <c r="B11" s="32"/>
      <c r="C11" s="32"/>
      <c r="D11" s="32"/>
      <c r="E11" s="32"/>
      <c r="F11" s="33"/>
    </row>
    <row r="12" spans="1:6" ht="15.6" x14ac:dyDescent="0.3">
      <c r="A12" s="112" t="s">
        <v>915</v>
      </c>
      <c r="B12" s="113"/>
      <c r="C12" s="113"/>
      <c r="D12" s="113"/>
      <c r="E12" s="32"/>
      <c r="F12" s="33"/>
    </row>
    <row r="13" spans="1:6" ht="9" customHeight="1" x14ac:dyDescent="0.3">
      <c r="A13" s="54"/>
      <c r="B13" s="32"/>
      <c r="C13" s="32"/>
      <c r="D13" s="32"/>
      <c r="E13" s="32"/>
      <c r="F13" s="33"/>
    </row>
    <row r="14" spans="1:6" x14ac:dyDescent="0.25">
      <c r="A14" s="55" t="s">
        <v>902</v>
      </c>
      <c r="B14" s="32"/>
      <c r="C14" s="32"/>
      <c r="D14" s="32"/>
      <c r="E14" s="32"/>
      <c r="F14" s="33"/>
    </row>
    <row r="15" spans="1:6" ht="21.75" customHeight="1" x14ac:dyDescent="0.3">
      <c r="A15" s="109" t="s">
        <v>910</v>
      </c>
      <c r="B15" s="110"/>
      <c r="C15" s="110"/>
      <c r="D15" s="110"/>
      <c r="E15" s="111"/>
      <c r="F15" s="35"/>
    </row>
    <row r="16" spans="1:6" ht="30.75" customHeight="1" x14ac:dyDescent="0.25">
      <c r="A16" s="61" t="s">
        <v>4</v>
      </c>
      <c r="B16" s="77"/>
      <c r="C16" s="78"/>
      <c r="D16" s="78"/>
      <c r="E16" s="79"/>
      <c r="F16" s="35"/>
    </row>
    <row r="17" spans="1:7" ht="31.15" customHeight="1" x14ac:dyDescent="0.25">
      <c r="A17" s="62" t="s">
        <v>5</v>
      </c>
      <c r="B17" s="36">
        <f>C57</f>
        <v>0</v>
      </c>
      <c r="C17" s="91" t="str">
        <f>Apalabra(B17)</f>
        <v/>
      </c>
      <c r="D17" s="92"/>
      <c r="E17" s="93"/>
      <c r="F17" s="37"/>
    </row>
    <row r="18" spans="1:7" ht="8.25" customHeight="1" x14ac:dyDescent="0.3">
      <c r="A18" s="55"/>
      <c r="B18" s="34"/>
      <c r="C18" s="34"/>
      <c r="D18" s="34"/>
      <c r="E18" s="34"/>
      <c r="F18" s="38"/>
      <c r="G18" s="39"/>
    </row>
    <row r="19" spans="1:7" ht="22.5" customHeight="1" x14ac:dyDescent="0.25">
      <c r="A19" s="80" t="s">
        <v>6</v>
      </c>
      <c r="B19" s="81"/>
      <c r="C19" s="81"/>
      <c r="D19" s="81"/>
      <c r="E19" s="81"/>
      <c r="F19" s="82"/>
      <c r="G19" s="39"/>
    </row>
    <row r="20" spans="1:7" ht="22.5" customHeight="1" x14ac:dyDescent="0.25">
      <c r="A20" s="83" t="s">
        <v>911</v>
      </c>
      <c r="B20" s="84"/>
      <c r="C20" s="84"/>
      <c r="D20" s="84"/>
      <c r="E20" s="84"/>
      <c r="F20" s="64"/>
      <c r="G20" s="39"/>
    </row>
    <row r="21" spans="1:7" ht="22.5" customHeight="1" x14ac:dyDescent="0.25">
      <c r="A21" s="83"/>
      <c r="B21" s="84"/>
      <c r="C21" s="84"/>
      <c r="D21" s="84"/>
      <c r="E21" s="84"/>
      <c r="F21" s="64"/>
      <c r="G21" s="39"/>
    </row>
    <row r="22" spans="1:7" ht="22.5" customHeight="1" x14ac:dyDescent="0.25">
      <c r="A22" s="83"/>
      <c r="B22" s="84"/>
      <c r="C22" s="84"/>
      <c r="D22" s="84"/>
      <c r="E22" s="84"/>
      <c r="F22" s="64"/>
      <c r="G22" s="39"/>
    </row>
    <row r="23" spans="1:7" ht="22.9" customHeight="1" x14ac:dyDescent="0.25">
      <c r="A23" s="85"/>
      <c r="B23" s="86"/>
      <c r="C23" s="86"/>
      <c r="D23" s="86"/>
      <c r="E23" s="86"/>
      <c r="F23" s="40"/>
      <c r="G23" s="39"/>
    </row>
    <row r="24" spans="1:7" ht="30" customHeight="1" x14ac:dyDescent="0.3">
      <c r="A24" s="62" t="s">
        <v>7</v>
      </c>
      <c r="B24" s="94" t="s">
        <v>912</v>
      </c>
      <c r="C24" s="95"/>
      <c r="D24" s="95"/>
      <c r="E24" s="96"/>
      <c r="F24" s="35"/>
      <c r="G24" s="39"/>
    </row>
    <row r="25" spans="1:7" ht="20.25" customHeight="1" x14ac:dyDescent="0.3">
      <c r="A25" s="62" t="s">
        <v>8</v>
      </c>
      <c r="B25" s="94" t="s">
        <v>913</v>
      </c>
      <c r="C25" s="95"/>
      <c r="D25" s="95"/>
      <c r="E25" s="96"/>
      <c r="F25" s="37"/>
      <c r="G25" s="39"/>
    </row>
    <row r="26" spans="1:7" ht="23.25" customHeight="1" x14ac:dyDescent="0.25">
      <c r="A26" s="62" t="s">
        <v>9</v>
      </c>
      <c r="B26" s="94" t="s">
        <v>951</v>
      </c>
      <c r="C26" s="95"/>
      <c r="D26" s="95"/>
      <c r="E26" s="96"/>
      <c r="F26" s="37"/>
      <c r="G26" s="39"/>
    </row>
    <row r="27" spans="1:7" ht="15.6" x14ac:dyDescent="0.3">
      <c r="A27" s="55"/>
      <c r="B27" s="34"/>
      <c r="C27" s="34"/>
      <c r="D27" s="34"/>
      <c r="E27" s="34"/>
      <c r="F27" s="38"/>
      <c r="G27" s="39"/>
    </row>
    <row r="28" spans="1:7" x14ac:dyDescent="0.25">
      <c r="A28" s="97" t="s">
        <v>10</v>
      </c>
      <c r="B28" s="98"/>
      <c r="C28" s="98"/>
      <c r="D28" s="98"/>
      <c r="E28" s="98"/>
      <c r="F28" s="38"/>
      <c r="G28" s="39"/>
    </row>
    <row r="29" spans="1:7" ht="5.25" customHeight="1" x14ac:dyDescent="0.3">
      <c r="A29" s="55" t="s">
        <v>11</v>
      </c>
      <c r="B29" s="34"/>
      <c r="C29" s="34"/>
      <c r="D29" s="34"/>
      <c r="E29" s="34"/>
      <c r="F29" s="38"/>
      <c r="G29" s="39"/>
    </row>
    <row r="30" spans="1:7" ht="66" customHeight="1" x14ac:dyDescent="0.25">
      <c r="A30" s="99" t="s">
        <v>903</v>
      </c>
      <c r="B30" s="100"/>
      <c r="C30" s="100"/>
      <c r="D30" s="100"/>
      <c r="E30" s="100"/>
      <c r="F30" s="35"/>
      <c r="G30" s="39"/>
    </row>
    <row r="31" spans="1:7" ht="6.75" customHeight="1" x14ac:dyDescent="0.25">
      <c r="A31" s="55"/>
      <c r="B31" s="34"/>
      <c r="C31" s="34"/>
      <c r="D31" s="34"/>
      <c r="E31" s="34"/>
      <c r="F31" s="38"/>
      <c r="G31" s="39"/>
    </row>
    <row r="32" spans="1:7" ht="21" customHeight="1" x14ac:dyDescent="0.25">
      <c r="A32" s="101" t="s">
        <v>904</v>
      </c>
      <c r="B32" s="102"/>
      <c r="C32" s="102"/>
      <c r="D32" s="102"/>
      <c r="E32" s="102"/>
      <c r="F32" s="103"/>
      <c r="G32" s="39"/>
    </row>
    <row r="33" spans="1:7" x14ac:dyDescent="0.25">
      <c r="A33" s="55"/>
      <c r="B33" s="34"/>
      <c r="C33" s="34"/>
      <c r="D33" s="34"/>
      <c r="E33" s="34"/>
      <c r="F33" s="38"/>
      <c r="G33" s="39"/>
    </row>
    <row r="34" spans="1:7" ht="16.5" customHeight="1" x14ac:dyDescent="0.25">
      <c r="A34" s="101" t="s">
        <v>905</v>
      </c>
      <c r="B34" s="102"/>
      <c r="C34" s="102"/>
      <c r="D34" s="102"/>
      <c r="E34" s="102"/>
      <c r="F34" s="103"/>
      <c r="G34" s="39"/>
    </row>
    <row r="35" spans="1:7" x14ac:dyDescent="0.25">
      <c r="A35" s="55"/>
      <c r="B35" s="34"/>
      <c r="C35" s="34"/>
      <c r="D35" s="34"/>
      <c r="E35" s="34"/>
      <c r="F35" s="38"/>
      <c r="G35" s="39"/>
    </row>
    <row r="36" spans="1:7" ht="44.25" customHeight="1" x14ac:dyDescent="0.25">
      <c r="A36" s="99" t="s">
        <v>906</v>
      </c>
      <c r="B36" s="100"/>
      <c r="C36" s="100"/>
      <c r="D36" s="100"/>
      <c r="E36" s="100"/>
      <c r="F36" s="35"/>
      <c r="G36" s="39"/>
    </row>
    <row r="37" spans="1:7" x14ac:dyDescent="0.25">
      <c r="A37" s="55"/>
      <c r="B37" s="34"/>
      <c r="C37" s="34"/>
      <c r="D37" s="34"/>
      <c r="E37" s="34"/>
      <c r="F37" s="38"/>
      <c r="G37" s="39"/>
    </row>
    <row r="38" spans="1:7" x14ac:dyDescent="0.25">
      <c r="A38" s="56" t="s">
        <v>907</v>
      </c>
      <c r="B38" s="41"/>
      <c r="C38" s="89" t="s">
        <v>914</v>
      </c>
      <c r="D38" s="89"/>
      <c r="E38" s="89"/>
      <c r="F38" s="37"/>
      <c r="G38" s="39"/>
    </row>
    <row r="39" spans="1:7" x14ac:dyDescent="0.25">
      <c r="A39" s="55"/>
      <c r="B39" s="34"/>
      <c r="C39" s="34"/>
      <c r="D39" s="34"/>
      <c r="E39" s="34"/>
      <c r="F39" s="38"/>
      <c r="G39" s="39"/>
    </row>
    <row r="40" spans="1:7" x14ac:dyDescent="0.25">
      <c r="A40" s="55" t="s">
        <v>908</v>
      </c>
      <c r="B40" s="34"/>
      <c r="C40" s="90" t="str">
        <f>A15</f>
        <v>LIC. JUAN PEREZ LOPEZ</v>
      </c>
      <c r="D40" s="90"/>
      <c r="E40" s="90"/>
      <c r="F40" s="37"/>
      <c r="G40" s="39"/>
    </row>
    <row r="41" spans="1:7" x14ac:dyDescent="0.25">
      <c r="A41" s="55"/>
      <c r="B41" s="34"/>
      <c r="C41" s="34"/>
      <c r="D41" s="34"/>
      <c r="E41" s="34"/>
      <c r="F41" s="38"/>
      <c r="G41" s="39"/>
    </row>
    <row r="42" spans="1:7" x14ac:dyDescent="0.25">
      <c r="A42" s="55"/>
      <c r="B42" s="34"/>
      <c r="C42" s="34"/>
      <c r="D42" s="34"/>
      <c r="E42" s="34"/>
      <c r="F42" s="38"/>
      <c r="G42" s="39"/>
    </row>
    <row r="43" spans="1:7" x14ac:dyDescent="0.25">
      <c r="A43" s="55"/>
      <c r="B43" s="90"/>
      <c r="C43" s="90"/>
      <c r="D43" s="90"/>
      <c r="E43" s="34"/>
      <c r="F43" s="38"/>
      <c r="G43" s="39"/>
    </row>
    <row r="44" spans="1:7" x14ac:dyDescent="0.25">
      <c r="A44" s="55"/>
      <c r="B44" s="118" t="s">
        <v>12</v>
      </c>
      <c r="C44" s="118"/>
      <c r="D44" s="118"/>
      <c r="E44" s="34"/>
      <c r="F44" s="38"/>
      <c r="G44" s="39"/>
    </row>
    <row r="45" spans="1:7" x14ac:dyDescent="0.25">
      <c r="A45" s="55"/>
      <c r="B45" s="34"/>
      <c r="C45" s="34"/>
      <c r="D45" s="34"/>
      <c r="E45" s="34"/>
      <c r="F45" s="38"/>
      <c r="G45" s="39"/>
    </row>
    <row r="46" spans="1:7" ht="19.5" customHeight="1" x14ac:dyDescent="0.25">
      <c r="A46" s="106"/>
      <c r="B46" s="107"/>
      <c r="C46" s="107"/>
      <c r="D46" s="107"/>
      <c r="E46" s="107"/>
      <c r="F46" s="108"/>
    </row>
    <row r="47" spans="1:7" x14ac:dyDescent="0.25">
      <c r="A47" s="55"/>
      <c r="B47" s="34"/>
      <c r="C47" s="34"/>
      <c r="D47" s="34"/>
      <c r="E47" s="34"/>
      <c r="F47" s="38"/>
      <c r="G47" s="39"/>
    </row>
    <row r="48" spans="1:7" x14ac:dyDescent="0.25">
      <c r="A48" s="57" t="s">
        <v>13</v>
      </c>
      <c r="B48" s="63" t="s">
        <v>14</v>
      </c>
      <c r="C48" s="98" t="s">
        <v>909</v>
      </c>
      <c r="D48" s="98"/>
      <c r="E48" s="98"/>
      <c r="F48" s="135"/>
      <c r="G48" s="39"/>
    </row>
    <row r="49" spans="1:7" s="50" customFormat="1" x14ac:dyDescent="0.25">
      <c r="A49" s="58"/>
      <c r="B49" s="46"/>
      <c r="C49" s="47"/>
      <c r="D49" s="87" t="str">
        <f>Apalabra(C49)</f>
        <v/>
      </c>
      <c r="E49" s="87"/>
      <c r="F49" s="88"/>
      <c r="G49" s="49"/>
    </row>
    <row r="50" spans="1:7" s="50" customFormat="1" x14ac:dyDescent="0.25">
      <c r="A50" s="58"/>
      <c r="B50" s="46"/>
      <c r="C50" s="47"/>
      <c r="D50" s="87" t="str">
        <f t="shared" ref="D50:D57" si="0">Apalabra(C50)</f>
        <v/>
      </c>
      <c r="E50" s="87"/>
      <c r="F50" s="88"/>
      <c r="G50" s="49"/>
    </row>
    <row r="51" spans="1:7" s="50" customFormat="1" x14ac:dyDescent="0.25">
      <c r="A51" s="58"/>
      <c r="B51" s="46"/>
      <c r="C51" s="47"/>
      <c r="D51" s="87" t="str">
        <f t="shared" si="0"/>
        <v/>
      </c>
      <c r="E51" s="87"/>
      <c r="F51" s="88"/>
      <c r="G51" s="49"/>
    </row>
    <row r="52" spans="1:7" s="50" customFormat="1" x14ac:dyDescent="0.25">
      <c r="A52" s="58"/>
      <c r="B52" s="46"/>
      <c r="C52" s="47"/>
      <c r="D52" s="87" t="str">
        <f t="shared" si="0"/>
        <v/>
      </c>
      <c r="E52" s="87"/>
      <c r="F52" s="88"/>
      <c r="G52" s="49"/>
    </row>
    <row r="53" spans="1:7" s="50" customFormat="1" x14ac:dyDescent="0.25">
      <c r="A53" s="58"/>
      <c r="B53" s="46"/>
      <c r="C53" s="47"/>
      <c r="D53" s="87" t="str">
        <f t="shared" si="0"/>
        <v/>
      </c>
      <c r="E53" s="87"/>
      <c r="F53" s="88"/>
      <c r="G53" s="49"/>
    </row>
    <row r="54" spans="1:7" s="50" customFormat="1" x14ac:dyDescent="0.25">
      <c r="A54" s="58"/>
      <c r="B54" s="46"/>
      <c r="C54" s="47"/>
      <c r="D54" s="87" t="str">
        <f t="shared" si="0"/>
        <v/>
      </c>
      <c r="E54" s="87"/>
      <c r="F54" s="88"/>
      <c r="G54" s="49"/>
    </row>
    <row r="55" spans="1:7" s="50" customFormat="1" x14ac:dyDescent="0.25">
      <c r="A55" s="58"/>
      <c r="B55" s="46"/>
      <c r="C55" s="47"/>
      <c r="D55" s="87" t="str">
        <f t="shared" si="0"/>
        <v/>
      </c>
      <c r="E55" s="87"/>
      <c r="F55" s="88"/>
      <c r="G55" s="49"/>
    </row>
    <row r="56" spans="1:7" s="50" customFormat="1" x14ac:dyDescent="0.25">
      <c r="A56" s="58"/>
      <c r="B56" s="46"/>
      <c r="C56" s="47"/>
      <c r="D56" s="87" t="str">
        <f t="shared" si="0"/>
        <v/>
      </c>
      <c r="E56" s="87"/>
      <c r="F56" s="88"/>
      <c r="G56" s="49"/>
    </row>
    <row r="57" spans="1:7" ht="20.25" customHeight="1" x14ac:dyDescent="0.25">
      <c r="A57" s="59"/>
      <c r="B57" s="42" t="s">
        <v>16</v>
      </c>
      <c r="C57" s="43">
        <f>SUM(C49:C56)</f>
        <v>0</v>
      </c>
      <c r="D57" s="87" t="str">
        <f t="shared" si="0"/>
        <v/>
      </c>
      <c r="E57" s="87"/>
      <c r="F57" s="88"/>
      <c r="G57" s="39"/>
    </row>
    <row r="58" spans="1:7" ht="16.5" thickBot="1" x14ac:dyDescent="0.3">
      <c r="A58" s="60"/>
      <c r="B58" s="44"/>
      <c r="C58" s="44"/>
      <c r="D58" s="44"/>
      <c r="E58" s="44"/>
      <c r="F58" s="45"/>
      <c r="G58" s="39"/>
    </row>
    <row r="59" spans="1:7" x14ac:dyDescent="0.25">
      <c r="A59" s="123" t="s">
        <v>952</v>
      </c>
      <c r="B59" s="124"/>
      <c r="C59" s="114"/>
      <c r="D59" s="115"/>
      <c r="E59" s="115"/>
      <c r="F59" s="116"/>
      <c r="G59" s="39"/>
    </row>
    <row r="60" spans="1:7" x14ac:dyDescent="0.25">
      <c r="A60" s="125"/>
      <c r="B60" s="126"/>
      <c r="C60" s="117"/>
      <c r="D60" s="118"/>
      <c r="E60" s="118"/>
      <c r="F60" s="119"/>
      <c r="G60" s="39"/>
    </row>
    <row r="61" spans="1:7" x14ac:dyDescent="0.25">
      <c r="A61" s="125"/>
      <c r="B61" s="126"/>
      <c r="C61" s="117"/>
      <c r="D61" s="118"/>
      <c r="E61" s="118"/>
      <c r="F61" s="119"/>
      <c r="G61" s="39"/>
    </row>
    <row r="62" spans="1:7" x14ac:dyDescent="0.25">
      <c r="A62" s="125"/>
      <c r="B62" s="126"/>
      <c r="C62" s="117"/>
      <c r="D62" s="118"/>
      <c r="E62" s="118"/>
      <c r="F62" s="119"/>
      <c r="G62" s="39"/>
    </row>
    <row r="63" spans="1:7" ht="16.5" thickBot="1" x14ac:dyDescent="0.3">
      <c r="A63" s="125"/>
      <c r="B63" s="126"/>
      <c r="C63" s="120"/>
      <c r="D63" s="121"/>
      <c r="E63" s="121"/>
      <c r="F63" s="122"/>
      <c r="G63" s="39"/>
    </row>
    <row r="64" spans="1:7" ht="84.75" customHeight="1" thickBot="1" x14ac:dyDescent="0.3">
      <c r="A64" s="125"/>
      <c r="B64" s="126"/>
      <c r="C64" s="129" t="s">
        <v>916</v>
      </c>
      <c r="D64" s="130"/>
      <c r="E64" s="130"/>
      <c r="F64" s="131"/>
      <c r="G64" s="39"/>
    </row>
    <row r="65" spans="1:7" ht="17.25" thickTop="1" thickBot="1" x14ac:dyDescent="0.3">
      <c r="A65" s="127"/>
      <c r="B65" s="128"/>
      <c r="C65" s="132" t="s">
        <v>953</v>
      </c>
      <c r="D65" s="133"/>
      <c r="E65" s="133"/>
      <c r="F65" s="134"/>
      <c r="G65" s="39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9"/>
      <c r="B102" s="39"/>
      <c r="C102" s="39"/>
      <c r="D102" s="39"/>
      <c r="E102" s="39"/>
      <c r="F102" s="39"/>
      <c r="G102" s="39"/>
    </row>
  </sheetData>
  <sheetProtection formatCells="0" formatColumns="0" formatRows="0" insertColumns="0" insertRows="0" deleteColumns="0" deleteRows="0" sort="0" autoFilter="0" pivotTables="0"/>
  <dataConsolidate/>
  <mergeCells count="37"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B3:F3"/>
    <mergeCell ref="B4:E4"/>
    <mergeCell ref="B5:E5"/>
    <mergeCell ref="A9:F9"/>
    <mergeCell ref="A15:E15"/>
    <mergeCell ref="A12:D12"/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6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proyecto!$A$2:$A$25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6"/>
      <c r="F2" s="136"/>
    </row>
    <row r="4" spans="1:6" ht="18.75" x14ac:dyDescent="0.3">
      <c r="C4" s="137"/>
      <c r="D4" s="137"/>
      <c r="E4" s="137"/>
    </row>
    <row r="6" spans="1:6" ht="18" x14ac:dyDescent="0.25">
      <c r="A6" s="65" t="s">
        <v>11</v>
      </c>
    </row>
    <row r="7" spans="1:6" ht="18" x14ac:dyDescent="0.25">
      <c r="A7" s="65"/>
    </row>
    <row r="8" spans="1:6" ht="18" x14ac:dyDescent="0.25">
      <c r="A8" s="65"/>
    </row>
    <row r="9" spans="1:6" ht="18" x14ac:dyDescent="0.25">
      <c r="A9" s="66" t="s">
        <v>917</v>
      </c>
      <c r="B9" s="138" t="s">
        <v>918</v>
      </c>
      <c r="C9" s="138"/>
      <c r="D9" s="138"/>
      <c r="E9" s="138"/>
      <c r="F9" s="138"/>
    </row>
    <row r="10" spans="1:6" ht="18.75" x14ac:dyDescent="0.3">
      <c r="A10" s="139" t="s">
        <v>919</v>
      </c>
      <c r="B10" s="140"/>
      <c r="C10" s="140"/>
      <c r="D10" s="140"/>
      <c r="E10" s="140"/>
      <c r="F10" s="141"/>
    </row>
    <row r="11" spans="1:6" x14ac:dyDescent="0.25">
      <c r="A11" s="142" t="s">
        <v>920</v>
      </c>
      <c r="B11" s="143"/>
      <c r="C11" s="146" t="s">
        <v>21</v>
      </c>
      <c r="D11" s="148" t="s">
        <v>921</v>
      </c>
      <c r="E11" s="150" t="s">
        <v>922</v>
      </c>
      <c r="F11" s="151"/>
    </row>
    <row r="12" spans="1:6" x14ac:dyDescent="0.25">
      <c r="A12" s="144"/>
      <c r="B12" s="145"/>
      <c r="C12" s="147"/>
      <c r="D12" s="149"/>
      <c r="E12" s="152"/>
      <c r="F12" s="153"/>
    </row>
    <row r="13" spans="1:6" ht="33.75" customHeight="1" x14ac:dyDescent="0.25">
      <c r="A13" s="154"/>
      <c r="B13" s="154"/>
      <c r="C13" s="67"/>
      <c r="D13" s="73"/>
      <c r="E13" s="155"/>
      <c r="F13" s="156"/>
    </row>
    <row r="14" spans="1:6" ht="30.75" customHeight="1" x14ac:dyDescent="0.25">
      <c r="A14" s="157"/>
      <c r="B14" s="158"/>
      <c r="C14" s="67"/>
      <c r="D14" s="73"/>
      <c r="E14" s="155"/>
      <c r="F14" s="156"/>
    </row>
    <row r="15" spans="1:6" ht="33" customHeight="1" x14ac:dyDescent="0.25">
      <c r="A15" s="157"/>
      <c r="B15" s="158"/>
      <c r="C15" s="67"/>
      <c r="D15" s="73"/>
      <c r="E15" s="155"/>
      <c r="F15" s="156"/>
    </row>
    <row r="16" spans="1:6" ht="39.75" customHeight="1" x14ac:dyDescent="0.25">
      <c r="A16" s="157"/>
      <c r="B16" s="158"/>
      <c r="C16" s="67"/>
      <c r="D16" s="73"/>
      <c r="E16" s="155"/>
      <c r="F16" s="156"/>
    </row>
    <row r="17" spans="1:6" ht="24.75" customHeight="1" x14ac:dyDescent="0.25">
      <c r="A17" s="154"/>
      <c r="B17" s="154"/>
      <c r="C17" s="67"/>
      <c r="D17" s="73"/>
      <c r="E17" s="155"/>
      <c r="F17" s="156"/>
    </row>
    <row r="18" spans="1:6" ht="24.75" customHeight="1" x14ac:dyDescent="0.25">
      <c r="A18" s="154"/>
      <c r="B18" s="154"/>
      <c r="C18" s="67"/>
      <c r="D18" s="73"/>
      <c r="E18" s="155"/>
      <c r="F18" s="156"/>
    </row>
    <row r="19" spans="1:6" ht="24.75" customHeight="1" x14ac:dyDescent="0.25">
      <c r="A19" s="154"/>
      <c r="B19" s="154"/>
      <c r="C19" s="67"/>
      <c r="D19" s="73"/>
      <c r="E19" s="155"/>
      <c r="F19" s="156"/>
    </row>
    <row r="20" spans="1:6" x14ac:dyDescent="0.25">
      <c r="A20" s="68"/>
      <c r="B20" s="68"/>
      <c r="C20" s="68"/>
      <c r="D20" s="68"/>
      <c r="E20" s="74" t="s">
        <v>923</v>
      </c>
      <c r="F20" s="75">
        <f>SUM(D13:D19)</f>
        <v>0</v>
      </c>
    </row>
    <row r="21" spans="1:6" ht="26.25" customHeight="1" x14ac:dyDescent="0.25">
      <c r="A21" s="69" t="s">
        <v>924</v>
      </c>
      <c r="B21" s="162" t="str">
        <f>Apalabra(F20)</f>
        <v/>
      </c>
      <c r="C21" s="162"/>
      <c r="D21" s="162"/>
      <c r="E21" s="162"/>
      <c r="F21" s="162"/>
    </row>
    <row r="22" spans="1:6" ht="16.5" x14ac:dyDescent="0.3">
      <c r="A22" s="70"/>
      <c r="B22" s="71"/>
      <c r="C22" s="71"/>
      <c r="D22" s="71"/>
      <c r="E22" s="68"/>
      <c r="F22" s="68"/>
    </row>
    <row r="23" spans="1:6" x14ac:dyDescent="0.25">
      <c r="A23" s="68"/>
      <c r="B23" s="68"/>
      <c r="C23" s="71"/>
      <c r="D23" s="71"/>
      <c r="E23" s="68"/>
      <c r="F23" s="68"/>
    </row>
    <row r="24" spans="1:6" ht="16.5" x14ac:dyDescent="0.3">
      <c r="A24" s="72"/>
      <c r="B24" s="72"/>
      <c r="C24" s="71"/>
      <c r="D24" s="71"/>
      <c r="E24" s="68"/>
      <c r="F24" s="68"/>
    </row>
    <row r="25" spans="1:6" ht="16.5" x14ac:dyDescent="0.25">
      <c r="A25" s="159"/>
      <c r="B25" s="160"/>
      <c r="C25" s="160"/>
      <c r="D25" s="160"/>
      <c r="E25" s="160"/>
      <c r="F25" s="161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63" t="s">
        <v>20</v>
      </c>
      <c r="F1" s="164"/>
      <c r="G1" s="165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3" t="s">
        <v>23</v>
      </c>
      <c r="R1" s="20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8" t="str">
        <f>CONCATENATE(E2,"    ",F2,"    ",G2)</f>
        <v>FERNANDO    OLIVERA    ROCHA</v>
      </c>
      <c r="Q2" s="12" t="s">
        <v>255</v>
      </c>
      <c r="R2" s="21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8" t="str">
        <f t="shared" ref="P3:P66" si="0">CONCATENATE(E3,"    ",F3,"    ",G3)</f>
        <v>MARICARMEN    VELA    ESCAMILLA</v>
      </c>
      <c r="Q3" s="12" t="s">
        <v>262</v>
      </c>
      <c r="R3" s="21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8" t="str">
        <f t="shared" si="0"/>
        <v>JUAN IVAN    GARCIA    REYNA</v>
      </c>
      <c r="Q4" s="12" t="s">
        <v>269</v>
      </c>
      <c r="R4" s="21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8" t="str">
        <f t="shared" si="0"/>
        <v>ERNESTO RAMON    COVARRUBIAS    MARTINEZ</v>
      </c>
      <c r="Q5" s="12" t="s">
        <v>274</v>
      </c>
      <c r="R5" s="21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8" t="str">
        <f t="shared" si="0"/>
        <v>ROGELIO    MARTINEZ    CABALLERO</v>
      </c>
      <c r="Q6" s="12" t="s">
        <v>281</v>
      </c>
      <c r="R6" s="21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8" t="str">
        <f t="shared" si="0"/>
        <v>FRIDA XIMENA    HUETT    LOPEZ</v>
      </c>
      <c r="Q7" s="12" t="s">
        <v>287</v>
      </c>
      <c r="R7" s="21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8" t="str">
        <f t="shared" si="0"/>
        <v>MANUEL    CAMACHO    PICHARDO</v>
      </c>
      <c r="Q8" s="12" t="s">
        <v>292</v>
      </c>
      <c r="R8" s="21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8" t="str">
        <f t="shared" si="0"/>
        <v>MARIA DE LOURDES    PONCE DE LEON    MIRELES</v>
      </c>
      <c r="Q9" s="12" t="s">
        <v>299</v>
      </c>
      <c r="R9" s="21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8" t="str">
        <f t="shared" si="0"/>
        <v>TERESITA DE JESUS    TAVARES    GAYTAN</v>
      </c>
      <c r="Q10" s="12" t="s">
        <v>304</v>
      </c>
      <c r="R10" s="21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8" t="str">
        <f t="shared" si="0"/>
        <v>ADRIANA    COLLAZO    VALADEZ</v>
      </c>
      <c r="Q11" s="12" t="s">
        <v>309</v>
      </c>
      <c r="R11" s="21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8" t="str">
        <f t="shared" si="0"/>
        <v>MIRIAM CECILIA    ADAME    ALCARAZ</v>
      </c>
      <c r="Q12" s="12" t="s">
        <v>314</v>
      </c>
      <c r="R12" s="21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8" t="str">
        <f t="shared" si="0"/>
        <v>ADRIANA    JARDON    SALAZAR</v>
      </c>
      <c r="Q13" s="12" t="s">
        <v>318</v>
      </c>
      <c r="R13" s="21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8" t="str">
        <f t="shared" si="0"/>
        <v>ABRAHAM RAFAEL    NAVARRO    GONZALEZ</v>
      </c>
      <c r="Q14" s="12" t="s">
        <v>322</v>
      </c>
      <c r="R14" s="21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8" t="str">
        <f t="shared" si="0"/>
        <v>JAZMIN MARGARITA    LEON    MANRIQUE</v>
      </c>
      <c r="Q15" s="12" t="s">
        <v>327</v>
      </c>
      <c r="R15" s="21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8" t="str">
        <f t="shared" si="0"/>
        <v>BETZAHIRA SARAI    MENDOZA    MONTOYA</v>
      </c>
      <c r="Q16" s="12" t="s">
        <v>304</v>
      </c>
      <c r="R16" s="21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8" t="str">
        <f t="shared" si="0"/>
        <v>LILIA ANAYANSI    TAPIA    CURIEL</v>
      </c>
      <c r="Q17" s="12" t="s">
        <v>336</v>
      </c>
      <c r="R17" s="21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8" t="str">
        <f t="shared" si="0"/>
        <v>ILIANA ALEJANDRA    BERNARDINO    CRUZ</v>
      </c>
      <c r="Q18" s="12" t="s">
        <v>343</v>
      </c>
      <c r="R18" s="21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8" t="str">
        <f t="shared" si="0"/>
        <v>JORGE LUIS    CABREJOS    SAMAME</v>
      </c>
      <c r="Q19" s="12" t="s">
        <v>349</v>
      </c>
      <c r="R19" s="21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8" t="str">
        <f t="shared" si="0"/>
        <v>JOSE MARIA    MELGAR    AZANZA</v>
      </c>
      <c r="Q20" s="12" t="s">
        <v>354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8" t="str">
        <f t="shared" si="0"/>
        <v>BRENDA BIBIANA    MARTINEZ    AGUADO</v>
      </c>
      <c r="Q21" s="12" t="s">
        <v>358</v>
      </c>
      <c r="R21" s="21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8" t="str">
        <f t="shared" si="0"/>
        <v>LUCIA GABRIELA    GARCIA    NIETO</v>
      </c>
      <c r="Q22" s="12" t="s">
        <v>362</v>
      </c>
      <c r="R22" s="21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8" t="str">
        <f t="shared" si="0"/>
        <v>ARACELI    ROSALES    SANTOYO</v>
      </c>
      <c r="Q23" s="12" t="s">
        <v>367</v>
      </c>
      <c r="R23" s="21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8" t="str">
        <f t="shared" si="0"/>
        <v>ALDO GENARO    SANCHEZ    RODRIGUEZ</v>
      </c>
      <c r="Q24" s="12" t="s">
        <v>371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8" t="str">
        <f t="shared" si="0"/>
        <v>ANGELICA    LOPEZ    LOPEZ</v>
      </c>
      <c r="Q25" s="12" t="s">
        <v>375</v>
      </c>
      <c r="R25" s="21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8" t="str">
        <f t="shared" si="0"/>
        <v>CARLOS ENRIQUE    RIVERA    CORDERO</v>
      </c>
      <c r="Q26" s="12" t="s">
        <v>379</v>
      </c>
      <c r="R26" s="21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8" t="str">
        <f t="shared" si="0"/>
        <v>FIDEL RAMIRO    GUERRA    VALLEJO</v>
      </c>
      <c r="Q27" s="12" t="s">
        <v>385</v>
      </c>
      <c r="R27" s="21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8" t="str">
        <f t="shared" si="0"/>
        <v>MARTHA PATRICIA    URRUTIA    CORTES</v>
      </c>
      <c r="Q28" s="12" t="s">
        <v>389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8" t="str">
        <f t="shared" si="0"/>
        <v>JOSE DANIEL    SALAS    GARCIA</v>
      </c>
      <c r="Q29" s="12" t="s">
        <v>393</v>
      </c>
      <c r="R29" s="21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8" t="str">
        <f t="shared" si="0"/>
        <v>J JESUS    BARBOSA    AVILA</v>
      </c>
      <c r="Q30" s="12" t="s">
        <v>196</v>
      </c>
      <c r="R30" s="21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8" t="str">
        <f t="shared" si="0"/>
        <v>ADRIANA LORENA    JASSO    MEDINA</v>
      </c>
      <c r="Q31" s="12" t="s">
        <v>402</v>
      </c>
      <c r="R31" s="21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8" t="str">
        <f t="shared" si="0"/>
        <v>DORIS LORENA    ALBA    GONZALEZ</v>
      </c>
      <c r="Q32" s="12" t="s">
        <v>406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8" t="str">
        <f t="shared" si="0"/>
        <v>CECILIA    TERAN    OLMOS</v>
      </c>
      <c r="Q33" s="12" t="s">
        <v>411</v>
      </c>
      <c r="R33" s="21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8" t="str">
        <f t="shared" si="0"/>
        <v>LUIS ENRIQUE    FLORES    GRANADOS</v>
      </c>
      <c r="Q34" s="12" t="s">
        <v>416</v>
      </c>
      <c r="R34" s="21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8" t="str">
        <f t="shared" si="0"/>
        <v>OCTAVIO HUMBERTO    AGUILAR    MATA</v>
      </c>
      <c r="Q35" s="12" t="s">
        <v>421</v>
      </c>
      <c r="R35" s="21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8" t="str">
        <f t="shared" si="0"/>
        <v>ADRIANA    ISLAS    RODRIGUEZ</v>
      </c>
      <c r="Q36" s="12" t="s">
        <v>425</v>
      </c>
      <c r="R36" s="21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8" t="str">
        <f t="shared" si="0"/>
        <v>RICARDO    VAZQUEZ    LOPEZ</v>
      </c>
      <c r="Q37" s="12" t="s">
        <v>428</v>
      </c>
      <c r="R37" s="21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8" t="str">
        <f t="shared" si="0"/>
        <v>SERGIO KARLO    BELTRAN    LARA</v>
      </c>
      <c r="Q38" s="12" t="s">
        <v>433</v>
      </c>
      <c r="R38" s="21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8" t="str">
        <f t="shared" si="0"/>
        <v>MA CONSUELO    HERNANDEZ    PEREZ</v>
      </c>
      <c r="Q39" s="12" t="s">
        <v>436</v>
      </c>
      <c r="R39" s="21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8" t="str">
        <f t="shared" si="0"/>
        <v>MARISELA    CAMPOS    CRUZ</v>
      </c>
      <c r="Q40" s="12" t="s">
        <v>440</v>
      </c>
      <c r="R40" s="21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8" t="str">
        <f t="shared" si="0"/>
        <v>JONATHAN HAZAEL    MARES    MENDEZ</v>
      </c>
      <c r="Q41" s="12" t="s">
        <v>444</v>
      </c>
      <c r="R41" s="21" t="str">
        <f t="shared" si="1"/>
        <v>C2103     GEGCF54015</v>
      </c>
    </row>
    <row r="42" spans="1:18" thickBot="1" x14ac:dyDescent="0.35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8" t="str">
        <f t="shared" si="0"/>
        <v>GLORIA    RODRIGUEZ    ZARATE</v>
      </c>
      <c r="Q42" s="12" t="s">
        <v>304</v>
      </c>
      <c r="R42" s="21" t="str">
        <f t="shared" si="1"/>
        <v>C2103     GEGCF52044</v>
      </c>
    </row>
    <row r="43" spans="1:18" thickBot="1" x14ac:dyDescent="0.35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8" t="str">
        <f t="shared" si="0"/>
        <v>ROBERTO WILLEBALDO    CARDENAS    HERNANDEZ</v>
      </c>
      <c r="Q43" s="12" t="s">
        <v>451</v>
      </c>
      <c r="R43" s="21" t="str">
        <f t="shared" si="1"/>
        <v>C2104     GEGCF52002</v>
      </c>
    </row>
    <row r="44" spans="1:18" thickBot="1" x14ac:dyDescent="0.35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8" t="str">
        <f t="shared" si="0"/>
        <v>LUZ MARGARITA    ROBLEDO    OLIVARES</v>
      </c>
      <c r="Q44" s="12" t="s">
        <v>456</v>
      </c>
      <c r="R44" s="21" t="str">
        <f t="shared" si="1"/>
        <v>C2104     GEGCF52044</v>
      </c>
    </row>
    <row r="45" spans="1:18" ht="14.45" x14ac:dyDescent="0.3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8" t="str">
        <f t="shared" si="0"/>
        <v>IRAZEMA DEL ROCIO    ALVAREZ    PEREZ</v>
      </c>
      <c r="Q45" s="12" t="s">
        <v>459</v>
      </c>
      <c r="R45" s="21" t="str">
        <f t="shared" si="1"/>
        <v>C2104     GEGCF52024</v>
      </c>
    </row>
    <row r="46" spans="1:18" ht="14.45" x14ac:dyDescent="0.3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8" t="str">
        <f t="shared" si="0"/>
        <v>PAOLA    RAMOS    VERA</v>
      </c>
      <c r="Q46" s="12" t="s">
        <v>465</v>
      </c>
      <c r="R46" s="21" t="str">
        <f t="shared" si="1"/>
        <v>C2102     GEGCF54060</v>
      </c>
    </row>
    <row r="47" spans="1:18" ht="14.45" x14ac:dyDescent="0.3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8" t="str">
        <f t="shared" si="0"/>
        <v>TANIA LUCERO    LOPEZ    GONZALEZ</v>
      </c>
      <c r="Q47" s="12" t="s">
        <v>469</v>
      </c>
      <c r="R47" s="21" t="str">
        <f t="shared" si="1"/>
        <v>C2102     GEGCF52044</v>
      </c>
    </row>
    <row r="48" spans="1:18" ht="14.45" x14ac:dyDescent="0.3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8" t="str">
        <f t="shared" si="0"/>
        <v>JUAN ANGEL    HORTA    GARCIA</v>
      </c>
      <c r="Q48" s="12" t="s">
        <v>473</v>
      </c>
      <c r="R48" s="21" t="str">
        <f t="shared" si="1"/>
        <v>C2101     GEGCF52023</v>
      </c>
    </row>
    <row r="49" spans="1:18" ht="14.45" x14ac:dyDescent="0.3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8" t="str">
        <f t="shared" si="0"/>
        <v>ALVARO    GONZALEZ    ARREDONDO</v>
      </c>
      <c r="Q49" s="12" t="s">
        <v>274</v>
      </c>
      <c r="R49" s="21" t="str">
        <f t="shared" si="1"/>
        <v>C2101     GEGOS05002</v>
      </c>
    </row>
    <row r="50" spans="1:18" ht="14.45" x14ac:dyDescent="0.3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8" t="str">
        <f t="shared" si="0"/>
        <v>DOLORES ARMANDO    SANTOYO    HIDALGO</v>
      </c>
      <c r="Q50" s="12" t="s">
        <v>480</v>
      </c>
      <c r="R50" s="21" t="str">
        <f t="shared" si="1"/>
        <v>C2101     GEGOS05002</v>
      </c>
    </row>
    <row r="51" spans="1:18" ht="14.45" x14ac:dyDescent="0.3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8" t="str">
        <f t="shared" si="0"/>
        <v>LUIS ALBERTO    ESPINOZA    MARTINEZ</v>
      </c>
      <c r="Q51" s="12" t="s">
        <v>385</v>
      </c>
      <c r="R51" s="21" t="str">
        <f t="shared" si="1"/>
        <v>C2103     GEGEA08001</v>
      </c>
    </row>
    <row r="52" spans="1:18" ht="14.45" x14ac:dyDescent="0.3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8" t="str">
        <f t="shared" si="0"/>
        <v>MA GUADALUPE    MEDINA    ZARATE</v>
      </c>
      <c r="Q52" s="12" t="s">
        <v>485</v>
      </c>
      <c r="R52" s="21" t="str">
        <f t="shared" si="1"/>
        <v>C2101     GEGCF54023</v>
      </c>
    </row>
    <row r="53" spans="1:18" ht="14.45" x14ac:dyDescent="0.3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8" t="str">
        <f t="shared" si="0"/>
        <v>DULCE MARIA TERESITA    CABRERA    SOLANO</v>
      </c>
      <c r="Q53" s="12" t="s">
        <v>491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8" t="str">
        <f t="shared" si="0"/>
        <v>MONICA ISABEL    RICO    GAMIÑO</v>
      </c>
      <c r="Q54" s="12" t="s">
        <v>497</v>
      </c>
      <c r="R54" s="21" t="str">
        <f t="shared" si="1"/>
        <v>C2101     GEGCF54023</v>
      </c>
    </row>
    <row r="55" spans="1:18" ht="14.45" x14ac:dyDescent="0.3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8" t="str">
        <f t="shared" si="0"/>
        <v>GRACIELA    ALVAREZ    GARCIA</v>
      </c>
      <c r="Q55" s="12" t="s">
        <v>500</v>
      </c>
      <c r="R55" s="21" t="str">
        <f t="shared" si="1"/>
        <v>C2101     GEGCF54023</v>
      </c>
    </row>
    <row r="56" spans="1:18" ht="14.45" x14ac:dyDescent="0.3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8" t="str">
        <f t="shared" si="0"/>
        <v>GESARELA    MARISCAL    CALDERON</v>
      </c>
      <c r="Q56" s="12" t="s">
        <v>100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8" t="str">
        <f t="shared" si="0"/>
        <v>ARNULFO    OLVERA    NOVOA</v>
      </c>
      <c r="Q57" s="12" t="s">
        <v>509</v>
      </c>
      <c r="R57" s="21" t="str">
        <f t="shared" si="1"/>
        <v>C2101     GEGCF54030</v>
      </c>
    </row>
    <row r="58" spans="1:18" ht="14.45" x14ac:dyDescent="0.3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8" t="str">
        <f t="shared" si="0"/>
        <v>JESSICA    AGUILERA    ZAVALA</v>
      </c>
      <c r="Q58" s="12" t="s">
        <v>513</v>
      </c>
      <c r="R58" s="21" t="str">
        <f t="shared" si="1"/>
        <v>C2101     GEGCF54030</v>
      </c>
    </row>
    <row r="59" spans="1:18" ht="14.45" x14ac:dyDescent="0.3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8" t="str">
        <f t="shared" si="0"/>
        <v>LUZ JOHANA    RODRIGUEZ    GONZALEZ</v>
      </c>
      <c r="Q59" s="12" t="s">
        <v>516</v>
      </c>
      <c r="R59" s="21" t="str">
        <f t="shared" si="1"/>
        <v>C2101     GEGCF54030</v>
      </c>
    </row>
    <row r="60" spans="1:18" ht="14.45" x14ac:dyDescent="0.3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8" t="str">
        <f t="shared" si="0"/>
        <v>ANA MARIA    RAMOS    CHAVIRA</v>
      </c>
      <c r="Q60" s="12" t="s">
        <v>520</v>
      </c>
      <c r="R60" s="21" t="str">
        <f t="shared" si="1"/>
        <v>C2101     GEGCF54030</v>
      </c>
    </row>
    <row r="61" spans="1:18" ht="14.45" x14ac:dyDescent="0.3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8" t="str">
        <f t="shared" si="0"/>
        <v>LAURA SAMANTHA    VARELA    RODRIGUEZ</v>
      </c>
      <c r="Q61" s="12" t="s">
        <v>524</v>
      </c>
      <c r="R61" s="21" t="str">
        <f t="shared" si="1"/>
        <v>C2101     GEGCF54030</v>
      </c>
    </row>
    <row r="62" spans="1:18" ht="14.45" x14ac:dyDescent="0.3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8" t="str">
        <f t="shared" si="0"/>
        <v>CELESTE    MURILLO    CHAVEZ</v>
      </c>
      <c r="Q62" s="12" t="s">
        <v>527</v>
      </c>
      <c r="R62" s="21" t="str">
        <f t="shared" si="1"/>
        <v>C2101     GEGCF54022</v>
      </c>
    </row>
    <row r="63" spans="1:18" ht="14.45" x14ac:dyDescent="0.3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8" t="str">
        <f t="shared" si="0"/>
        <v>MARIA DEL CARMEN    GONZALEZ    ANDALON</v>
      </c>
      <c r="Q63" s="12" t="s">
        <v>532</v>
      </c>
      <c r="R63" s="21" t="str">
        <f t="shared" si="1"/>
        <v>C2101     GEGCF54030</v>
      </c>
    </row>
    <row r="64" spans="1:18" ht="14.45" x14ac:dyDescent="0.3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8" t="str">
        <f t="shared" si="0"/>
        <v>DANIELA    TOVAR    SANCHEZ</v>
      </c>
      <c r="Q64" s="12" t="s">
        <v>536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8" t="str">
        <f t="shared" si="0"/>
        <v>LAURA    SANTIBAÑEZ    RODRIGUEZ</v>
      </c>
      <c r="Q65" s="12" t="s">
        <v>540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8" t="str">
        <f t="shared" si="0"/>
        <v>STEPHANIE LARISA    CEDILLO    OROZCO</v>
      </c>
      <c r="Q66" s="12" t="s">
        <v>544</v>
      </c>
      <c r="R66" s="21" t="str">
        <f t="shared" si="1"/>
        <v>C2104     GEGCF54030</v>
      </c>
    </row>
    <row r="67" spans="1:18" ht="14.45" x14ac:dyDescent="0.3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8" t="str">
        <f t="shared" ref="P67:P130" si="2">CONCATENATE(E67,"    ",F67,"    ",G67)</f>
        <v>JUAN SALVADOR    RANGEL    COSME</v>
      </c>
      <c r="Q67" s="12" t="s">
        <v>548</v>
      </c>
      <c r="R67" s="21" t="str">
        <f t="shared" ref="R67:R110" si="3">CONCATENATE(N67,M67,L94)</f>
        <v>C2104     GEGCF54030</v>
      </c>
    </row>
    <row r="68" spans="1:18" ht="14.45" x14ac:dyDescent="0.3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8" t="str">
        <f t="shared" si="2"/>
        <v>JAVIER    PACHECO    CANO</v>
      </c>
      <c r="Q68" s="12" t="s">
        <v>553</v>
      </c>
      <c r="R68" s="21" t="str">
        <f t="shared" si="3"/>
        <v>C2101     GEGCF12028</v>
      </c>
    </row>
    <row r="69" spans="1:18" ht="14.45" x14ac:dyDescent="0.3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8" t="str">
        <f t="shared" si="2"/>
        <v>AURA FABIOLA    ROMERO    FONSECA</v>
      </c>
      <c r="Q69" s="12" t="s">
        <v>557</v>
      </c>
      <c r="R69" s="21" t="str">
        <f t="shared" si="3"/>
        <v>C2101     GEGCF12028</v>
      </c>
    </row>
    <row r="70" spans="1:18" ht="14.45" x14ac:dyDescent="0.3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8" t="str">
        <f t="shared" si="2"/>
        <v>MARIA DEL ROSARIO    ALVAREZ    MACIAS</v>
      </c>
      <c r="Q70" s="12" t="s">
        <v>561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8" t="str">
        <f t="shared" si="2"/>
        <v>YUNUEN STEPHANIE    JIMENEZ    MEJIA</v>
      </c>
      <c r="Q71" s="12" t="s">
        <v>565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8" t="str">
        <f t="shared" si="2"/>
        <v>EDUARDO    ABURTO    GARDUÑO</v>
      </c>
      <c r="Q72" s="12" t="s">
        <v>570</v>
      </c>
      <c r="R72" s="21" t="str">
        <f t="shared" si="3"/>
        <v>C2103     GEGCF12028</v>
      </c>
    </row>
    <row r="73" spans="1:18" ht="14.45" x14ac:dyDescent="0.3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8" t="str">
        <f t="shared" si="2"/>
        <v>JORGE ARTURO    RINCON    CASIAN</v>
      </c>
      <c r="Q73" s="12" t="s">
        <v>575</v>
      </c>
      <c r="R73" s="21" t="str">
        <f t="shared" si="3"/>
        <v>C2101     GEGCF12028</v>
      </c>
    </row>
    <row r="74" spans="1:18" ht="14.45" x14ac:dyDescent="0.3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8" t="str">
        <f t="shared" si="2"/>
        <v>ROBERTO    RUIZ DE ESPARZA    VIDAL</v>
      </c>
      <c r="Q74" s="12" t="s">
        <v>580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8" t="str">
        <f t="shared" si="2"/>
        <v>CARLOS ROBERTO    VERA    ZUÑIGA</v>
      </c>
      <c r="Q75" s="12" t="s">
        <v>584</v>
      </c>
      <c r="R75" s="21" t="str">
        <f t="shared" si="3"/>
        <v>C2101     GEGCF54015</v>
      </c>
    </row>
    <row r="76" spans="1:18" ht="14.45" x14ac:dyDescent="0.3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8" t="str">
        <f t="shared" si="2"/>
        <v>KARINA    LOPEZ    ORTEGA</v>
      </c>
      <c r="Q76" s="12" t="s">
        <v>588</v>
      </c>
      <c r="R76" s="21" t="str">
        <f t="shared" si="3"/>
        <v>C2101     GEGCF52048</v>
      </c>
    </row>
    <row r="77" spans="1:18" ht="14.45" x14ac:dyDescent="0.3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8" t="str">
        <f t="shared" si="2"/>
        <v>CLAUDIA BELEN    GONZALEZ    LANDEROS</v>
      </c>
      <c r="Q77" s="12" t="s">
        <v>592</v>
      </c>
      <c r="R77" s="21" t="str">
        <f t="shared" si="3"/>
        <v>C2101     GEGCF52048</v>
      </c>
    </row>
    <row r="78" spans="1:18" ht="14.45" x14ac:dyDescent="0.3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8" t="str">
        <f t="shared" si="2"/>
        <v>JOSE LUIS    RODRIGUEZ    RODRIGUEZ</v>
      </c>
      <c r="Q78" s="12" t="s">
        <v>595</v>
      </c>
      <c r="R78" s="21" t="str">
        <f t="shared" si="3"/>
        <v>C2103     GEGCF52023</v>
      </c>
    </row>
    <row r="79" spans="1:18" ht="14.45" x14ac:dyDescent="0.3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8" t="str">
        <f t="shared" si="2"/>
        <v>ARTURO DE JESUS    MENDOZA    TORRES</v>
      </c>
      <c r="Q79" s="12" t="s">
        <v>100</v>
      </c>
      <c r="R79" s="21" t="str">
        <f t="shared" si="3"/>
        <v>C2101     GEGOS06002</v>
      </c>
    </row>
    <row r="80" spans="1:18" ht="14.45" x14ac:dyDescent="0.3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8" t="str">
        <f t="shared" si="2"/>
        <v>JOSE OSCAR    ORDAZ    OLVERA</v>
      </c>
      <c r="Q80" s="12" t="s">
        <v>602</v>
      </c>
      <c r="R80" s="21" t="str">
        <f t="shared" si="3"/>
        <v>C2101     GEGOS06002</v>
      </c>
    </row>
    <row r="81" spans="1:23" ht="14.45" x14ac:dyDescent="0.3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8" t="str">
        <f t="shared" si="2"/>
        <v>JOSE LUIS    OROZCO    CRUZ</v>
      </c>
      <c r="Q81" s="12" t="s">
        <v>604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8" t="str">
        <f t="shared" si="2"/>
        <v>FILOMENA    MARGAIZ    RAMIREZ</v>
      </c>
      <c r="Q82" s="12" t="s">
        <v>609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5"/>
      <c r="N83" s="15"/>
      <c r="O83" s="16" t="s">
        <v>40</v>
      </c>
      <c r="P83" s="19" t="str">
        <f t="shared" si="2"/>
        <v>MORENA MARIA    CANALES    MARTINEZ</v>
      </c>
      <c r="Q83" s="14" t="s">
        <v>37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5"/>
      <c r="N84" s="15"/>
      <c r="O84" s="16" t="s">
        <v>40</v>
      </c>
      <c r="P84" s="19" t="str">
        <f t="shared" si="2"/>
        <v>JUAN PABLO    CASTRO    GOMEZ</v>
      </c>
      <c r="Q84" s="14" t="s">
        <v>46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5"/>
      <c r="N85" s="15"/>
      <c r="O85" s="16" t="s">
        <v>40</v>
      </c>
      <c r="P85" s="19" t="str">
        <f t="shared" si="2"/>
        <v>MARIA YOSSELIN    ASCENCIO    VAZQUEZ</v>
      </c>
      <c r="Q85" s="14" t="s">
        <v>859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5"/>
      <c r="N86" s="15"/>
      <c r="O86" s="16" t="s">
        <v>40</v>
      </c>
      <c r="P86" s="19" t="str">
        <f t="shared" si="2"/>
        <v>JUAN MANUEL    ALVAREZ    ZAVALA</v>
      </c>
      <c r="Q86" s="14" t="s">
        <v>52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5"/>
      <c r="N87" s="15"/>
      <c r="O87" s="16" t="s">
        <v>40</v>
      </c>
      <c r="P87" s="19" t="str">
        <f t="shared" si="2"/>
        <v>MARIANA ZURIZADAI    TORRES    TORRES</v>
      </c>
      <c r="Q87" s="14" t="s">
        <v>58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7"/>
      <c r="N88" s="17"/>
      <c r="O88" s="16" t="s">
        <v>40</v>
      </c>
      <c r="P88" s="19" t="str">
        <f t="shared" si="2"/>
        <v>MARTINA    MOCTEZUMA    MARTINEZ</v>
      </c>
      <c r="Q88" s="14" t="s">
        <v>63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5"/>
      <c r="N89" s="15"/>
      <c r="O89" s="16" t="s">
        <v>40</v>
      </c>
      <c r="P89" s="19" t="str">
        <f t="shared" si="2"/>
        <v>ROSA CAROLINA    RODRIGUEZ    MARTINEZ</v>
      </c>
      <c r="Q89" s="14" t="s">
        <v>67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5"/>
      <c r="N90" s="15"/>
      <c r="O90" s="16" t="s">
        <v>40</v>
      </c>
      <c r="P90" s="19" t="str">
        <f t="shared" si="2"/>
        <v>ADAN    LOPEZ    MONTENEGRO</v>
      </c>
      <c r="Q90" s="14" t="s">
        <v>73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5"/>
      <c r="N91" s="15"/>
      <c r="O91" s="16" t="s">
        <v>40</v>
      </c>
      <c r="P91" s="19" t="str">
        <f t="shared" si="2"/>
        <v>PAULINA JAZMIN    ORTEGA    HERNANDEZ</v>
      </c>
      <c r="Q91" s="14" t="s">
        <v>862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5"/>
      <c r="N92" s="15"/>
      <c r="O92" s="16" t="s">
        <v>40</v>
      </c>
      <c r="P92" s="19" t="str">
        <f t="shared" si="2"/>
        <v>IVAN    MARTINEZ    CISNEROS</v>
      </c>
      <c r="Q92" s="14" t="s">
        <v>79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5"/>
      <c r="N93" s="15"/>
      <c r="O93" s="16" t="s">
        <v>40</v>
      </c>
      <c r="P93" s="19" t="str">
        <f t="shared" si="2"/>
        <v>TULIO GUILLERMO    ALAMO    ARREDONDO</v>
      </c>
      <c r="Q93" s="14" t="s">
        <v>84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5"/>
      <c r="N94" s="15"/>
      <c r="O94" s="16" t="s">
        <v>40</v>
      </c>
      <c r="P94" s="19" t="str">
        <f t="shared" si="2"/>
        <v>ASTRID BERENICE    RANGEL    PEREZ</v>
      </c>
      <c r="Q94" s="14" t="s">
        <v>89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5"/>
      <c r="N95" s="15"/>
      <c r="O95" s="16" t="s">
        <v>40</v>
      </c>
      <c r="P95" s="19" t="str">
        <f t="shared" si="2"/>
        <v>RODOLFO JONATHAN MARTIN    MORENO    GODINEZ</v>
      </c>
      <c r="Q95" s="14" t="s">
        <v>95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5"/>
      <c r="N96" s="15"/>
      <c r="O96" s="16" t="s">
        <v>40</v>
      </c>
      <c r="P96" s="19" t="str">
        <f t="shared" si="2"/>
        <v>LILIA KAREN    MAYORGA    GUADIAN</v>
      </c>
      <c r="Q96" s="14" t="s">
        <v>867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5"/>
      <c r="N97" s="15"/>
      <c r="O97" s="16" t="s">
        <v>40</v>
      </c>
      <c r="P97" s="19" t="str">
        <f t="shared" si="2"/>
        <v>PATRICIA    CORTES    VIVANCO</v>
      </c>
      <c r="Q97" s="14" t="s">
        <v>100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5"/>
      <c r="N98" s="15"/>
      <c r="O98" s="16" t="s">
        <v>40</v>
      </c>
      <c r="P98" s="19" t="str">
        <f t="shared" si="2"/>
        <v>SOFIA DEL PILAR    HERNANDEZ    HUERTA</v>
      </c>
      <c r="Q98" s="14" t="s">
        <v>106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5"/>
      <c r="N99" s="15"/>
      <c r="O99" s="16" t="s">
        <v>40</v>
      </c>
      <c r="P99" s="19" t="str">
        <f t="shared" si="2"/>
        <v>ALEJANDRA    LOPEZ    LADRON DE GUEVARA</v>
      </c>
      <c r="Q99" s="14" t="s">
        <v>110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5"/>
      <c r="N100" s="15"/>
      <c r="O100" s="16" t="s">
        <v>40</v>
      </c>
      <c r="P100" s="19" t="str">
        <f t="shared" si="2"/>
        <v>MARTHA ANGELICA    TAVAREZ    CONTRERAS</v>
      </c>
      <c r="Q100" s="14" t="s">
        <v>115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5"/>
      <c r="N101" s="15"/>
      <c r="O101" s="16" t="s">
        <v>40</v>
      </c>
      <c r="P101" s="19" t="str">
        <f t="shared" si="2"/>
        <v>JUAN CARLOS    CECILIO    PADILLA</v>
      </c>
      <c r="Q101" s="14" t="s">
        <v>871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5"/>
      <c r="N102" s="15"/>
      <c r="O102" s="16" t="s">
        <v>40</v>
      </c>
      <c r="P102" s="19" t="str">
        <f t="shared" si="2"/>
        <v>CARLOS GUSTAVO    SOTO    OROZCO</v>
      </c>
      <c r="Q102" s="14" t="s">
        <v>120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5"/>
      <c r="N103" s="15"/>
      <c r="O103" s="16" t="s">
        <v>40</v>
      </c>
      <c r="P103" s="19" t="str">
        <f t="shared" si="2"/>
        <v>FRANCISCO JAVIER    ESPINOZA    ORTIZ</v>
      </c>
      <c r="Q103" s="14" t="s">
        <v>126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5"/>
      <c r="N104" s="15"/>
      <c r="O104" s="16" t="s">
        <v>40</v>
      </c>
      <c r="P104" s="19" t="str">
        <f t="shared" si="2"/>
        <v>JORGE ALBERTO    CABALLERO    CORDOVA</v>
      </c>
      <c r="Q104" s="14" t="s">
        <v>872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5"/>
      <c r="N105" s="15"/>
      <c r="O105" s="16" t="s">
        <v>40</v>
      </c>
      <c r="P105" s="19" t="str">
        <f t="shared" si="2"/>
        <v>KARLA THALIA    MENDEZ    ALVAREZ</v>
      </c>
      <c r="Q105" s="14" t="s">
        <v>134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5"/>
      <c r="N106" s="15"/>
      <c r="O106" s="16" t="s">
        <v>40</v>
      </c>
      <c r="P106" s="19" t="str">
        <f t="shared" si="2"/>
        <v>GUADALUPE DEL SOCORRO    CHAVEZ    ESCOBAR</v>
      </c>
      <c r="Q106" s="14" t="s">
        <v>139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5"/>
      <c r="N107" s="15"/>
      <c r="O107" s="16" t="s">
        <v>40</v>
      </c>
      <c r="P107" s="19" t="str">
        <f t="shared" si="2"/>
        <v>CRISTABEL    BORJA    AHEDO</v>
      </c>
      <c r="Q107" s="14" t="s">
        <v>144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5"/>
      <c r="N108" s="15"/>
      <c r="O108" s="16" t="s">
        <v>40</v>
      </c>
      <c r="P108" s="19" t="str">
        <f t="shared" si="2"/>
        <v>ANA KARINA    PALMAS    ESPINOSA</v>
      </c>
      <c r="Q108" s="14" t="s">
        <v>149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5"/>
      <c r="N109" s="15"/>
      <c r="O109" s="16" t="s">
        <v>40</v>
      </c>
      <c r="P109" s="19" t="str">
        <f t="shared" si="2"/>
        <v>BLANCA YAZMIN    VAZQUEZ    MEDINA</v>
      </c>
      <c r="Q109" s="14" t="s">
        <v>154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5"/>
      <c r="N110" s="15"/>
      <c r="O110" s="16" t="s">
        <v>40</v>
      </c>
      <c r="P110" s="19" t="str">
        <f t="shared" si="2"/>
        <v>VALERIA    CECCOPIERI    GODINEZ</v>
      </c>
      <c r="Q110" s="14" t="s">
        <v>158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5"/>
      <c r="N111" s="15"/>
      <c r="O111" s="16" t="s">
        <v>40</v>
      </c>
      <c r="P111" s="19" t="str">
        <f t="shared" si="2"/>
        <v>JOSE ANTONIO    JUAREZ    RIVERA</v>
      </c>
      <c r="Q111" s="14" t="s">
        <v>158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5"/>
      <c r="N112" s="15"/>
      <c r="O112" s="16" t="s">
        <v>40</v>
      </c>
      <c r="P112" s="19" t="str">
        <f t="shared" si="2"/>
        <v>DANIEL MAXIMINO    CANCHOLA    MURGUIA</v>
      </c>
      <c r="Q112" s="14" t="s">
        <v>167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5"/>
      <c r="N113" s="15"/>
      <c r="O113" s="16" t="s">
        <v>40</v>
      </c>
      <c r="P113" s="19" t="str">
        <f t="shared" si="2"/>
        <v>OSCAR LEONARDO    OROZCO    TURRUBIATES</v>
      </c>
      <c r="Q113" s="14" t="s">
        <v>171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5"/>
      <c r="N114" s="15"/>
      <c r="O114" s="16" t="s">
        <v>40</v>
      </c>
      <c r="P114" s="19" t="str">
        <f t="shared" si="2"/>
        <v>MARIA GUADALUPE    GUERRERO    ISAIS</v>
      </c>
      <c r="Q114" s="14" t="s">
        <v>100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5"/>
      <c r="N115" s="15"/>
      <c r="O115" s="16" t="s">
        <v>40</v>
      </c>
      <c r="P115" s="19" t="str">
        <f t="shared" si="2"/>
        <v>CLAUDIA CRISTINA    SANDI    GARCÍA</v>
      </c>
      <c r="Q115" s="14" t="s">
        <v>176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5"/>
      <c r="N116" s="15"/>
      <c r="O116" s="16" t="s">
        <v>40</v>
      </c>
      <c r="P116" s="19" t="str">
        <f t="shared" si="2"/>
        <v>JENIFFER IRAZU    MUÑIZ    ZAMUDIO</v>
      </c>
      <c r="Q116" s="14" t="s">
        <v>181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5"/>
      <c r="N117" s="15"/>
      <c r="O117" s="16" t="s">
        <v>40</v>
      </c>
      <c r="P117" s="19" t="str">
        <f t="shared" si="2"/>
        <v>HUGO    RAMIREZ    DUARTE</v>
      </c>
      <c r="Q117" s="14" t="s">
        <v>186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5"/>
      <c r="N118" s="15"/>
      <c r="O118" s="16" t="s">
        <v>40</v>
      </c>
      <c r="P118" s="19" t="str">
        <f t="shared" si="2"/>
        <v>MAURICIO ARATT    JACINTO    QUIROZ</v>
      </c>
      <c r="Q118" s="14" t="s">
        <v>191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5"/>
      <c r="N119" s="15"/>
      <c r="O119" s="16" t="s">
        <v>40</v>
      </c>
      <c r="P119" s="19" t="str">
        <f t="shared" si="2"/>
        <v>TANIA MARIELA    LUNA    CHAGOYA</v>
      </c>
      <c r="Q119" s="14" t="s">
        <v>196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5"/>
      <c r="N120" s="15"/>
      <c r="O120" s="16" t="s">
        <v>40</v>
      </c>
      <c r="P120" s="19" t="str">
        <f t="shared" si="2"/>
        <v>ATENEA    MORALES    MENDOZA</v>
      </c>
      <c r="Q120" s="14" t="s">
        <v>205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5"/>
      <c r="N121" s="15"/>
      <c r="O121" s="16" t="s">
        <v>40</v>
      </c>
      <c r="P121" s="19" t="str">
        <f t="shared" si="2"/>
        <v>LESLIE ANDREA    RAMIREZ    MENDOZA</v>
      </c>
      <c r="Q121" s="14" t="s">
        <v>879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5"/>
      <c r="N122" s="15"/>
      <c r="O122" s="16" t="s">
        <v>40</v>
      </c>
      <c r="P122" s="19" t="str">
        <f t="shared" si="2"/>
        <v>ANA RUTH    ANGEL    ROMERO</v>
      </c>
      <c r="Q122" s="14" t="s">
        <v>210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5"/>
      <c r="N123" s="15"/>
      <c r="O123" s="16" t="s">
        <v>40</v>
      </c>
      <c r="P123" s="19" t="str">
        <f t="shared" si="2"/>
        <v>ESTEFANIA    LOPEZ    ARREOLA</v>
      </c>
      <c r="Q123" s="14" t="s">
        <v>883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5"/>
      <c r="N124" s="15"/>
      <c r="O124" s="16" t="s">
        <v>40</v>
      </c>
      <c r="P124" s="19" t="str">
        <f t="shared" si="2"/>
        <v>ANDREA DASHA    ZUÑIGA    EMBRIZ</v>
      </c>
      <c r="Q124" s="14" t="s">
        <v>196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5"/>
      <c r="N125" s="15"/>
      <c r="O125" s="16" t="s">
        <v>40</v>
      </c>
      <c r="P125" s="19" t="str">
        <f t="shared" si="2"/>
        <v>CHRISTIAN ANGELICA ADELA    PORRAS    AVILA</v>
      </c>
      <c r="Q125" s="14" t="s">
        <v>215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5"/>
      <c r="N126" s="15"/>
      <c r="O126" s="16" t="s">
        <v>40</v>
      </c>
      <c r="P126" s="19" t="str">
        <f t="shared" si="2"/>
        <v>ILEANA    MORALES    GONZALEZ</v>
      </c>
      <c r="Q126" s="14" t="s">
        <v>889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5"/>
      <c r="N127" s="15"/>
      <c r="O127" s="16" t="s">
        <v>40</v>
      </c>
      <c r="P127" s="19" t="str">
        <f t="shared" si="2"/>
        <v>JULIO CESAR    AGUILAR    JIMENEZ</v>
      </c>
      <c r="Q127" s="14" t="s">
        <v>890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5"/>
      <c r="N128" s="15"/>
      <c r="O128" s="16" t="s">
        <v>40</v>
      </c>
      <c r="P128" s="19" t="str">
        <f t="shared" si="2"/>
        <v>MIGUEL ANGEL    PRO    BUZ</v>
      </c>
      <c r="Q128" s="14" t="s">
        <v>224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5"/>
      <c r="N129" s="15"/>
      <c r="O129" s="16" t="s">
        <v>40</v>
      </c>
      <c r="P129" s="19" t="str">
        <f t="shared" si="2"/>
        <v>KAREN SARAHÍ    MARTINEZ    HERNANDEZ</v>
      </c>
      <c r="Q129" s="14" t="s">
        <v>227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5"/>
      <c r="N130" s="15"/>
      <c r="O130" s="16" t="s">
        <v>40</v>
      </c>
      <c r="P130" s="19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5"/>
      <c r="N131" s="15"/>
      <c r="O131" s="16" t="s">
        <v>40</v>
      </c>
      <c r="P131" s="19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5"/>
      <c r="N132" s="10"/>
      <c r="O132" s="16" t="s">
        <v>40</v>
      </c>
      <c r="P132" s="19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5"/>
      <c r="N133" s="10"/>
      <c r="O133" s="16" t="s">
        <v>40</v>
      </c>
      <c r="P133" s="19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5"/>
      <c r="N134" s="10"/>
      <c r="O134" s="16" t="s">
        <v>40</v>
      </c>
      <c r="P134" s="19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5"/>
      <c r="N135" s="10"/>
      <c r="O135" s="16" t="s">
        <v>40</v>
      </c>
      <c r="P135" s="19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5"/>
      <c r="N136" s="10"/>
      <c r="O136" s="16" t="s">
        <v>40</v>
      </c>
      <c r="P136" s="19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6" t="s">
        <v>40</v>
      </c>
      <c r="P137" s="19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0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ht="14.45" x14ac:dyDescent="0.3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ht="14.45" x14ac:dyDescent="0.3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ht="14.45" x14ac:dyDescent="0.3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ht="14.45" x14ac:dyDescent="0.3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ht="14.45" x14ac:dyDescent="0.3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ht="14.45" x14ac:dyDescent="0.3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ht="14.45" x14ac:dyDescent="0.3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ht="14.45" x14ac:dyDescent="0.3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ht="14.45" x14ac:dyDescent="0.3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ht="14.45" x14ac:dyDescent="0.3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ht="14.45" x14ac:dyDescent="0.3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ht="14.45" x14ac:dyDescent="0.3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ht="14.45" x14ac:dyDescent="0.3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ht="14.45" x14ac:dyDescent="0.3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ht="14.45" x14ac:dyDescent="0.3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ht="14.45" x14ac:dyDescent="0.3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ht="14.45" x14ac:dyDescent="0.3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ht="14.45" x14ac:dyDescent="0.3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25"/>
  <sheetViews>
    <sheetView workbookViewId="0">
      <selection activeCell="A26" sqref="A26:A37"/>
    </sheetView>
  </sheetViews>
  <sheetFormatPr baseColWidth="10" defaultRowHeight="15" x14ac:dyDescent="0.25"/>
  <cols>
    <col min="1" max="1" width="22.5703125" bestFit="1" customWidth="1"/>
  </cols>
  <sheetData>
    <row r="1" spans="1:1" x14ac:dyDescent="0.3">
      <c r="A1" t="s">
        <v>14</v>
      </c>
    </row>
    <row r="2" spans="1:1" x14ac:dyDescent="0.25">
      <c r="A2" s="76" t="s">
        <v>926</v>
      </c>
    </row>
    <row r="3" spans="1:1" x14ac:dyDescent="0.25">
      <c r="A3" s="76" t="s">
        <v>928</v>
      </c>
    </row>
    <row r="4" spans="1:1" x14ac:dyDescent="0.25">
      <c r="A4" s="76" t="s">
        <v>927</v>
      </c>
    </row>
    <row r="5" spans="1:1" x14ac:dyDescent="0.25">
      <c r="A5" s="76" t="s">
        <v>929</v>
      </c>
    </row>
    <row r="6" spans="1:1" x14ac:dyDescent="0.25">
      <c r="A6" s="76" t="s">
        <v>930</v>
      </c>
    </row>
    <row r="7" spans="1:1" x14ac:dyDescent="0.25">
      <c r="A7" s="76" t="s">
        <v>931</v>
      </c>
    </row>
    <row r="8" spans="1:1" x14ac:dyDescent="0.25">
      <c r="A8" s="76" t="s">
        <v>932</v>
      </c>
    </row>
    <row r="9" spans="1:1" x14ac:dyDescent="0.25">
      <c r="A9" s="76" t="s">
        <v>933</v>
      </c>
    </row>
    <row r="10" spans="1:1" x14ac:dyDescent="0.25">
      <c r="A10" s="76" t="s">
        <v>934</v>
      </c>
    </row>
    <row r="11" spans="1:1" x14ac:dyDescent="0.25">
      <c r="A11" s="76" t="s">
        <v>935</v>
      </c>
    </row>
    <row r="12" spans="1:1" x14ac:dyDescent="0.25">
      <c r="A12" s="76" t="s">
        <v>936</v>
      </c>
    </row>
    <row r="13" spans="1:1" x14ac:dyDescent="0.25">
      <c r="A13" s="76" t="s">
        <v>937</v>
      </c>
    </row>
    <row r="14" spans="1:1" x14ac:dyDescent="0.25">
      <c r="A14" s="76" t="s">
        <v>938</v>
      </c>
    </row>
    <row r="15" spans="1:1" x14ac:dyDescent="0.25">
      <c r="A15" s="76" t="s">
        <v>939</v>
      </c>
    </row>
    <row r="16" spans="1:1" x14ac:dyDescent="0.25">
      <c r="A16" s="76" t="s">
        <v>940</v>
      </c>
    </row>
    <row r="17" spans="1:1" x14ac:dyDescent="0.25">
      <c r="A17" s="76" t="s">
        <v>941</v>
      </c>
    </row>
    <row r="18" spans="1:1" x14ac:dyDescent="0.25">
      <c r="A18" s="76" t="s">
        <v>942</v>
      </c>
    </row>
    <row r="19" spans="1:1" x14ac:dyDescent="0.25">
      <c r="A19" s="76" t="s">
        <v>943</v>
      </c>
    </row>
    <row r="20" spans="1:1" x14ac:dyDescent="0.25">
      <c r="A20" s="76" t="s">
        <v>948</v>
      </c>
    </row>
    <row r="21" spans="1:1" x14ac:dyDescent="0.25">
      <c r="A21" s="76" t="s">
        <v>944</v>
      </c>
    </row>
    <row r="22" spans="1:1" x14ac:dyDescent="0.25">
      <c r="A22" s="76" t="s">
        <v>945</v>
      </c>
    </row>
    <row r="23" spans="1:1" x14ac:dyDescent="0.25">
      <c r="A23" s="76" t="s">
        <v>946</v>
      </c>
    </row>
    <row r="24" spans="1:1" x14ac:dyDescent="0.25">
      <c r="A24" s="76" t="s">
        <v>949</v>
      </c>
    </row>
    <row r="25" spans="1:1" x14ac:dyDescent="0.25">
      <c r="A25" s="76" t="s">
        <v>947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NOMBRECOMPLETO</vt:lpstr>
      <vt:lpstr>NOMINA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2022-05-30T20:08:05Z</dcterms:modified>
</cp:coreProperties>
</file>