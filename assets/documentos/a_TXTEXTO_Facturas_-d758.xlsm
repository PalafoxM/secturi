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mendozat\Downloads\RESPALDO ARTURO DE JESUS M 11.04.18\varios\2019\FORMATOS\"/>
    </mc:Choice>
  </mc:AlternateContent>
  <bookViews>
    <workbookView xWindow="0" yWindow="0" windowWidth="28800" windowHeight="10530"/>
  </bookViews>
  <sheets>
    <sheet name="texto factura" sheetId="20" r:id="rId1"/>
    <sheet name="Hoja1" sheetId="21" state="hidden" r:id="rId2"/>
    <sheet name="Hoja2" sheetId="22" state="hidden" r:id="rId3"/>
    <sheet name="Hoja3" sheetId="23" state="hidden" r:id="rId4"/>
  </sheets>
  <functionGroups builtInGroupCount="18"/>
  <definedNames>
    <definedName name="partida">Hoja2!$A:$A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37" i="21" l="1"/>
  <c r="P136" i="21"/>
  <c r="P135" i="21"/>
  <c r="P134" i="21"/>
  <c r="P133" i="21"/>
  <c r="P132" i="21"/>
  <c r="P131" i="21"/>
  <c r="P130" i="21"/>
  <c r="R129" i="21"/>
  <c r="P129" i="21"/>
  <c r="R128" i="21"/>
  <c r="P128" i="21"/>
  <c r="R127" i="21"/>
  <c r="P127" i="21"/>
  <c r="R126" i="21"/>
  <c r="P126" i="21"/>
  <c r="R125" i="21"/>
  <c r="P125" i="21"/>
  <c r="R124" i="21"/>
  <c r="P124" i="21"/>
  <c r="R123" i="21"/>
  <c r="P123" i="21"/>
  <c r="R122" i="21"/>
  <c r="P122" i="21"/>
  <c r="R121" i="21"/>
  <c r="P121" i="21"/>
  <c r="R120" i="21"/>
  <c r="P120" i="21"/>
  <c r="R119" i="21"/>
  <c r="P119" i="21"/>
  <c r="R118" i="21"/>
  <c r="P118" i="21"/>
  <c r="R117" i="21"/>
  <c r="P117" i="21"/>
  <c r="R116" i="21"/>
  <c r="P116" i="21"/>
  <c r="R115" i="21"/>
  <c r="P115" i="21"/>
  <c r="R114" i="21"/>
  <c r="P114" i="21"/>
  <c r="R113" i="21"/>
  <c r="P113" i="21"/>
  <c r="R112" i="21"/>
  <c r="P112" i="21"/>
  <c r="P111" i="21"/>
  <c r="R110" i="21"/>
  <c r="P110" i="21"/>
  <c r="R109" i="21"/>
  <c r="P109" i="21"/>
  <c r="R108" i="21"/>
  <c r="P108" i="21"/>
  <c r="R107" i="21"/>
  <c r="P107" i="21"/>
  <c r="R106" i="21"/>
  <c r="P106" i="21"/>
  <c r="R105" i="21"/>
  <c r="P105" i="21"/>
  <c r="R104" i="21"/>
  <c r="P104" i="21"/>
  <c r="R103" i="21"/>
  <c r="P103" i="21"/>
  <c r="R102" i="21"/>
  <c r="P102" i="21"/>
  <c r="R101" i="21"/>
  <c r="P101" i="21"/>
  <c r="R100" i="21"/>
  <c r="P100" i="21"/>
  <c r="R99" i="21"/>
  <c r="P99" i="21"/>
  <c r="R98" i="21"/>
  <c r="P98" i="21"/>
  <c r="R97" i="21"/>
  <c r="P97" i="21"/>
  <c r="R96" i="21"/>
  <c r="P96" i="21"/>
  <c r="R95" i="21"/>
  <c r="P95" i="21"/>
  <c r="R94" i="21"/>
  <c r="P94" i="21"/>
  <c r="R93" i="21"/>
  <c r="P93" i="21"/>
  <c r="R92" i="21"/>
  <c r="P92" i="21"/>
  <c r="R91" i="21"/>
  <c r="P91" i="21"/>
  <c r="R90" i="21"/>
  <c r="P90" i="21"/>
  <c r="R89" i="21"/>
  <c r="P89" i="21"/>
  <c r="R88" i="21"/>
  <c r="P88" i="21"/>
  <c r="R87" i="21"/>
  <c r="P87" i="21"/>
  <c r="R86" i="21"/>
  <c r="P86" i="21"/>
  <c r="R85" i="21"/>
  <c r="P85" i="21"/>
  <c r="R84" i="21"/>
  <c r="P84" i="21"/>
  <c r="R83" i="21"/>
  <c r="P83" i="21"/>
  <c r="R82" i="21"/>
  <c r="P82" i="21"/>
  <c r="R81" i="21"/>
  <c r="P81" i="21"/>
  <c r="R80" i="21"/>
  <c r="P80" i="21"/>
  <c r="R79" i="21"/>
  <c r="P79" i="21"/>
  <c r="R78" i="21"/>
  <c r="P78" i="21"/>
  <c r="R77" i="21"/>
  <c r="P77" i="21"/>
  <c r="R76" i="21"/>
  <c r="P76" i="21"/>
  <c r="R75" i="21"/>
  <c r="P75" i="21"/>
  <c r="R74" i="21"/>
  <c r="P74" i="21"/>
  <c r="R73" i="21"/>
  <c r="P73" i="21"/>
  <c r="R72" i="21"/>
  <c r="P72" i="21"/>
  <c r="R71" i="21"/>
  <c r="P71" i="21"/>
  <c r="R70" i="21"/>
  <c r="P70" i="21"/>
  <c r="R69" i="21"/>
  <c r="P69" i="21"/>
  <c r="R68" i="21"/>
  <c r="P68" i="21"/>
  <c r="R67" i="21"/>
  <c r="P67" i="21"/>
  <c r="R66" i="21"/>
  <c r="P66" i="21"/>
  <c r="R65" i="21"/>
  <c r="P65" i="21"/>
  <c r="R64" i="21"/>
  <c r="P64" i="21"/>
  <c r="R63" i="21"/>
  <c r="P63" i="21"/>
  <c r="R62" i="21"/>
  <c r="P62" i="21"/>
  <c r="R61" i="21"/>
  <c r="P61" i="21"/>
  <c r="R60" i="21"/>
  <c r="P60" i="21"/>
  <c r="R59" i="21"/>
  <c r="P59" i="21"/>
  <c r="R58" i="21"/>
  <c r="P58" i="21"/>
  <c r="R57" i="21"/>
  <c r="P57" i="21"/>
  <c r="R56" i="21"/>
  <c r="P56" i="21"/>
  <c r="R55" i="21"/>
  <c r="P55" i="21"/>
  <c r="R54" i="21"/>
  <c r="P54" i="21"/>
  <c r="R53" i="21"/>
  <c r="P53" i="21"/>
  <c r="R52" i="21"/>
  <c r="P52" i="21"/>
  <c r="R51" i="21"/>
  <c r="P51" i="21"/>
  <c r="R50" i="21"/>
  <c r="P50" i="21"/>
  <c r="R49" i="21"/>
  <c r="P49" i="21"/>
  <c r="R48" i="21"/>
  <c r="P48" i="21"/>
  <c r="R47" i="21"/>
  <c r="P47" i="21"/>
  <c r="R46" i="21"/>
  <c r="P46" i="21"/>
  <c r="R45" i="21"/>
  <c r="P45" i="21"/>
  <c r="R44" i="21"/>
  <c r="P44" i="21"/>
  <c r="R43" i="21"/>
  <c r="P43" i="21"/>
  <c r="R42" i="21"/>
  <c r="P42" i="21"/>
  <c r="R41" i="21"/>
  <c r="P41" i="21"/>
  <c r="R40" i="21"/>
  <c r="P40" i="21"/>
  <c r="R39" i="21"/>
  <c r="P39" i="21"/>
  <c r="R38" i="21"/>
  <c r="P38" i="21"/>
  <c r="R37" i="21"/>
  <c r="P37" i="21"/>
  <c r="R36" i="21"/>
  <c r="P36" i="21"/>
  <c r="R35" i="21"/>
  <c r="P35" i="21"/>
  <c r="R34" i="21"/>
  <c r="P34" i="21"/>
  <c r="R33" i="21"/>
  <c r="P33" i="21"/>
  <c r="R32" i="21"/>
  <c r="P32" i="21"/>
  <c r="R31" i="21"/>
  <c r="P31" i="21"/>
  <c r="R30" i="21"/>
  <c r="P30" i="21"/>
  <c r="R29" i="21"/>
  <c r="P29" i="21"/>
  <c r="R28" i="21"/>
  <c r="P28" i="21"/>
  <c r="R27" i="21"/>
  <c r="P27" i="21"/>
  <c r="R26" i="21"/>
  <c r="P26" i="21"/>
  <c r="R25" i="21"/>
  <c r="P25" i="21"/>
  <c r="R24" i="21"/>
  <c r="P24" i="21"/>
  <c r="R23" i="21"/>
  <c r="P23" i="21"/>
  <c r="R22" i="21"/>
  <c r="P22" i="21"/>
  <c r="R21" i="21"/>
  <c r="P21" i="21"/>
  <c r="R20" i="21"/>
  <c r="P20" i="21"/>
  <c r="R19" i="21"/>
  <c r="P19" i="21"/>
  <c r="R18" i="21"/>
  <c r="P18" i="21"/>
  <c r="R17" i="21"/>
  <c r="P17" i="21"/>
  <c r="R16" i="21"/>
  <c r="P16" i="21"/>
  <c r="R15" i="21"/>
  <c r="P15" i="21"/>
  <c r="R14" i="21"/>
  <c r="P14" i="21"/>
  <c r="R13" i="21"/>
  <c r="P13" i="21"/>
  <c r="R12" i="21"/>
  <c r="P12" i="21"/>
  <c r="R11" i="21"/>
  <c r="P11" i="21"/>
  <c r="R10" i="21"/>
  <c r="P10" i="21"/>
  <c r="R9" i="21"/>
  <c r="P9" i="21"/>
  <c r="R8" i="21"/>
  <c r="P8" i="21"/>
  <c r="R7" i="21"/>
  <c r="P7" i="21"/>
  <c r="R6" i="21"/>
  <c r="P6" i="21"/>
  <c r="R5" i="21"/>
  <c r="P5" i="21"/>
  <c r="R4" i="21"/>
  <c r="P4" i="21"/>
  <c r="R3" i="21"/>
  <c r="P3" i="21"/>
  <c r="R2" i="21"/>
  <c r="P2" i="21"/>
  <c r="B250" i="22"/>
  <c r="B276" i="22"/>
  <c r="B283" i="22"/>
  <c r="B287" i="22"/>
  <c r="B291" i="22"/>
  <c r="B294" i="22"/>
  <c r="B298" i="22"/>
  <c r="B302" i="22"/>
  <c r="B306" i="22"/>
  <c r="C281" i="22"/>
  <c r="C291" i="22"/>
  <c r="C294" i="22"/>
  <c r="C300" i="22"/>
  <c r="C306" i="22"/>
  <c r="C250" i="22"/>
  <c r="C252" i="22"/>
  <c r="C254" i="22"/>
  <c r="C256" i="22"/>
  <c r="C258" i="22"/>
  <c r="C260" i="22"/>
  <c r="C262" i="22"/>
  <c r="C264" i="22"/>
  <c r="C266" i="22"/>
  <c r="C268" i="22"/>
  <c r="C270" i="22"/>
  <c r="C272" i="22"/>
  <c r="C274" i="22"/>
  <c r="C276" i="22"/>
  <c r="C283" i="22"/>
  <c r="C285" i="22"/>
  <c r="C289" i="22"/>
  <c r="C296" i="22"/>
  <c r="C302" i="22"/>
  <c r="C308" i="22"/>
  <c r="B251" i="22"/>
  <c r="B253" i="22"/>
  <c r="B255" i="22"/>
  <c r="B257" i="22"/>
  <c r="B259" i="22"/>
  <c r="B261" i="22"/>
  <c r="B263" i="22"/>
  <c r="B265" i="22"/>
  <c r="B267" i="22"/>
  <c r="B269" i="22"/>
  <c r="B271" i="22"/>
  <c r="B273" i="22"/>
  <c r="B275" i="22"/>
  <c r="B277" i="22"/>
  <c r="B279" i="22"/>
  <c r="B280" i="22"/>
  <c r="B282" i="22"/>
  <c r="B284" i="22"/>
  <c r="B286" i="22"/>
  <c r="B288" i="22"/>
  <c r="B290" i="22"/>
  <c r="B292" i="22"/>
  <c r="B295" i="22"/>
  <c r="B297" i="22"/>
  <c r="B299" i="22"/>
  <c r="B301" i="22"/>
  <c r="B303" i="22"/>
  <c r="B305" i="22"/>
  <c r="B307" i="22"/>
  <c r="C251" i="22"/>
  <c r="C253" i="22"/>
  <c r="C255" i="22"/>
  <c r="C257" i="22"/>
  <c r="C259" i="22"/>
  <c r="C261" i="22"/>
  <c r="C263" i="22"/>
  <c r="C265" i="22"/>
  <c r="C267" i="22"/>
  <c r="C269" i="22"/>
  <c r="C271" i="22"/>
  <c r="C273" i="22"/>
  <c r="C275" i="22"/>
  <c r="C277" i="22"/>
  <c r="C279" i="22"/>
  <c r="C280" i="22"/>
  <c r="C282" i="22"/>
  <c r="C284" i="22"/>
  <c r="C286" i="22"/>
  <c r="C288" i="22"/>
  <c r="C290" i="22"/>
  <c r="C292" i="22"/>
  <c r="C295" i="22"/>
  <c r="C297" i="22"/>
  <c r="C299" i="22"/>
  <c r="C301" i="22"/>
  <c r="C303" i="22"/>
  <c r="C305" i="22"/>
  <c r="C307" i="22"/>
  <c r="B252" i="22"/>
  <c r="B254" i="22"/>
  <c r="B256" i="22"/>
  <c r="B258" i="22"/>
  <c r="B260" i="22"/>
  <c r="B262" i="22"/>
  <c r="B264" i="22"/>
  <c r="B266" i="22"/>
  <c r="B268" i="22"/>
  <c r="B270" i="22"/>
  <c r="B272" i="22"/>
  <c r="B274" i="22"/>
  <c r="B278" i="22"/>
  <c r="B281" i="22"/>
  <c r="B285" i="22"/>
  <c r="B289" i="22"/>
  <c r="B293" i="22"/>
  <c r="B296" i="22"/>
  <c r="B300" i="22"/>
  <c r="B304" i="22"/>
  <c r="B308" i="22"/>
  <c r="C278" i="22"/>
  <c r="C287" i="22"/>
  <c r="C293" i="22"/>
  <c r="C298" i="22"/>
  <c r="C304" i="22"/>
  <c r="C86" i="22" l="1"/>
  <c r="C93" i="22"/>
  <c r="C76" i="22"/>
  <c r="B113" i="22"/>
  <c r="C36" i="22"/>
  <c r="C200" i="22"/>
  <c r="B74" i="22"/>
  <c r="C160" i="22"/>
  <c r="B39" i="22"/>
  <c r="C199" i="22"/>
  <c r="C155" i="22"/>
  <c r="C159" i="22"/>
  <c r="C115" i="22"/>
  <c r="B199" i="22"/>
  <c r="B134" i="22"/>
  <c r="B166" i="22"/>
  <c r="C131" i="22"/>
  <c r="C246" i="22"/>
  <c r="C206" i="22"/>
  <c r="C69" i="22"/>
  <c r="B122" i="22"/>
  <c r="C157" i="22"/>
  <c r="C117" i="22"/>
  <c r="B91" i="22"/>
  <c r="C225" i="22"/>
  <c r="B243" i="22"/>
  <c r="C212" i="22"/>
  <c r="B185" i="22"/>
  <c r="C26" i="22"/>
  <c r="C238" i="22"/>
  <c r="C28" i="22"/>
  <c r="C68" i="22"/>
  <c r="B167" i="22"/>
  <c r="B213" i="22"/>
  <c r="C32" i="22"/>
  <c r="B173" i="22"/>
  <c r="C161" i="22"/>
  <c r="B82" i="22"/>
  <c r="B163" i="22"/>
  <c r="C129" i="22"/>
  <c r="C137" i="22"/>
  <c r="C44" i="22"/>
  <c r="C232" i="22"/>
  <c r="C4" i="22"/>
  <c r="C72" i="22"/>
  <c r="C96" i="22"/>
  <c r="C175" i="22"/>
  <c r="C158" i="22"/>
  <c r="B159" i="22"/>
  <c r="B170" i="22"/>
  <c r="B46" i="22"/>
  <c r="B239" i="22"/>
  <c r="C135" i="22"/>
  <c r="B119" i="22"/>
  <c r="B164" i="22"/>
  <c r="B37" i="22"/>
  <c r="C125" i="22"/>
  <c r="C116" i="22"/>
  <c r="B190" i="22"/>
  <c r="C47" i="22"/>
  <c r="C201" i="22"/>
  <c r="B34" i="22"/>
  <c r="C95" i="22"/>
  <c r="C237" i="22"/>
  <c r="B62" i="22"/>
  <c r="C183" i="22"/>
  <c r="B132" i="22"/>
  <c r="C87" i="22"/>
  <c r="B231" i="22"/>
  <c r="C166" i="22"/>
  <c r="B29" i="22"/>
  <c r="B191" i="22"/>
  <c r="B147" i="22"/>
  <c r="B151" i="22"/>
  <c r="B107" i="22"/>
  <c r="B2" i="22"/>
  <c r="B94" i="22"/>
  <c r="B101" i="22"/>
  <c r="C216" i="22"/>
  <c r="C209" i="22"/>
  <c r="C213" i="22"/>
  <c r="C35" i="22"/>
  <c r="B240" i="22"/>
  <c r="C140" i="22"/>
  <c r="C100" i="22"/>
  <c r="B217" i="22"/>
  <c r="C143" i="22"/>
  <c r="B52" i="22"/>
  <c r="E11" i="20"/>
  <c r="B87" i="22"/>
  <c r="C220" i="22"/>
  <c r="C228" i="22"/>
  <c r="C168" i="22"/>
  <c r="C34" i="22"/>
  <c r="C134" i="22"/>
  <c r="C204" i="22"/>
  <c r="C17" i="22"/>
  <c r="C243" i="22"/>
  <c r="C25" i="22"/>
  <c r="C15" i="22"/>
  <c r="B59" i="22"/>
  <c r="B158" i="22"/>
  <c r="C20" i="22"/>
  <c r="C174" i="22"/>
  <c r="B120" i="22"/>
  <c r="B44" i="22"/>
  <c r="C58" i="22"/>
  <c r="C84" i="22"/>
  <c r="B207" i="22"/>
  <c r="B124" i="22"/>
  <c r="B27" i="22"/>
  <c r="B219" i="22"/>
  <c r="B53" i="22"/>
  <c r="B97" i="22"/>
  <c r="B137" i="22"/>
  <c r="B105" i="22"/>
  <c r="B42" i="22"/>
  <c r="C222" i="22"/>
  <c r="C151" i="22"/>
  <c r="C239" i="22"/>
  <c r="B198" i="22"/>
  <c r="B79" i="22"/>
  <c r="C147" i="22"/>
  <c r="C197" i="22"/>
  <c r="B56" i="22"/>
  <c r="C211" i="22"/>
  <c r="C46" i="22"/>
  <c r="C244" i="22"/>
  <c r="C103" i="22"/>
  <c r="C59" i="22"/>
  <c r="C63" i="22"/>
  <c r="C19" i="22"/>
  <c r="B7" i="22"/>
  <c r="B221" i="22"/>
  <c r="C173" i="22"/>
  <c r="C242" i="22"/>
  <c r="C182" i="22"/>
  <c r="C138" i="22"/>
  <c r="C142" i="22"/>
  <c r="C98" i="22"/>
  <c r="B189" i="22"/>
  <c r="B196" i="22"/>
  <c r="B126" i="22"/>
  <c r="B143" i="22"/>
  <c r="C236" i="22"/>
  <c r="C196" i="22"/>
  <c r="B110" i="22"/>
  <c r="B168" i="22"/>
  <c r="C123" i="22"/>
  <c r="C83" i="22"/>
  <c r="C229" i="22"/>
  <c r="C3" i="22"/>
  <c r="B247" i="22"/>
  <c r="C45" i="22"/>
  <c r="B77" i="22"/>
  <c r="B188" i="22"/>
  <c r="C194" i="22"/>
  <c r="C136" i="22"/>
  <c r="B81" i="22"/>
  <c r="B123" i="22"/>
  <c r="B58" i="22"/>
  <c r="B174" i="22"/>
  <c r="B152" i="22"/>
  <c r="C49" i="22"/>
  <c r="C8" i="22"/>
  <c r="B175" i="22"/>
  <c r="B108" i="22"/>
  <c r="C71" i="22"/>
  <c r="C27" i="22"/>
  <c r="C31" i="22"/>
  <c r="B235" i="22"/>
  <c r="C190" i="22"/>
  <c r="B93" i="22"/>
  <c r="C109" i="22"/>
  <c r="C114" i="22"/>
  <c r="B226" i="22"/>
  <c r="B66" i="22"/>
  <c r="C52" i="22"/>
  <c r="B195" i="22"/>
  <c r="B149" i="22"/>
  <c r="B109" i="22"/>
  <c r="B86" i="22"/>
  <c r="C112" i="22"/>
  <c r="B178" i="22"/>
  <c r="C113" i="22"/>
  <c r="B248" i="22"/>
  <c r="C230" i="22"/>
  <c r="C245" i="22"/>
  <c r="B242" i="22"/>
  <c r="C51" i="22"/>
  <c r="B95" i="22"/>
  <c r="B51" i="22"/>
  <c r="B55" i="22"/>
  <c r="B11" i="22"/>
  <c r="C233" i="22"/>
  <c r="B187" i="22"/>
  <c r="C156" i="22"/>
  <c r="C80" i="22"/>
  <c r="B224" i="22"/>
  <c r="B48" i="22"/>
  <c r="B64" i="22"/>
  <c r="B150" i="22"/>
  <c r="B216" i="22"/>
  <c r="C111" i="22"/>
  <c r="B67" i="22"/>
  <c r="B133" i="22"/>
  <c r="C219" i="22"/>
  <c r="C179" i="22"/>
  <c r="C94" i="22"/>
  <c r="B88" i="22"/>
  <c r="C106" i="22"/>
  <c r="C66" i="22"/>
  <c r="B225" i="22"/>
  <c r="B15" i="22"/>
  <c r="B237" i="22"/>
  <c r="B72" i="22"/>
  <c r="B43" i="22"/>
  <c r="C97" i="22"/>
  <c r="B206" i="22"/>
  <c r="B49" i="22"/>
  <c r="B61" i="22"/>
  <c r="C231" i="22"/>
  <c r="B201" i="22"/>
  <c r="B249" i="22"/>
  <c r="C102" i="22"/>
  <c r="C119" i="22"/>
  <c r="B160" i="22"/>
  <c r="C153" i="22"/>
  <c r="C37" i="22"/>
  <c r="B68" i="22"/>
  <c r="C130" i="22"/>
  <c r="C23" i="22"/>
  <c r="C169" i="22"/>
  <c r="B36" i="22"/>
  <c r="B214" i="22"/>
  <c r="B5" i="22"/>
  <c r="C124" i="22"/>
  <c r="B193" i="22"/>
  <c r="C205" i="22"/>
  <c r="C176" i="22"/>
  <c r="B92" i="22"/>
  <c r="B10" i="22"/>
  <c r="B136" i="22"/>
  <c r="B127" i="22"/>
  <c r="C56" i="22"/>
  <c r="C247" i="22"/>
  <c r="B215" i="22"/>
  <c r="B3" i="22"/>
  <c r="C38" i="22"/>
  <c r="B130" i="22"/>
  <c r="C92" i="22"/>
  <c r="C64" i="22"/>
  <c r="B99" i="22"/>
  <c r="C42" i="22"/>
  <c r="C2" i="22"/>
  <c r="B232" i="22"/>
  <c r="C128" i="22"/>
  <c r="C6" i="22"/>
  <c r="B65" i="22"/>
  <c r="C152" i="22"/>
  <c r="C77" i="22"/>
  <c r="C43" i="22"/>
  <c r="C162" i="22"/>
  <c r="B169" i="22"/>
  <c r="C24" i="22"/>
  <c r="B227" i="22"/>
  <c r="B210" i="22"/>
  <c r="B8" i="22"/>
  <c r="C108" i="22"/>
  <c r="B223" i="22"/>
  <c r="B183" i="22"/>
  <c r="B246" i="22"/>
  <c r="B165" i="22"/>
  <c r="C54" i="22"/>
  <c r="C14" i="22"/>
  <c r="C180" i="22"/>
  <c r="C75" i="22"/>
  <c r="B186" i="22"/>
  <c r="B17" i="22"/>
  <c r="B115" i="22"/>
  <c r="C195" i="22"/>
  <c r="B194" i="22"/>
  <c r="B30" i="22"/>
  <c r="C41" i="22"/>
  <c r="B71" i="22"/>
  <c r="B156" i="22"/>
  <c r="C241" i="22"/>
  <c r="C198" i="22"/>
  <c r="B244" i="22"/>
  <c r="C193" i="22"/>
  <c r="C33" i="22"/>
  <c r="B35" i="22"/>
  <c r="C120" i="22"/>
  <c r="B161" i="22"/>
  <c r="C235" i="22"/>
  <c r="B209" i="22"/>
  <c r="C7" i="22"/>
  <c r="B114" i="22"/>
  <c r="B21" i="22"/>
  <c r="C74" i="22"/>
  <c r="C214" i="22"/>
  <c r="B233" i="22"/>
  <c r="C9" i="22"/>
  <c r="B205" i="22"/>
  <c r="B104" i="22"/>
  <c r="B212" i="22"/>
  <c r="B211" i="22"/>
  <c r="B154" i="22"/>
  <c r="C181" i="22"/>
  <c r="B13" i="22"/>
  <c r="C107" i="22"/>
  <c r="B204" i="22"/>
  <c r="B103" i="22"/>
  <c r="C12" i="22"/>
  <c r="B63" i="22"/>
  <c r="C104" i="22"/>
  <c r="C48" i="22"/>
  <c r="B172" i="22"/>
  <c r="C224" i="22"/>
  <c r="B20" i="22"/>
  <c r="B171" i="22"/>
  <c r="B33" i="22"/>
  <c r="C16" i="22"/>
  <c r="B28" i="22"/>
  <c r="C148" i="22"/>
  <c r="B23" i="22"/>
  <c r="B70" i="22"/>
  <c r="C53" i="22"/>
  <c r="C188" i="22"/>
  <c r="C218" i="22"/>
  <c r="B138" i="22"/>
  <c r="C89" i="22"/>
  <c r="B202" i="22"/>
  <c r="C39" i="22"/>
  <c r="B73" i="22"/>
  <c r="B148" i="22"/>
  <c r="B135" i="22"/>
  <c r="B230" i="22"/>
  <c r="B117" i="22"/>
  <c r="C234" i="22"/>
  <c r="B241" i="22"/>
  <c r="B98" i="22"/>
  <c r="B192" i="22"/>
  <c r="B218" i="22"/>
  <c r="B131" i="22"/>
  <c r="C61" i="22"/>
  <c r="C21" i="22"/>
  <c r="C146" i="22"/>
  <c r="B234" i="22"/>
  <c r="B50" i="22"/>
  <c r="B145" i="22"/>
  <c r="C65" i="22"/>
  <c r="C154" i="22"/>
  <c r="B18" i="22"/>
  <c r="C215" i="22"/>
  <c r="C99" i="22"/>
  <c r="C101" i="22"/>
  <c r="B57" i="22"/>
  <c r="C144" i="22"/>
  <c r="B112" i="22"/>
  <c r="C240" i="22"/>
  <c r="C145" i="22"/>
  <c r="B9" i="22"/>
  <c r="B111" i="22"/>
  <c r="B31" i="22"/>
  <c r="C79" i="22"/>
  <c r="C150" i="22"/>
  <c r="B125" i="22"/>
  <c r="C29" i="22"/>
  <c r="B83" i="22"/>
  <c r="C78" i="22"/>
  <c r="C221" i="22"/>
  <c r="C191" i="22"/>
  <c r="C170" i="22"/>
  <c r="C30" i="22"/>
  <c r="B118" i="22"/>
  <c r="B54" i="22"/>
  <c r="C139" i="22"/>
  <c r="C189" i="22"/>
  <c r="C149" i="22"/>
  <c r="B155" i="22"/>
  <c r="B228" i="22"/>
  <c r="C202" i="22"/>
  <c r="C50" i="22"/>
  <c r="C184" i="22"/>
  <c r="B197" i="22"/>
  <c r="B203" i="22"/>
  <c r="B25" i="22"/>
  <c r="C133" i="22"/>
  <c r="C208" i="22"/>
  <c r="B179" i="22"/>
  <c r="B139" i="22"/>
  <c r="B90" i="22"/>
  <c r="C217" i="22"/>
  <c r="C10" i="22"/>
  <c r="B146" i="22"/>
  <c r="B89" i="22"/>
  <c r="B32" i="22"/>
  <c r="B26" i="22"/>
  <c r="B128" i="22"/>
  <c r="B75" i="22"/>
  <c r="B78" i="22"/>
  <c r="C11" i="22"/>
  <c r="B157" i="22"/>
  <c r="B236" i="22"/>
  <c r="B102" i="22"/>
  <c r="B180" i="22"/>
  <c r="C227" i="22"/>
  <c r="C122" i="22"/>
  <c r="B181" i="22"/>
  <c r="B141" i="22"/>
  <c r="B80" i="22"/>
  <c r="B121" i="22"/>
  <c r="C73" i="22"/>
  <c r="B38" i="22"/>
  <c r="C121" i="22"/>
  <c r="C57" i="22"/>
  <c r="B41" i="22"/>
  <c r="B6" i="22"/>
  <c r="C88" i="22"/>
  <c r="B106" i="22"/>
  <c r="C164" i="22"/>
  <c r="C62" i="22"/>
  <c r="B19" i="22"/>
  <c r="C55" i="22"/>
  <c r="C5" i="22"/>
  <c r="C163" i="22"/>
  <c r="B182" i="22"/>
  <c r="C207" i="22"/>
  <c r="B12" i="22"/>
  <c r="B177" i="22"/>
  <c r="B47" i="22"/>
  <c r="B69" i="22"/>
  <c r="B229" i="22"/>
  <c r="C85" i="22"/>
  <c r="B245" i="22"/>
  <c r="C210" i="22"/>
  <c r="C248" i="22"/>
  <c r="C172" i="22"/>
  <c r="C132" i="22"/>
  <c r="B116" i="22"/>
  <c r="B14" i="22"/>
  <c r="B200" i="22"/>
  <c r="B238" i="22"/>
  <c r="C127" i="22"/>
  <c r="B140" i="22"/>
  <c r="C126" i="22"/>
  <c r="B60" i="22"/>
  <c r="C178" i="22"/>
  <c r="C40" i="22"/>
  <c r="B176" i="22"/>
  <c r="B16" i="22"/>
  <c r="B40" i="22"/>
  <c r="C13" i="22"/>
  <c r="B84" i="22"/>
  <c r="C90" i="22"/>
  <c r="C81" i="22"/>
  <c r="B85" i="22"/>
  <c r="B184" i="22"/>
  <c r="C223" i="22"/>
  <c r="C82" i="22"/>
  <c r="B142" i="22"/>
  <c r="B208" i="22"/>
  <c r="C171" i="22"/>
  <c r="B96" i="22"/>
  <c r="B220" i="22"/>
  <c r="B144" i="22"/>
  <c r="C249" i="22"/>
  <c r="B45" i="22"/>
  <c r="B24" i="22"/>
  <c r="B162" i="22"/>
  <c r="C67" i="22"/>
  <c r="B222" i="22"/>
  <c r="C70" i="22"/>
  <c r="C167" i="22"/>
  <c r="C187" i="22"/>
  <c r="C177" i="22"/>
  <c r="C141" i="22"/>
  <c r="C22" i="22"/>
  <c r="C105" i="22"/>
  <c r="B4" i="22"/>
  <c r="C110" i="22"/>
  <c r="B129" i="22"/>
  <c r="C226" i="22"/>
  <c r="B22" i="22"/>
  <c r="C118" i="22"/>
  <c r="C18" i="22"/>
  <c r="C60" i="22"/>
  <c r="B153" i="22"/>
  <c r="C91" i="22"/>
  <c r="C185" i="22"/>
  <c r="C165" i="22"/>
  <c r="B100" i="22"/>
  <c r="C203" i="22"/>
  <c r="C186" i="22"/>
  <c r="B76" i="22"/>
  <c r="C192" i="22"/>
</calcChain>
</file>

<file path=xl/comments1.xml><?xml version="1.0" encoding="utf-8"?>
<comments xmlns="http://schemas.openxmlformats.org/spreadsheetml/2006/main">
  <authors>
    <author>Jessica Aguilera Zavala</author>
  </authors>
  <commentList>
    <comment ref="D12" authorId="0" shapeId="0">
      <text>
        <r>
          <rPr>
            <sz val="18"/>
            <color indexed="81"/>
            <rFont val="Tahoma"/>
            <family val="2"/>
          </rPr>
          <t xml:space="preserve">Llenar este caso solo en caso de comprobar facturas del extranjero.
</t>
        </r>
      </text>
    </comment>
  </commentList>
</comments>
</file>

<file path=xl/sharedStrings.xml><?xml version="1.0" encoding="utf-8"?>
<sst xmlns="http://schemas.openxmlformats.org/spreadsheetml/2006/main" count="1709" uniqueCount="987">
  <si>
    <t xml:space="preserve">CARGO: </t>
  </si>
  <si>
    <t>AREA DE ADSCRIPCIÓN:</t>
  </si>
  <si>
    <t xml:space="preserve">PARTIDA: </t>
  </si>
  <si>
    <t xml:space="preserve">FACTURA / RECIBO No.: </t>
  </si>
  <si>
    <t xml:space="preserve">FECHA DEL CONSUMO: </t>
  </si>
  <si>
    <r>
      <t>COMISIÓN / REUNIÓN / EVENTO</t>
    </r>
    <r>
      <rPr>
        <sz val="16"/>
        <color theme="1"/>
        <rFont val="Arial"/>
        <family val="2"/>
      </rPr>
      <t xml:space="preserve">: </t>
    </r>
  </si>
  <si>
    <r>
      <t>CONCEPTO DEL GASTO:</t>
    </r>
    <r>
      <rPr>
        <sz val="16"/>
        <color theme="1"/>
        <rFont val="Arial"/>
        <family val="2"/>
      </rPr>
      <t xml:space="preserve">   </t>
    </r>
  </si>
  <si>
    <t>UO</t>
  </si>
  <si>
    <t>AREA</t>
  </si>
  <si>
    <t>No EMPLEADO</t>
  </si>
  <si>
    <t>NOMBRE</t>
  </si>
  <si>
    <t>RFC</t>
  </si>
  <si>
    <t>SECUENCIAL</t>
  </si>
  <si>
    <t>PUESTO</t>
  </si>
  <si>
    <t>AREA FUNCIONAL</t>
  </si>
  <si>
    <t>CENTRO GESTOR</t>
  </si>
  <si>
    <t>FONDO</t>
  </si>
  <si>
    <t>PROYECTO</t>
  </si>
  <si>
    <t>ADSCRIPCIÓN</t>
  </si>
  <si>
    <t>NOMBRE COMPLETO</t>
  </si>
  <si>
    <t>NOMINA</t>
  </si>
  <si>
    <t>LISTA DESPLEGABLE</t>
  </si>
  <si>
    <t>DESPACHO DEL C. SECRETARIO</t>
  </si>
  <si>
    <t>FERNANDO</t>
  </si>
  <si>
    <t>OLIVERA</t>
  </si>
  <si>
    <t>ROCHA</t>
  </si>
  <si>
    <t>OIRF691114260</t>
  </si>
  <si>
    <t>SECRETARIO DE TURISMO</t>
  </si>
  <si>
    <t>03.07.01</t>
  </si>
  <si>
    <t>C2103 GEG</t>
  </si>
  <si>
    <t>CF51002</t>
  </si>
  <si>
    <t>C2101     GEG</t>
  </si>
  <si>
    <t>Silao</t>
  </si>
  <si>
    <t>NOMBRECOMPLETO</t>
  </si>
  <si>
    <t>MARICARMEN</t>
  </si>
  <si>
    <t>VELA</t>
  </si>
  <si>
    <t>ESCAMILLA</t>
  </si>
  <si>
    <t>VEEM901226ER9</t>
  </si>
  <si>
    <t>COORDINADOR DE LOGISTICA</t>
  </si>
  <si>
    <t>CF12028</t>
  </si>
  <si>
    <t>DIR. ADMINISTRATIVA</t>
  </si>
  <si>
    <t>JUAN IVAN</t>
  </si>
  <si>
    <t>GARCIA</t>
  </si>
  <si>
    <t>REYNA</t>
  </si>
  <si>
    <t>GARJ820804CW9</t>
  </si>
  <si>
    <t>AUXILIAR DE MANTENIMIENTO VEHICULAR</t>
  </si>
  <si>
    <t>OS05002</t>
  </si>
  <si>
    <t>PARTIDA</t>
  </si>
  <si>
    <t>ERNESTO RAMON</t>
  </si>
  <si>
    <t>COVARRUBIAS</t>
  </si>
  <si>
    <t>MARTINEZ</t>
  </si>
  <si>
    <t>COME650831M53</t>
  </si>
  <si>
    <t>INTENDENTE</t>
  </si>
  <si>
    <t>C2104 GEG</t>
  </si>
  <si>
    <t>DIR. DE PRODUCTOS TURISTICOS</t>
  </si>
  <si>
    <t>ROGELIO</t>
  </si>
  <si>
    <t>CABALLERO</t>
  </si>
  <si>
    <t>MACR751111PD9</t>
  </si>
  <si>
    <t>DIRECTOR DE PRODUCTOS TURISTICOS</t>
  </si>
  <si>
    <t>CF54001</t>
  </si>
  <si>
    <t>C2103     GEG</t>
  </si>
  <si>
    <t>DIR. DE CULTURA TURISTICA</t>
  </si>
  <si>
    <t>FRIDA XIMENA</t>
  </si>
  <si>
    <t>HUETT</t>
  </si>
  <si>
    <t>LOPEZ</t>
  </si>
  <si>
    <t>HULF841231FU9</t>
  </si>
  <si>
    <t>DIRECTOR DE CULTURA TURISTICA</t>
  </si>
  <si>
    <t>C2102     GEG</t>
  </si>
  <si>
    <t>DIR. DE DESARROLLO DE PROYECTOS</t>
  </si>
  <si>
    <t>MANUEL</t>
  </si>
  <si>
    <t>CAMACHO</t>
  </si>
  <si>
    <t>PICHARDO</t>
  </si>
  <si>
    <t>CAPM7505236J8</t>
  </si>
  <si>
    <t>DIRECTOR DE DESARROLLO DE PROYECTOS</t>
  </si>
  <si>
    <t>C2102 GEG</t>
  </si>
  <si>
    <t>MARIA DE LOURDES</t>
  </si>
  <si>
    <t>PONCE DE LEON</t>
  </si>
  <si>
    <t>MIRELES</t>
  </si>
  <si>
    <t>POML810424K23</t>
  </si>
  <si>
    <t>JEFE DE CAPACITACION Y CERTIFICACION</t>
  </si>
  <si>
    <t>CF54015</t>
  </si>
  <si>
    <t>DIR. GRAL. DE DESARROLLO TURISTICO</t>
  </si>
  <si>
    <t>TERESITA DE JESUS</t>
  </si>
  <si>
    <t>TAVARES</t>
  </si>
  <si>
    <t>GAYTAN</t>
  </si>
  <si>
    <t>TAGT771015KP5</t>
  </si>
  <si>
    <t>SECRETARIA</t>
  </si>
  <si>
    <t>EA08001</t>
  </si>
  <si>
    <t>DIR. PLANEACION ESTRATEGICA Y GUBERNAM.</t>
  </si>
  <si>
    <t>ADRIANA</t>
  </si>
  <si>
    <t>COLLAZO</t>
  </si>
  <si>
    <t>VALADEZ</t>
  </si>
  <si>
    <t>COVA830421DP0</t>
  </si>
  <si>
    <t>DIRECTOR DE PLANEACION ESTRATEGICA Y ENLACE GUBERNAMENTAL</t>
  </si>
  <si>
    <t>C2104     GEG</t>
  </si>
  <si>
    <t>DIR. DE INFORMACION Y ANALISIS</t>
  </si>
  <si>
    <t>MIRIAM CECILIA</t>
  </si>
  <si>
    <t>ADAME</t>
  </si>
  <si>
    <t>ALCARAZ</t>
  </si>
  <si>
    <t>AAAM841126IK0</t>
  </si>
  <si>
    <t>DIRECTOR DE INFORMACION Y ANALISIS</t>
  </si>
  <si>
    <t>JARDON</t>
  </si>
  <si>
    <t>SALAZAR</t>
  </si>
  <si>
    <t>JASA760820UY4</t>
  </si>
  <si>
    <t>JEFE DE INVESTIGACION Y ANALISIS DE MERCADO</t>
  </si>
  <si>
    <t>ABRAHAM RAFAEL</t>
  </si>
  <si>
    <t>NAVARRO</t>
  </si>
  <si>
    <t>GONZALEZ</t>
  </si>
  <si>
    <t>NAGA8703235IA</t>
  </si>
  <si>
    <t>JEFE DE ENLACE GUBERNAMENTAL Y SEGUIMIENTO</t>
  </si>
  <si>
    <t>JAZMIN MARGARITA</t>
  </si>
  <si>
    <t>LEON</t>
  </si>
  <si>
    <t>MANRIQUE</t>
  </si>
  <si>
    <t>LEMJ850103EI8</t>
  </si>
  <si>
    <t>JEFE DE PLANEACION Y MONITOREO DE METAS</t>
  </si>
  <si>
    <t>DIR. GRAL. DE PLANEACION</t>
  </si>
  <si>
    <t>BETZAHIRA SARAI</t>
  </si>
  <si>
    <t>MENDOZA</t>
  </si>
  <si>
    <t>MONTOYA</t>
  </si>
  <si>
    <t>MEMB830502J47</t>
  </si>
  <si>
    <t>LILIA ANAYANSI</t>
  </si>
  <si>
    <t>TAPIA</t>
  </si>
  <si>
    <t>CURIEL</t>
  </si>
  <si>
    <t>TACL820514UW5</t>
  </si>
  <si>
    <t>DIRECTOR ADMINISTRATIVO</t>
  </si>
  <si>
    <t>CF54068</t>
  </si>
  <si>
    <t>DIR. DE ASUNTOS JURIDICOS</t>
  </si>
  <si>
    <t>ILIANA ALEJANDRA</t>
  </si>
  <si>
    <t>BERNARDINO</t>
  </si>
  <si>
    <t>CRUZ</t>
  </si>
  <si>
    <t>BECI710603AR8</t>
  </si>
  <si>
    <t>DIRECTOR DE ASUNTOS JURIDICOS</t>
  </si>
  <si>
    <t>FF54001</t>
  </si>
  <si>
    <t>DIR. DE RELACIONES PUBLICAS</t>
  </si>
  <si>
    <t>JORGE LUIS</t>
  </si>
  <si>
    <t>CABREJOS</t>
  </si>
  <si>
    <t>SAMAME</t>
  </si>
  <si>
    <t>CASJ840116ESA</t>
  </si>
  <si>
    <t>DIRECTOR DE RELACIONES PUBLICAS</t>
  </si>
  <si>
    <t>JOSE MARIA</t>
  </si>
  <si>
    <t>MELGAR</t>
  </si>
  <si>
    <t>AZANZA</t>
  </si>
  <si>
    <t>MEAM821127GH7</t>
  </si>
  <si>
    <t>JEFE DE ATENCION A GRUPOS</t>
  </si>
  <si>
    <t>BRENDA BIBIANA</t>
  </si>
  <si>
    <t>AGUADO</t>
  </si>
  <si>
    <t>MAAB740619GV3</t>
  </si>
  <si>
    <t>JEFE DE EVENTOS DE PROMOCIÓN TURÍSTICA</t>
  </si>
  <si>
    <t>LUCIA GABRIELA</t>
  </si>
  <si>
    <t>NIETO</t>
  </si>
  <si>
    <t>GANL801106PCA</t>
  </si>
  <si>
    <t>SECRETARIA PRIVADA</t>
  </si>
  <si>
    <t>ARACELI</t>
  </si>
  <si>
    <t>ROSALES</t>
  </si>
  <si>
    <t>SANTOYO</t>
  </si>
  <si>
    <t>ROSA710202P61</t>
  </si>
  <si>
    <t>JEFE DE ASUNTOS JURIDICOS</t>
  </si>
  <si>
    <t>ALDO GENARO</t>
  </si>
  <si>
    <t>SANCHEZ</t>
  </si>
  <si>
    <t>RODRIGUEZ</t>
  </si>
  <si>
    <t>SARA791002AE9</t>
  </si>
  <si>
    <t>COORDINADOR DE RECURSOS MATERIALES</t>
  </si>
  <si>
    <t>CF52048</t>
  </si>
  <si>
    <t>ANGELICA</t>
  </si>
  <si>
    <t>LOLA880206H57</t>
  </si>
  <si>
    <t>COORDINADOR DE RECURSOS FINANCIEROS Y APLICACIÓN PRESUPUESTAL</t>
  </si>
  <si>
    <t>CARLOS ENRIQUE</t>
  </si>
  <si>
    <t>RIVERA</t>
  </si>
  <si>
    <t>CORDERO</t>
  </si>
  <si>
    <t>RICC7801294K4</t>
  </si>
  <si>
    <t>COORDINADOR DE COMUNICACION SOCIAL</t>
  </si>
  <si>
    <t>CF54004</t>
  </si>
  <si>
    <t>FIDEL RAMIRO</t>
  </si>
  <si>
    <t>GUERRA</t>
  </si>
  <si>
    <t>VALLEJO</t>
  </si>
  <si>
    <t>GUVF740102JP9</t>
  </si>
  <si>
    <t>CHOFER</t>
  </si>
  <si>
    <t>MARTHA PATRICIA</t>
  </si>
  <si>
    <t>URRUTIA</t>
  </si>
  <si>
    <t>CORTES</t>
  </si>
  <si>
    <t>UUCM641229N30</t>
  </si>
  <si>
    <t>OPERADORA DE CONMUTADOR</t>
  </si>
  <si>
    <t>JOSE DANIEL</t>
  </si>
  <si>
    <t>SALAS</t>
  </si>
  <si>
    <t>SAGD880103JR8</t>
  </si>
  <si>
    <t>PROMOTOR DE VIAJES DE FAMILIARIZACIÓN</t>
  </si>
  <si>
    <t>CF52044</t>
  </si>
  <si>
    <t>J JESUS</t>
  </si>
  <si>
    <t>BARBOSA</t>
  </si>
  <si>
    <t>AVILA</t>
  </si>
  <si>
    <t>BAAJ480113E17</t>
  </si>
  <si>
    <t>OPERADOR DE UNIDAD</t>
  </si>
  <si>
    <t>OA06001</t>
  </si>
  <si>
    <t>ADRIANA LORENA</t>
  </si>
  <si>
    <t>JASSO</t>
  </si>
  <si>
    <t>MEDINA</t>
  </si>
  <si>
    <t>JAMA831006GE1</t>
  </si>
  <si>
    <t>JEFE DE EJECUCION DE PROYECTOS</t>
  </si>
  <si>
    <t>DORIS LORENA</t>
  </si>
  <si>
    <t>ALBA</t>
  </si>
  <si>
    <t>AAGD841203IS0</t>
  </si>
  <si>
    <t>JEFE DE EVENTOS ESPECIALES</t>
  </si>
  <si>
    <t>CECILIA</t>
  </si>
  <si>
    <t>TERAN</t>
  </si>
  <si>
    <t>OLMOS</t>
  </si>
  <si>
    <t>TEOC801007QG4</t>
  </si>
  <si>
    <t>JEFE DE CULTURA TURISTICA</t>
  </si>
  <si>
    <t>Ñ</t>
  </si>
  <si>
    <t>LUIS ENRIQUE</t>
  </si>
  <si>
    <t>FLORES</t>
  </si>
  <si>
    <t>GRANADOS</t>
  </si>
  <si>
    <t>FOGL750226CD8</t>
  </si>
  <si>
    <t>JEFE DE ANALISIS</t>
  </si>
  <si>
    <t>SUBSRIA.  DE PROMOCION TURISTICA</t>
  </si>
  <si>
    <t>OCTAVIO HUMBERTO</t>
  </si>
  <si>
    <t>AGUILAR</t>
  </si>
  <si>
    <t>MATA</t>
  </si>
  <si>
    <t>AUMO720531MI8</t>
  </si>
  <si>
    <t>SUBSECRETARIO DE PROMOCION TURISTICA</t>
  </si>
  <si>
    <t>CF51005</t>
  </si>
  <si>
    <t>DIR. DE MERCADOTECNIA</t>
  </si>
  <si>
    <t>ISLAS</t>
  </si>
  <si>
    <t>IARA8106279L5</t>
  </si>
  <si>
    <t>DIRECTOR DE MERCADOTECNIA</t>
  </si>
  <si>
    <t>DIR. DE PROMOCION Y DIFUSION</t>
  </si>
  <si>
    <t>RICARDO</t>
  </si>
  <si>
    <t>VAZQUEZ</t>
  </si>
  <si>
    <t>VALR821119L96</t>
  </si>
  <si>
    <t>DIRECTOR DE PROMOCION Y DIFUSION</t>
  </si>
  <si>
    <t>SERGIO KARLO</t>
  </si>
  <si>
    <t>BELTRAN</t>
  </si>
  <si>
    <t>LARA</t>
  </si>
  <si>
    <t>BELS810718ML1</t>
  </si>
  <si>
    <t>JEFE DE MERCADOTECNIA</t>
  </si>
  <si>
    <t>MA CONSUELO</t>
  </si>
  <si>
    <t>HERNANDEZ</t>
  </si>
  <si>
    <t>PEREZ</t>
  </si>
  <si>
    <t>HEPC750331H39</t>
  </si>
  <si>
    <t>JEFE DE PROMOCION</t>
  </si>
  <si>
    <t>MARISELA</t>
  </si>
  <si>
    <t>CAMPOS</t>
  </si>
  <si>
    <t>CACM750301JV6</t>
  </si>
  <si>
    <t>JEFE DE RELACIONES PUBLICAS</t>
  </si>
  <si>
    <t>JONATHAN HAZAEL</t>
  </si>
  <si>
    <t>MARES</t>
  </si>
  <si>
    <t>MENDEZ</t>
  </si>
  <si>
    <t>MAMJ8308012U2</t>
  </si>
  <si>
    <t>JEFE DE DIFUSION</t>
  </si>
  <si>
    <t>GLORIA</t>
  </si>
  <si>
    <t>ZARATE</t>
  </si>
  <si>
    <t>ROZG710410SXA</t>
  </si>
  <si>
    <t>ROBERTO WILLEBALDO</t>
  </si>
  <si>
    <t>CARDENAS</t>
  </si>
  <si>
    <t>CAHR6801055Y7</t>
  </si>
  <si>
    <t>DIRECTOR GENERAL DE PLANEACION</t>
  </si>
  <si>
    <t>CF52002</t>
  </si>
  <si>
    <t>LUZ MARGARITA</t>
  </si>
  <si>
    <t>ROBLEDO</t>
  </si>
  <si>
    <t>OLIVARES</t>
  </si>
  <si>
    <t>ROOL881009FA4</t>
  </si>
  <si>
    <t>ANALISTA DE ESTADISTICA</t>
  </si>
  <si>
    <t>IRAZEMA DEL ROCIO</t>
  </si>
  <si>
    <t>ALVAREZ</t>
  </si>
  <si>
    <t>AAPI801120SJA</t>
  </si>
  <si>
    <t>COORDINADOR DE ESTADISTICA E INFORMACION</t>
  </si>
  <si>
    <t>CF52024</t>
  </si>
  <si>
    <t>PAOLA</t>
  </si>
  <si>
    <t>RAMOS</t>
  </si>
  <si>
    <t>VERA</t>
  </si>
  <si>
    <t>RAVP840625E60</t>
  </si>
  <si>
    <t>JEFE DE GESTION EMPRESARIAL</t>
  </si>
  <si>
    <t>CF54060</t>
  </si>
  <si>
    <t>TANIA LUCERO</t>
  </si>
  <si>
    <t>LOGT900221379</t>
  </si>
  <si>
    <t>AUXILIAR DE ANALISIS DE PROYECTOS</t>
  </si>
  <si>
    <t>JUAN ANGEL</t>
  </si>
  <si>
    <t>HORTA</t>
  </si>
  <si>
    <t>HOGJ870127857</t>
  </si>
  <si>
    <t>SECRETARIO PARTICULAR</t>
  </si>
  <si>
    <t>CF52023</t>
  </si>
  <si>
    <t>ALVARO</t>
  </si>
  <si>
    <t>ARREDONDO</t>
  </si>
  <si>
    <t>GOAA680225SP6</t>
  </si>
  <si>
    <t>DOLORES ARMANDO</t>
  </si>
  <si>
    <t>HIDALGO</t>
  </si>
  <si>
    <t>SAHD7003209M3</t>
  </si>
  <si>
    <t>MENSAJERO</t>
  </si>
  <si>
    <t>LUIS ALBERTO</t>
  </si>
  <si>
    <t>ESPINOZA</t>
  </si>
  <si>
    <t>EIML7911151VA</t>
  </si>
  <si>
    <t>MA GUADALUPE</t>
  </si>
  <si>
    <t>MEZG741129H14</t>
  </si>
  <si>
    <t>ENLACE DE ARCHIVOS</t>
  </si>
  <si>
    <t>CF54023</t>
  </si>
  <si>
    <t>DULCE MARIA TERESITA</t>
  </si>
  <si>
    <t>CABRERA</t>
  </si>
  <si>
    <t>SOLANO</t>
  </si>
  <si>
    <t>CASD870819152</t>
  </si>
  <si>
    <t>AUXILIAR DE COMUNICACION SOCIAL</t>
  </si>
  <si>
    <t>CF54030</t>
  </si>
  <si>
    <t>MONICA ISABEL</t>
  </si>
  <si>
    <t>RICO</t>
  </si>
  <si>
    <t>GAMIÑO</t>
  </si>
  <si>
    <t>RIGM820727NZ2</t>
  </si>
  <si>
    <t>RECEPCIONISTA</t>
  </si>
  <si>
    <t>GRACIELA</t>
  </si>
  <si>
    <t>AAGG690502I69</t>
  </si>
  <si>
    <t>ENLACE JURIDICO</t>
  </si>
  <si>
    <t>GESARELA</t>
  </si>
  <si>
    <t>MARISCAL</t>
  </si>
  <si>
    <t>CALDERON</t>
  </si>
  <si>
    <t>MACG841227N90</t>
  </si>
  <si>
    <t>AUXILIAR ADMINISTRATIVO</t>
  </si>
  <si>
    <t>ARNULFO</t>
  </si>
  <si>
    <t>OLVERA</t>
  </si>
  <si>
    <t>NOVOA</t>
  </si>
  <si>
    <t>OENA820716NJA</t>
  </si>
  <si>
    <t>AUXILIAR DE TECNOLOGIAS DE LA INFORMACIÓN</t>
  </si>
  <si>
    <t>JESSICA</t>
  </si>
  <si>
    <t>AGUILERA</t>
  </si>
  <si>
    <t>ZAVALA</t>
  </si>
  <si>
    <t>AUZJ900208822</t>
  </si>
  <si>
    <t>AUXILIAR DE RECURSOS FINANCIEROS</t>
  </si>
  <si>
    <t>LUZ JOHANA</t>
  </si>
  <si>
    <t>ROGL8509091C8</t>
  </si>
  <si>
    <t>AUXILIAR DE RECURSOS HUMANOS</t>
  </si>
  <si>
    <t>ANA MARIA</t>
  </si>
  <si>
    <t>CHAVIRA</t>
  </si>
  <si>
    <t>RACA7902059N1</t>
  </si>
  <si>
    <t>AUXILIAR DE RECURSOS MATERIALES</t>
  </si>
  <si>
    <t>LAURA SAMANTHA</t>
  </si>
  <si>
    <t>VARELA</t>
  </si>
  <si>
    <t>VARL8301194J7</t>
  </si>
  <si>
    <t>AUXILIAR DE ANALISIS ADMINISTRATIVO</t>
  </si>
  <si>
    <t>CELESTE</t>
  </si>
  <si>
    <t>MURILLO</t>
  </si>
  <si>
    <t>CHAVEZ</t>
  </si>
  <si>
    <t>MUCC850505KCA</t>
  </si>
  <si>
    <t>JEFE DE ARCHIVOS</t>
  </si>
  <si>
    <t>CF54022</t>
  </si>
  <si>
    <t>MARIA DEL CARMEN</t>
  </si>
  <si>
    <t>ANDALON</t>
  </si>
  <si>
    <t>GOAC8811251C2</t>
  </si>
  <si>
    <t>JEFE DE ATENCION A MEDIOS</t>
  </si>
  <si>
    <t>DANIELA</t>
  </si>
  <si>
    <t>TOVAR</t>
  </si>
  <si>
    <t>TOSD8305183I6</t>
  </si>
  <si>
    <t>JEFE DE ANALISIS Y CONTENIDO</t>
  </si>
  <si>
    <t>LAURA</t>
  </si>
  <si>
    <t>SANTIBAÑEZ</t>
  </si>
  <si>
    <t>SARL760423ND9</t>
  </si>
  <si>
    <t>AUXILIAR DE EJECUCIÓN PROYECTOS</t>
  </si>
  <si>
    <t>STEPHANIE LARISA</t>
  </si>
  <si>
    <t>CEDILLO</t>
  </si>
  <si>
    <t>OROZCO</t>
  </si>
  <si>
    <t>CEOS870727BT9</t>
  </si>
  <si>
    <t>ANALISTA DE INFORMACIÓN</t>
  </si>
  <si>
    <t>JUAN SALVADOR</t>
  </si>
  <si>
    <t>RANGEL</t>
  </si>
  <si>
    <t>COSME</t>
  </si>
  <si>
    <t>RACJ780701CT3</t>
  </si>
  <si>
    <t>AUXILIAR DE ENLACE GUBERNAMENTAL Y SEGUIMIENTO</t>
  </si>
  <si>
    <t>JAVIER</t>
  </si>
  <si>
    <t>PACHECO</t>
  </si>
  <si>
    <t>CANO</t>
  </si>
  <si>
    <t>PACJ800405EVA</t>
  </si>
  <si>
    <t>JEFE DE PROCEDIMIENTOS JURIDICOS</t>
  </si>
  <si>
    <t>AURA FABIOLA</t>
  </si>
  <si>
    <t>ROMERO</t>
  </si>
  <si>
    <t>FONSECA</t>
  </si>
  <si>
    <t>ROFA851230AN4</t>
  </si>
  <si>
    <t>JEFE DE ACCESO A LA INFORMACION</t>
  </si>
  <si>
    <t>MARIA DEL ROSARIO</t>
  </si>
  <si>
    <t>MACIAS</t>
  </si>
  <si>
    <t>AAMR900807TI1</t>
  </si>
  <si>
    <t>AUXILIAR DE INVESTIGACION Y ANALISIS DE MERCADO</t>
  </si>
  <si>
    <t>YUNUEN STEPHANIE</t>
  </si>
  <si>
    <t>JIMENEZ</t>
  </si>
  <si>
    <t>MEJIA</t>
  </si>
  <si>
    <t>JIMY8710224NA</t>
  </si>
  <si>
    <t>JEFE ADMINISTRATIVO DE RELACIONES PÚBLICAS</t>
  </si>
  <si>
    <t>EDUARDO</t>
  </si>
  <si>
    <t>ABURTO</t>
  </si>
  <si>
    <t>GARDUÑO</t>
  </si>
  <si>
    <t>AUGE860613IQ1</t>
  </si>
  <si>
    <t>ANALISTA DE PROYECTOS ESPECIALES</t>
  </si>
  <si>
    <t>JORGE ARTURO</t>
  </si>
  <si>
    <t>RINCON</t>
  </si>
  <si>
    <t>CASIAN</t>
  </si>
  <si>
    <t>RICJ790713HLA</t>
  </si>
  <si>
    <t>AUXILIAR DEL DESPACHO</t>
  </si>
  <si>
    <t>ROBERTO</t>
  </si>
  <si>
    <t>RUIZ DE ESPARZA</t>
  </si>
  <si>
    <t>VIDAL</t>
  </si>
  <si>
    <t>RUVR831020NR0</t>
  </si>
  <si>
    <t>CAMAROGRAFO</t>
  </si>
  <si>
    <t>CARLOS ROBERTO</t>
  </si>
  <si>
    <t>ZUÑIGA</t>
  </si>
  <si>
    <t>VEZC850624215</t>
  </si>
  <si>
    <t>JEFE DE TECNOLOGIAS DE LA INFORMACION</t>
  </si>
  <si>
    <t>KARINA</t>
  </si>
  <si>
    <t>ORTEGA</t>
  </si>
  <si>
    <t>LOOK710727GX5</t>
  </si>
  <si>
    <t>COORDINADOR DEL IMPUESTO POR SERVICIOS DE HOSPEDAJE</t>
  </si>
  <si>
    <t>CLAUDIA BELEN</t>
  </si>
  <si>
    <t>LANDEROS</t>
  </si>
  <si>
    <t>GOLC840401RG4</t>
  </si>
  <si>
    <t>COORDINADOR DE RECURSOS HUMANOS</t>
  </si>
  <si>
    <t>JOSE LUIS</t>
  </si>
  <si>
    <t>RORL821017EG2</t>
  </si>
  <si>
    <t>COORDINADOR DE ATENCION A SEGMENTOS ESPECIALIZADOS</t>
  </si>
  <si>
    <t>ARTURO DE JESUS</t>
  </si>
  <si>
    <t>TORRES</t>
  </si>
  <si>
    <t>META881206F62</t>
  </si>
  <si>
    <t>OS06002</t>
  </si>
  <si>
    <t>JOSE OSCAR</t>
  </si>
  <si>
    <t>ORDAZ</t>
  </si>
  <si>
    <t>OAOO591128LU9</t>
  </si>
  <si>
    <t>OPERADOR DEL CENTRO DE FOTOCOPIADO</t>
  </si>
  <si>
    <t>OOCL800520EB1</t>
  </si>
  <si>
    <t>ANALISTA DE METAS Y PROYECTOS</t>
  </si>
  <si>
    <t>FA08002</t>
  </si>
  <si>
    <t>FILOMENA</t>
  </si>
  <si>
    <t>MARGAIZ</t>
  </si>
  <si>
    <t>RAMIREZ</t>
  </si>
  <si>
    <t>MARF681129P97</t>
  </si>
  <si>
    <t>COORDINADOR DE TURISMO SOCIAL</t>
  </si>
  <si>
    <t>MORENA MARIA</t>
  </si>
  <si>
    <t>CANALES</t>
  </si>
  <si>
    <t>CAMM890326KFA</t>
  </si>
  <si>
    <t>AUXILIAR DE ADAPTACION</t>
  </si>
  <si>
    <t>JUAN PABLO</t>
  </si>
  <si>
    <t>CASTRO</t>
  </si>
  <si>
    <t>GOMEZ</t>
  </si>
  <si>
    <t>CAGJ850824AN9</t>
  </si>
  <si>
    <t>JEFE DE DISEÑO</t>
  </si>
  <si>
    <t>MARIA YOSSELIN</t>
  </si>
  <si>
    <t>ASCENCIO</t>
  </si>
  <si>
    <t>AEVY920815PG7</t>
  </si>
  <si>
    <t>GESTOR DE EVENTOS ESPECIALES</t>
  </si>
  <si>
    <t>JUAN MANUEL</t>
  </si>
  <si>
    <t>AAZJ880828HI6</t>
  </si>
  <si>
    <t>GESTOR DE EVENTO GUANAJUATO SI SABE</t>
  </si>
  <si>
    <t>MARIANA ZURIZADAI</t>
  </si>
  <si>
    <t>TOTM860226GC7</t>
  </si>
  <si>
    <t>GESTOR DEL PROGRAMA SECTORIAL</t>
  </si>
  <si>
    <t>MARTINA</t>
  </si>
  <si>
    <t>MOCTEZUMA</t>
  </si>
  <si>
    <t>MOMM8207028E5</t>
  </si>
  <si>
    <t>ENLACE EN AUDITORIAS</t>
  </si>
  <si>
    <t>ROSA CAROLINA</t>
  </si>
  <si>
    <t>ROMR820111QV7</t>
  </si>
  <si>
    <t>AUXILIAR DE VERIFICACION DE CONTRATOS Y CONVENIOS</t>
  </si>
  <si>
    <t>ADAN</t>
  </si>
  <si>
    <t>MONTENEGRO</t>
  </si>
  <si>
    <t>LOMA760826NI8</t>
  </si>
  <si>
    <t>OPERADOR</t>
  </si>
  <si>
    <t>PAULINA JAZMIN</t>
  </si>
  <si>
    <t>OEHP881010J34</t>
  </si>
  <si>
    <t>AUXILIAR DE FESTIVALES ESPECIALES E INTERNACIONALES</t>
  </si>
  <si>
    <t>IVAN</t>
  </si>
  <si>
    <t>CISNEROS</t>
  </si>
  <si>
    <t>MACI870128JR5</t>
  </si>
  <si>
    <t>PROMOTOR DE REDES Y CONTENIDOS</t>
  </si>
  <si>
    <t>TULIO GUILLERMO</t>
  </si>
  <si>
    <t>ALAMO</t>
  </si>
  <si>
    <t>AAAT830526EJ2</t>
  </si>
  <si>
    <t>PROMOTOR DE ESTRATEGIA Y POSICIONAMIENTO</t>
  </si>
  <si>
    <t>ASTRID BERENICE</t>
  </si>
  <si>
    <t>RAPA880908MT3</t>
  </si>
  <si>
    <t>ENLACE DE SEGUIMIENTO A ORGANISMOS LEGALMENTE CONSTITUIDOS</t>
  </si>
  <si>
    <t>RODOLFO JONATHAN MARTIN</t>
  </si>
  <si>
    <t>MORENO</t>
  </si>
  <si>
    <t>GODINEZ</t>
  </si>
  <si>
    <t>MOGR8801031Y7</t>
  </si>
  <si>
    <t>APOYO EN AEROPUERTO</t>
  </si>
  <si>
    <t>LILIA KAREN</t>
  </si>
  <si>
    <t>MAYORGA</t>
  </si>
  <si>
    <t>GUADIAN</t>
  </si>
  <si>
    <t>MAGL870114565</t>
  </si>
  <si>
    <t>AUXILIAR DE CULTURA TURISTICA</t>
  </si>
  <si>
    <t>PATRICIA</t>
  </si>
  <si>
    <t>VIVANCO</t>
  </si>
  <si>
    <t>COVP8610155X6</t>
  </si>
  <si>
    <t>SOFIA DEL PILAR</t>
  </si>
  <si>
    <t>HUERTA</t>
  </si>
  <si>
    <t>HEHS881012EZ8</t>
  </si>
  <si>
    <t>AUXILIAR DE PROFESIONALIZACIÓN Y MEJORA CON CERTIFICACIÓN</t>
  </si>
  <si>
    <t>ALEJANDRA</t>
  </si>
  <si>
    <t>LADRON DE GUEVARA</t>
  </si>
  <si>
    <t>LOLA870918V10</t>
  </si>
  <si>
    <t>GESTOR DEL MODELO DE EXCELENCIA Y PREMIO GUANAJUATO A LA COMPETITIVIDAD</t>
  </si>
  <si>
    <t>MARTHA ANGELICA</t>
  </si>
  <si>
    <t>TAVAREZ</t>
  </si>
  <si>
    <t>CONTRERAS</t>
  </si>
  <si>
    <t>TACM880907AG2</t>
  </si>
  <si>
    <t>AUXILIAR DE EMPRENDEDURISMO Y FORTALECIMIENTO EMPRESARIAL</t>
  </si>
  <si>
    <t>JUAN CARLOS</t>
  </si>
  <si>
    <t>CECILIO</t>
  </si>
  <si>
    <t>PADILLA</t>
  </si>
  <si>
    <t>CEPJ931227LV0</t>
  </si>
  <si>
    <t>CAMARÓGRAFO</t>
  </si>
  <si>
    <t>CARLOS GUSTAVO</t>
  </si>
  <si>
    <t>SOTO</t>
  </si>
  <si>
    <t>SOOC891207126</t>
  </si>
  <si>
    <t>AUXILIAR DE VIAJES DE FAMILIARIZACIÓN</t>
  </si>
  <si>
    <t>FRANCISCO JAVIER</t>
  </si>
  <si>
    <t>ORTIZ</t>
  </si>
  <si>
    <t>EIOF901221CUA</t>
  </si>
  <si>
    <t>AUXILIAR DE SERVICIOS A LA INVERSIÓN</t>
  </si>
  <si>
    <t>JORGE ALBERTO</t>
  </si>
  <si>
    <t>CORDOVA</t>
  </si>
  <si>
    <t>CACJ831102PT5</t>
  </si>
  <si>
    <t>GESTOR DE ATRACCION DE INVERSIONES</t>
  </si>
  <si>
    <t>KARLA THALIA</t>
  </si>
  <si>
    <t>MEAK9010231DA</t>
  </si>
  <si>
    <t>GESTOR DEL MODELO DE SUSTENTABILIDAD</t>
  </si>
  <si>
    <t>GUADALUPE DEL SOCORRO</t>
  </si>
  <si>
    <t>ESCOBAR</t>
  </si>
  <si>
    <t>CAEG630822JU5</t>
  </si>
  <si>
    <t>ANALISTA DE PROYECTOS</t>
  </si>
  <si>
    <t>CRISTABEL</t>
  </si>
  <si>
    <t>BORJA</t>
  </si>
  <si>
    <t>AHEDO</t>
  </si>
  <si>
    <t>BOAC770518V61</t>
  </si>
  <si>
    <t>ADMINISTRADOR DEL RECURSO FEDERAL</t>
  </si>
  <si>
    <t>ANA KARINA</t>
  </si>
  <si>
    <t>PALMAS</t>
  </si>
  <si>
    <t>ESPINOSA</t>
  </si>
  <si>
    <t>PAEA720722GN1</t>
  </si>
  <si>
    <t>GESTOR DE CONTROL INTERNO</t>
  </si>
  <si>
    <t>BLANCA YAZMIN</t>
  </si>
  <si>
    <t>VAMB8108151J7</t>
  </si>
  <si>
    <t>GESTOR DE ESTUDIOS TURISTICOS Y ASISTENCIA TECNICA A PUEBLOS MAGICOS</t>
  </si>
  <si>
    <t>VALERIA</t>
  </si>
  <si>
    <t>CECCOPIERI</t>
  </si>
  <si>
    <t>CEGV880824MU8</t>
  </si>
  <si>
    <t>SUPERVISOR DE OBRA</t>
  </si>
  <si>
    <t>JOSE ANTONIO</t>
  </si>
  <si>
    <t>JUAREZ</t>
  </si>
  <si>
    <t>JURA840327PA2</t>
  </si>
  <si>
    <t>DANIEL MAXIMINO</t>
  </si>
  <si>
    <t>CANCHOLA</t>
  </si>
  <si>
    <t>MURGUIA</t>
  </si>
  <si>
    <t>CAMD86060479A</t>
  </si>
  <si>
    <t>GESTOR DE PROYECTOS NORMATIVOS</t>
  </si>
  <si>
    <t>OSCAR LEONARDO</t>
  </si>
  <si>
    <t>TURRUBIATES</t>
  </si>
  <si>
    <t>OOTO810601BX4</t>
  </si>
  <si>
    <t>ENLACE DE SEGUIMIENTO A OPERADORES TURÍSTICOS</t>
  </si>
  <si>
    <t>MARIA GUADALUPE</t>
  </si>
  <si>
    <t>GUERRERO</t>
  </si>
  <si>
    <t>ISAIS</t>
  </si>
  <si>
    <t>GUIG860323GU2</t>
  </si>
  <si>
    <t>CLAUDIA CRISTINA</t>
  </si>
  <si>
    <t>SANDI</t>
  </si>
  <si>
    <t>GARCÍA</t>
  </si>
  <si>
    <t>SAGC88072117A</t>
  </si>
  <si>
    <t>AUXILIAR DEL PEG</t>
  </si>
  <si>
    <t>JENIFFER IRAZU</t>
  </si>
  <si>
    <t>MUÑIZ</t>
  </si>
  <si>
    <t>ZAMUDIO</t>
  </si>
  <si>
    <t>MUZJ891212NN5</t>
  </si>
  <si>
    <t>GESTOR DE PROFESIONALIZACIÓN Y COMPETITIVIDAD TURÍSTICA</t>
  </si>
  <si>
    <t>HUGO</t>
  </si>
  <si>
    <t>DUARTE</t>
  </si>
  <si>
    <t>RADH900430U29</t>
  </si>
  <si>
    <t>AUXILIAR DE IMPULSO Y FORTALECIMIENTO A EMPRESAS TURÍSTICAS RURALESALES</t>
  </si>
  <si>
    <t>MAURICIO ARATT</t>
  </si>
  <si>
    <t>JACINTO</t>
  </si>
  <si>
    <t>QUIROZ</t>
  </si>
  <si>
    <t>JAQM901119HZ2</t>
  </si>
  <si>
    <t>VERIFICADOR DE PRESTADORES DE SERVICIOS TURÍSTICOS</t>
  </si>
  <si>
    <t>TANIA MARIELA</t>
  </si>
  <si>
    <t>LUNA</t>
  </si>
  <si>
    <t>CHAGOYA</t>
  </si>
  <si>
    <t>LUCT890503IS0</t>
  </si>
  <si>
    <t>ATENEA</t>
  </si>
  <si>
    <t>MORALES</t>
  </si>
  <si>
    <t>MOMA850816BH4</t>
  </si>
  <si>
    <t>CREATIVO DE ADAPTACIONES</t>
  </si>
  <si>
    <t>LESLIE ANDREA</t>
  </si>
  <si>
    <t>RAML940501US9</t>
  </si>
  <si>
    <t>OPERATIVO DE COMERCIALIZACIÓN</t>
  </si>
  <si>
    <t>ANA RUTH</t>
  </si>
  <si>
    <t>ANGEL</t>
  </si>
  <si>
    <t>AERA860602IQ1</t>
  </si>
  <si>
    <t>ENLACE GERENCIAL</t>
  </si>
  <si>
    <t>ESTEFANIA</t>
  </si>
  <si>
    <t>ARREOLA</t>
  </si>
  <si>
    <t>LOAE910518TD5</t>
  </si>
  <si>
    <t>AUXILIAR DE RELACIONES PUBLICAS</t>
  </si>
  <si>
    <t>ANDREA DASHA</t>
  </si>
  <si>
    <t>EMBRIZ</t>
  </si>
  <si>
    <t>ZUEA9407188R9</t>
  </si>
  <si>
    <t>CHRISTIAN ANGELICA ADELA</t>
  </si>
  <si>
    <t>PORRAS</t>
  </si>
  <si>
    <t>POAC880621HT1</t>
  </si>
  <si>
    <t>OPERATIVO DE PROMOCIÓN Y DIFUSIÓN</t>
  </si>
  <si>
    <t>ILEANA</t>
  </si>
  <si>
    <t>MOGI7504042A0</t>
  </si>
  <si>
    <t>COORDINADOR DEL OBSERVATORIO TURISTICO</t>
  </si>
  <si>
    <t>JULIO CESAR</t>
  </si>
  <si>
    <t>AUJJ820711AY4</t>
  </si>
  <si>
    <t>EJECUTIVO DE EDICION Y PRESENTACION DE CONTENIDOS</t>
  </si>
  <si>
    <t>MIGUEL ANGEL</t>
  </si>
  <si>
    <t>PRO</t>
  </si>
  <si>
    <t>BUZ</t>
  </si>
  <si>
    <t>POBM850928EN1</t>
  </si>
  <si>
    <t>COO SIS INT COM</t>
  </si>
  <si>
    <t>KAREN SARAHÍ</t>
  </si>
  <si>
    <t>MAHK881202GW8</t>
  </si>
  <si>
    <t>ASISTENTE DE CODIFICACION</t>
  </si>
  <si>
    <t>PAULO</t>
  </si>
  <si>
    <t>YAÑEZ</t>
  </si>
  <si>
    <t>QUINTERO</t>
  </si>
  <si>
    <t>YAQP771009365</t>
  </si>
  <si>
    <t>PROMOTOR EN TURISMO DE REUNIONES</t>
  </si>
  <si>
    <t>RUIZ</t>
  </si>
  <si>
    <t>RURA8404103T7</t>
  </si>
  <si>
    <t>AUXILIAR SEGUIMIENTO Y EVALUACION DEL MODELO DE SUSTENTABILIDAD</t>
  </si>
  <si>
    <t>RUIZ SANTOSCOY</t>
  </si>
  <si>
    <t>ZAMORA</t>
  </si>
  <si>
    <t>RUZJ6402023G5</t>
  </si>
  <si>
    <t>ANALISTA DE MONITOREO DATATUR</t>
  </si>
  <si>
    <t>LORENZO EDSON</t>
  </si>
  <si>
    <t>BUENO</t>
  </si>
  <si>
    <t>BUHL880410FS8</t>
  </si>
  <si>
    <t>JEFE DE GIRAS Y EVENTOS</t>
  </si>
  <si>
    <t>ALEJANDRO</t>
  </si>
  <si>
    <t>AAGA830226JB1</t>
  </si>
  <si>
    <t>AUXILIAR DE PARADORES TURISTICOS</t>
  </si>
  <si>
    <t>AYALA</t>
  </si>
  <si>
    <t>SERRATO</t>
  </si>
  <si>
    <t>AASA730914AF0</t>
  </si>
  <si>
    <t>ENLACE RET Y SISTEMA DE COMPETITIVIDAD</t>
  </si>
  <si>
    <t>MARIA DEL PILAR</t>
  </si>
  <si>
    <t>CARRILLO</t>
  </si>
  <si>
    <t>CAHP850412NEA</t>
  </si>
  <si>
    <t>SUSANA PATRICIA</t>
  </si>
  <si>
    <t>AVIÑA</t>
  </si>
  <si>
    <t>GOAS920708UN3</t>
  </si>
  <si>
    <t>ENLACE DE ACCESO A LA INFORMACIÓN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</si>
  <si>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</si>
  <si>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</si>
  <si>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</si>
  <si>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</si>
  <si>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2120 Materiales y útiles de impresión y reproducción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</si>
  <si>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</si>
  <si>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</si>
  <si>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</si>
  <si>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</si>
  <si>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</si>
  <si>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</si>
  <si>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</si>
  <si>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</si>
  <si>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</si>
  <si>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</si>
  <si>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</si>
  <si>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</si>
  <si>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</si>
  <si>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</si>
  <si>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</si>
  <si>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</si>
  <si>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</si>
  <si>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</si>
  <si>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</si>
  <si>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</si>
  <si>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</si>
  <si>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</si>
  <si>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</si>
  <si>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</si>
  <si>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</si>
  <si>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</si>
  <si>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</si>
  <si>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</si>
  <si>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</si>
  <si>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</si>
  <si>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</si>
  <si>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</si>
  <si>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</si>
  <si>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</si>
  <si>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</si>
  <si>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</si>
  <si>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</si>
  <si>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</si>
  <si>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</si>
  <si>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</si>
  <si>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</si>
  <si>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</si>
  <si>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</si>
  <si>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</si>
  <si>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</si>
  <si>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</si>
  <si>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</si>
  <si>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</si>
  <si>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</si>
  <si>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</si>
  <si>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</si>
  <si>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</si>
  <si>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</si>
  <si>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</si>
  <si>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</si>
  <si>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</si>
  <si>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</si>
  <si>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</si>
  <si>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</si>
  <si>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</si>
  <si>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</si>
  <si>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</si>
  <si>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</si>
  <si>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</si>
  <si>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</si>
  <si>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</si>
  <si>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</si>
  <si>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</si>
  <si>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</si>
  <si>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</si>
  <si>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</si>
  <si>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</si>
  <si>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</si>
  <si>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</si>
  <si>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</si>
  <si>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</si>
  <si>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</si>
  <si>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</si>
  <si>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</si>
  <si>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</si>
  <si>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</si>
  <si>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</si>
  <si>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</si>
  <si>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</si>
  <si>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</si>
  <si>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</si>
  <si>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</si>
  <si>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</si>
  <si>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</si>
  <si>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</si>
  <si>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</si>
  <si>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</si>
  <si>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</si>
  <si>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</si>
  <si>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</si>
  <si>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</si>
  <si>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</si>
  <si>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</si>
  <si>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</si>
  <si>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</si>
  <si>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</si>
  <si>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</si>
  <si>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</si>
  <si>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</si>
  <si>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</si>
  <si>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</si>
  <si>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</si>
  <si>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</si>
  <si>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</si>
  <si>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</si>
  <si>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</si>
  <si>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</si>
  <si>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</si>
  <si>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</si>
  <si>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</si>
  <si>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</si>
  <si>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</si>
  <si>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</si>
  <si>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</si>
  <si>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</si>
  <si>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</si>
  <si>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</si>
  <si>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</si>
  <si>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</si>
  <si>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</si>
  <si>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</si>
  <si>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</si>
  <si>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</si>
  <si>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</si>
  <si>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</si>
  <si>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</si>
  <si>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</si>
  <si>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</si>
  <si>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</si>
  <si>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</si>
  <si>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</si>
  <si>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</si>
  <si>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</si>
  <si>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</si>
  <si>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</si>
  <si>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</si>
  <si>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</si>
  <si>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</si>
  <si>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</si>
  <si>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</si>
  <si>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</si>
  <si>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</si>
  <si>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</si>
  <si>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</si>
  <si>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</si>
  <si>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</si>
  <si>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</si>
  <si>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</si>
  <si>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</si>
  <si>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</si>
  <si>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</si>
  <si>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</si>
  <si>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</si>
  <si>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</si>
  <si>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</si>
  <si>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</si>
  <si>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</si>
  <si>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</si>
  <si>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</si>
  <si>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</si>
  <si>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</si>
  <si>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</si>
  <si>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</si>
  <si>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</si>
  <si>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</si>
  <si>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</si>
  <si>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</si>
  <si>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</si>
  <si>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</si>
  <si>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</si>
  <si>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</si>
  <si>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</si>
  <si>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</si>
  <si>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</si>
  <si>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</si>
  <si>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</si>
  <si>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</si>
  <si>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</si>
  <si>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</si>
  <si>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</si>
  <si>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</si>
  <si>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</si>
  <si>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</si>
  <si>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</si>
  <si>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</si>
  <si>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</si>
  <si>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</si>
  <si>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</si>
  <si>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</si>
  <si>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</si>
  <si>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</si>
  <si>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</si>
  <si>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</si>
  <si>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</si>
  <si>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</si>
  <si>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</si>
  <si>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</si>
  <si>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</si>
  <si>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</si>
  <si>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</si>
  <si>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</si>
  <si>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</si>
  <si>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</si>
  <si>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</si>
  <si>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</si>
  <si>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</si>
  <si>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</si>
  <si>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</si>
  <si>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</si>
  <si>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</si>
  <si>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</si>
  <si>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</si>
  <si>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</si>
  <si>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</si>
  <si>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</si>
  <si>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</si>
  <si>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</si>
  <si>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</si>
  <si>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</si>
  <si>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</si>
  <si>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</si>
  <si>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</si>
  <si>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</si>
  <si>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</si>
  <si>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</si>
  <si>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</si>
  <si>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</si>
  <si>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</si>
  <si>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</si>
  <si>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</si>
  <si>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</si>
  <si>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</si>
  <si>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</si>
  <si>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</si>
  <si>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</si>
  <si>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</si>
  <si>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</si>
  <si>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</si>
  <si>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</si>
  <si>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</si>
  <si>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CLAVE PRESUPUESTARIA</t>
  </si>
  <si>
    <t>17.GG.G2061</t>
  </si>
  <si>
    <t>17.GG.P0292</t>
  </si>
  <si>
    <t>17.GG.P0293</t>
  </si>
  <si>
    <t>17.GG.G1074</t>
  </si>
  <si>
    <t>17.GG.Q0343</t>
  </si>
  <si>
    <t>17.GG.Q0344</t>
  </si>
  <si>
    <t>17.GG.Q0345</t>
  </si>
  <si>
    <t>17.GG.Q0358</t>
  </si>
  <si>
    <t>17.GG.Q0363</t>
  </si>
  <si>
    <t>17.GG.Q0368</t>
  </si>
  <si>
    <t>17.GG.Q0417</t>
  </si>
  <si>
    <t>17.GG.Q0418</t>
  </si>
  <si>
    <t>17.GG.Q2523</t>
  </si>
  <si>
    <t>17.GG.Q2524</t>
  </si>
  <si>
    <t>17.GG.Q0373</t>
  </si>
  <si>
    <t>17.GG.Q0374</t>
  </si>
  <si>
    <t>17.GG.Q0375</t>
  </si>
  <si>
    <t>17.GG.Q0376</t>
  </si>
  <si>
    <t>17.GG.Q0377</t>
  </si>
  <si>
    <t>17.GG.Q0378</t>
  </si>
  <si>
    <t>17.GG.Q0379</t>
  </si>
  <si>
    <t>17.GG.Q0380</t>
  </si>
  <si>
    <t>17.GG.Q0381</t>
  </si>
  <si>
    <t>17.GG.Q0621</t>
  </si>
  <si>
    <t>17.GG.Q0622</t>
  </si>
  <si>
    <t>17.GG.Q0623</t>
  </si>
  <si>
    <t>17.GG.Q0624</t>
  </si>
  <si>
    <t>17.GG.Q0723</t>
  </si>
  <si>
    <t>17.GG.Q0340</t>
  </si>
  <si>
    <t>17.GG.Q0341</t>
  </si>
  <si>
    <t>17.GG.Q0342</t>
  </si>
  <si>
    <t xml:space="preserve">IMPORTE EN PESOS (MXP): </t>
  </si>
  <si>
    <t xml:space="preserve">IMPORTE EXTRANJERO Y TIPO DE CAMBIO: </t>
  </si>
  <si>
    <t>RESPONSABLE DEL GASTO:</t>
  </si>
  <si>
    <t>5000 BIENES MUEBLES, INMUEBLES E INTANGIBLES</t>
  </si>
  <si>
    <t>5100 MOBILIARIO Y EQUIPO DE ADMINISTRACIÓN</t>
  </si>
  <si>
    <t>5110 Muebles de oficina y estantería</t>
  </si>
  <si>
    <t>5120 Muebles, excepto de oficina y estantería</t>
  </si>
  <si>
    <t>5130 Bienes artísticos, culturales y científicos</t>
  </si>
  <si>
    <t>5140 Objetos de valor</t>
  </si>
  <si>
    <t>5150 Equipo de cómputo y de tecnologías de la información</t>
  </si>
  <si>
    <t>5190 Otros mobiliarios y equipos de administración</t>
  </si>
  <si>
    <t>5200 MOBILIARIO YEQUIPO EDUCACIONAL Y RECREATIVO</t>
  </si>
  <si>
    <t>5210 Equipos y aparatos audiovisuales</t>
  </si>
  <si>
    <t>5220 Aparatos deportivos</t>
  </si>
  <si>
    <t>5230 Cámaras fotográficas y de video</t>
  </si>
  <si>
    <t>5290 Otro mobiliario y equipo educacional y recreativo</t>
  </si>
  <si>
    <t>5300 EQUIPO E INSTRUMENTAL MÉDICO Y DE LABORATORIO</t>
  </si>
  <si>
    <t>5310 Equipo médico y de laboratorio</t>
  </si>
  <si>
    <t>5320 Instrumental médico y de laboratorio</t>
  </si>
  <si>
    <t>5400 VEHÍCULOS Y EQUIPO DE TRANSPORTE</t>
  </si>
  <si>
    <t>5410 Automóviles y camiones</t>
  </si>
  <si>
    <t>5420 Carrocerías y remolques</t>
  </si>
  <si>
    <t>5430 Equipo aeroespacial</t>
  </si>
  <si>
    <t>5440 Equipo ferroviario</t>
  </si>
  <si>
    <t>5450 Embarcaciones</t>
  </si>
  <si>
    <t>5490 Otros equipos de transporte</t>
  </si>
  <si>
    <t>5500 EQUIPO DE DEFENSA Y SEGURIDAD</t>
  </si>
  <si>
    <t>5510 Equipo de defensa y seguridad</t>
  </si>
  <si>
    <t>5600 MAQUINARIA, OTROS EQUIPOS Y HERRAMIENTAS</t>
  </si>
  <si>
    <t>5610 Maquinaria y equipo agropecuario</t>
  </si>
  <si>
    <t>5620 Maquinaria y equipo industrial</t>
  </si>
  <si>
    <t>5630 Maquinaria y equipo de construcción</t>
  </si>
  <si>
    <t>5640 Sistemas de aire acondicionado, calefacción y de refrigeración industrial y</t>
  </si>
  <si>
    <t>5650 Equipo de comunicación y telecomunicación</t>
  </si>
  <si>
    <t>5660 Equipos de generación eléctrica, aparatos y accesorios eléctricos</t>
  </si>
  <si>
    <t>5670 Herramientas y máquinas - herramienta</t>
  </si>
  <si>
    <t>5690 Otros equipos</t>
  </si>
  <si>
    <t>5700 ACTIVOS BIOLÓGICOS</t>
  </si>
  <si>
    <t>5710 Bovinos</t>
  </si>
  <si>
    <t>5720 Porcinos</t>
  </si>
  <si>
    <t>5730 Aves</t>
  </si>
  <si>
    <t>5740 Ovinos y caprinos</t>
  </si>
  <si>
    <t>5750 Peces y acuicultura</t>
  </si>
  <si>
    <t>5760 Equinos</t>
  </si>
  <si>
    <t>5770 Especies menores y de zoológico</t>
  </si>
  <si>
    <t>5780 Árboles y plantas</t>
  </si>
  <si>
    <t>5790 Otros activos biológicos</t>
  </si>
  <si>
    <t>5800 BIENES INMUEBLES</t>
  </si>
  <si>
    <t>5810 Terrenos</t>
  </si>
  <si>
    <t>5820 Viviendas</t>
  </si>
  <si>
    <t>5830 Edificios no residenciales</t>
  </si>
  <si>
    <t>5890 Otros bienes inmuebles</t>
  </si>
  <si>
    <t>5900 ACTIVOS INTANGIBLES</t>
  </si>
  <si>
    <t>5910 Software</t>
  </si>
  <si>
    <t>5920 Patentes</t>
  </si>
  <si>
    <t>5930 Marcas</t>
  </si>
  <si>
    <t>5940 Derechos</t>
  </si>
  <si>
    <t>5950 Concesiones</t>
  </si>
  <si>
    <t>5960 Franquicias</t>
  </si>
  <si>
    <t>5970 Licencias informáticas e intelectuales</t>
  </si>
  <si>
    <t>5980 Licencias industriales, comerciales y otras</t>
  </si>
  <si>
    <t>5990 Otros activos intangibles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</si>
</sst>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-&quot;$&quot;* #,##0.00_-;\-&quot;$&quot;* #,##0.00_-;_-&quot;$&quot;* &quot;-&quot;??_-;_-@_-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6"/>
      <color theme="1"/>
      <name val="Arial"/>
      <family val="2"/>
    </font>
    <font>
      <b/>
      <sz val="16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8"/>
      <color indexed="81"/>
      <name val="Tahoma"/>
      <family val="2"/>
    </font>
    <font>
      <sz val="18"/>
      <color theme="1"/>
      <name val="Arial"/>
      <family val="2"/>
    </font>
    <font>
      <b/>
      <sz val="18"/>
      <color theme="1"/>
      <name val="Calibri"/>
      <family val="2"/>
      <scheme val="minor"/>
    </font>
    <font>
      <b/>
      <sz val="12"/>
      <color theme="1"/>
      <name val="Arial"/>
      <family val="2"/>
    </font>
    <font>
      <sz val="2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/>
      <bottom/>
      <diagonal/>
    </border>
    <border>
      <left/>
      <right style="medium">
        <color rgb="FFCCCCCC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63">
    <xf numFmtId="0" fontId="0" fillId="0" borderId="0" xfId="0"/>
    <xf numFmtId="0" fontId="0" fillId="0" borderId="0" xfId="0"/>
    <xf numFmtId="0" fontId="0" fillId="0" borderId="4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5" xfId="0" applyBorder="1"/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0" xfId="0" applyAlignment="1">
      <alignment vertic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2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0" xfId="0" applyProtection="1">
      <protection locked="0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2" xfId="0" applyBorder="1" applyAlignment="1" applyProtection="1">
      <alignment vertical="center"/>
      <protection locked="0"/>
    </xf>
    <xf numFmtId="0" fontId="0" fillId="0" borderId="3" xfId="0" applyBorder="1" applyAlignment="1">
      <alignment vertical="center"/>
    </xf>
    <xf numFmtId="0" fontId="4" fillId="0" borderId="10" xfId="0" applyFont="1" applyBorder="1" applyAlignment="1">
      <alignment wrapText="1"/>
    </xf>
    <xf numFmtId="0" fontId="5" fillId="0" borderId="10" xfId="0" applyFont="1" applyBorder="1" applyAlignment="1">
      <alignment horizontal="center" wrapText="1"/>
    </xf>
    <xf numFmtId="0" fontId="5" fillId="0" borderId="14" xfId="0" applyFont="1" applyFill="1" applyBorder="1" applyAlignment="1">
      <alignment horizontal="center" wrapText="1"/>
    </xf>
    <xf numFmtId="0" fontId="5" fillId="0" borderId="6" xfId="0" applyFont="1" applyFill="1" applyBorder="1" applyAlignment="1">
      <alignment horizontal="center" wrapText="1"/>
    </xf>
    <xf numFmtId="0" fontId="5" fillId="0" borderId="15" xfId="0" applyFont="1" applyFill="1" applyBorder="1" applyAlignment="1">
      <alignment horizontal="center" wrapText="1"/>
    </xf>
    <xf numFmtId="0" fontId="4" fillId="0" borderId="10" xfId="0" applyFont="1" applyBorder="1" applyAlignment="1">
      <alignment horizontal="center" wrapText="1"/>
    </xf>
    <xf numFmtId="0" fontId="6" fillId="0" borderId="0" xfId="0" applyFont="1" applyAlignment="1"/>
    <xf numFmtId="0" fontId="4" fillId="0" borderId="11" xfId="0" applyFont="1" applyBorder="1" applyAlignment="1">
      <alignment horizontal="center" wrapText="1"/>
    </xf>
    <xf numFmtId="0" fontId="0" fillId="0" borderId="16" xfId="0" applyBorder="1"/>
    <xf numFmtId="0" fontId="0" fillId="0" borderId="17" xfId="0" applyBorder="1"/>
    <xf numFmtId="0" fontId="4" fillId="0" borderId="18" xfId="0" applyFont="1" applyBorder="1" applyAlignment="1">
      <alignment horizontal="center" wrapText="1"/>
    </xf>
    <xf numFmtId="0" fontId="4" fillId="0" borderId="19" xfId="0" applyFont="1" applyBorder="1" applyAlignment="1">
      <alignment horizontal="center" wrapText="1"/>
    </xf>
    <xf numFmtId="0" fontId="6" fillId="0" borderId="6" xfId="0" applyFont="1" applyBorder="1" applyAlignment="1">
      <alignment horizontal="center"/>
    </xf>
    <xf numFmtId="0" fontId="6" fillId="0" borderId="16" xfId="0" applyFont="1" applyBorder="1" applyAlignment="1">
      <alignment horizontal="center"/>
    </xf>
    <xf numFmtId="0" fontId="6" fillId="2" borderId="6" xfId="0" applyFont="1" applyFill="1" applyBorder="1" applyAlignment="1">
      <alignment horizontal="center"/>
    </xf>
    <xf numFmtId="0" fontId="6" fillId="2" borderId="0" xfId="0" applyFont="1" applyFill="1" applyAlignment="1"/>
    <xf numFmtId="0" fontId="0" fillId="2" borderId="0" xfId="0" applyFont="1" applyFill="1" applyAlignment="1"/>
    <xf numFmtId="0" fontId="6" fillId="2" borderId="16" xfId="0" applyFont="1" applyFill="1" applyBorder="1" applyAlignment="1">
      <alignment horizontal="center"/>
    </xf>
    <xf numFmtId="0" fontId="0" fillId="2" borderId="16" xfId="0" applyFill="1" applyBorder="1"/>
    <xf numFmtId="0" fontId="0" fillId="2" borderId="17" xfId="0" applyFill="1" applyBorder="1"/>
    <xf numFmtId="0" fontId="0" fillId="2" borderId="0" xfId="0" applyFill="1"/>
    <xf numFmtId="0" fontId="7" fillId="2" borderId="0" xfId="0" applyFont="1" applyFill="1" applyAlignment="1"/>
    <xf numFmtId="0" fontId="9" fillId="0" borderId="0" xfId="0" applyFont="1"/>
    <xf numFmtId="44" fontId="9" fillId="0" borderId="0" xfId="1" applyFont="1" applyBorder="1" applyAlignment="1" applyProtection="1">
      <alignment horizontal="left" vertical="center"/>
      <protection locked="0"/>
    </xf>
    <xf numFmtId="0" fontId="3" fillId="0" borderId="20" xfId="0" applyFont="1" applyBorder="1" applyAlignment="1">
      <alignment vertical="center" wrapText="1"/>
    </xf>
    <xf numFmtId="0" fontId="3" fillId="0" borderId="20" xfId="0" applyFont="1" applyBorder="1" applyAlignment="1">
      <alignment vertical="center"/>
    </xf>
    <xf numFmtId="0" fontId="3" fillId="0" borderId="20" xfId="0" applyFont="1" applyBorder="1" applyAlignment="1">
      <alignment horizontal="left" vertical="center" wrapText="1"/>
    </xf>
    <xf numFmtId="0" fontId="3" fillId="0" borderId="20" xfId="0" applyFont="1" applyBorder="1" applyAlignment="1">
      <alignment horizontal="left" vertical="center"/>
    </xf>
    <xf numFmtId="0" fontId="12" fillId="0" borderId="21" xfId="0" applyFont="1" applyBorder="1" applyAlignment="1">
      <alignment horizontal="left" vertical="center"/>
    </xf>
    <xf numFmtId="0" fontId="13" fillId="0" borderId="22" xfId="0" applyFont="1" applyBorder="1" applyAlignment="1">
      <alignment vertical="center" wrapText="1"/>
    </xf>
    <xf numFmtId="0" fontId="8" fillId="0" borderId="0" xfId="0" applyFont="1" applyBorder="1" applyAlignment="1" applyProtection="1">
      <alignment horizontal="left" vertical="center"/>
      <protection locked="0"/>
    </xf>
    <xf numFmtId="0" fontId="8" fillId="0" borderId="21" xfId="0" applyFont="1" applyBorder="1" applyAlignment="1" applyProtection="1">
      <alignment horizontal="left" vertical="center"/>
      <protection locked="0"/>
    </xf>
    <xf numFmtId="0" fontId="11" fillId="0" borderId="0" xfId="0" applyFont="1" applyBorder="1" applyAlignment="1" applyProtection="1">
      <alignment horizontal="left" vertical="center" wrapText="1"/>
      <protection locked="0"/>
    </xf>
    <xf numFmtId="0" fontId="11" fillId="0" borderId="21" xfId="0" applyFont="1" applyBorder="1" applyAlignment="1" applyProtection="1">
      <alignment horizontal="left" vertical="center" wrapText="1"/>
      <protection locked="0"/>
    </xf>
    <xf numFmtId="44" fontId="8" fillId="0" borderId="23" xfId="1" applyFont="1" applyBorder="1" applyAlignment="1" applyProtection="1">
      <alignment horizontal="left" vertical="center"/>
      <protection locked="0"/>
    </xf>
    <xf numFmtId="44" fontId="8" fillId="0" borderId="24" xfId="1" applyFont="1" applyBorder="1" applyAlignment="1" applyProtection="1">
      <alignment horizontal="left" vertical="center"/>
      <protection locked="0"/>
    </xf>
    <xf numFmtId="0" fontId="14" fillId="0" borderId="0" xfId="0" applyFont="1" applyBorder="1" applyAlignment="1" applyProtection="1">
      <alignment horizontal="left" vertical="center" wrapText="1"/>
      <protection locked="0"/>
    </xf>
    <xf numFmtId="0" fontId="14" fillId="0" borderId="21" xfId="0" applyFont="1" applyBorder="1" applyAlignment="1" applyProtection="1">
      <alignment horizontal="left" vertical="center" wrapText="1"/>
      <protection locked="0"/>
    </xf>
    <xf numFmtId="0" fontId="11" fillId="0" borderId="0" xfId="0" applyFont="1" applyBorder="1" applyAlignment="1" applyProtection="1">
      <alignment horizontal="left" vertical="center"/>
      <protection locked="0"/>
    </xf>
    <xf numFmtId="0" fontId="11" fillId="0" borderId="21" xfId="0" applyFont="1" applyBorder="1" applyAlignment="1" applyProtection="1">
      <alignment horizontal="left" vertical="center"/>
      <protection locked="0"/>
    </xf>
    <xf numFmtId="0" fontId="5" fillId="0" borderId="11" xfId="0" applyFont="1" applyBorder="1" applyAlignment="1">
      <alignment horizontal="center" wrapText="1"/>
    </xf>
    <xf numFmtId="0" fontId="5" fillId="0" borderId="12" xfId="0" applyFont="1" applyBorder="1" applyAlignment="1">
      <alignment horizontal="center" wrapText="1"/>
    </xf>
    <xf numFmtId="0" fontId="5" fillId="0" borderId="13" xfId="0" applyFont="1" applyBorder="1" applyAlignment="1">
      <alignment horizontal="center" wrapText="1"/>
    </xf>
  </cellXfs>
  <cellStyles count="3">
    <cellStyle name="Moneda" xfId="1" builtinId="4"/>
    <cellStyle name="Moneda 2" xfId="2"/>
    <cellStyle name="Normal" xfId="0" builtinId="0"/>
  </cellStyles>
  <dxfs count="3">
    <dxf>
      <font>
        <b/>
        <i val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G14"/>
  <sheetViews>
    <sheetView tabSelected="1" view="pageLayout" topLeftCell="B1" zoomScaleNormal="55" workbookViewId="0">
      <selection activeCell="D8" sqref="D8:E8"/>
    </sheetView>
  </sheetViews>
  <sheetFormatPr baseColWidth="10" defaultColWidth="11.5703125" defaultRowHeight="15" x14ac:dyDescent="0.25"/>
  <cols>
    <col min="1" max="1" width="2.42578125" style="1" customWidth="1"/>
    <col min="2" max="2" width="1.7109375" style="1" customWidth="1"/>
    <col min="3" max="3" width="45.7109375" style="1" customWidth="1"/>
    <col min="4" max="4" width="27.5703125" style="15" customWidth="1"/>
    <col min="5" max="5" width="161.42578125" style="1" customWidth="1"/>
    <col min="6" max="6" width="2.28515625" style="1" customWidth="1"/>
    <col min="7" max="7" width="1.5703125" style="1" customWidth="1"/>
    <col min="8" max="16384" width="11.5703125" style="1"/>
  </cols>
  <sheetData>
    <row r="1" spans="1:7" ht="15.75" thickBot="1" x14ac:dyDescent="0.3">
      <c r="A1" s="3"/>
      <c r="B1" s="4"/>
      <c r="C1" s="4"/>
      <c r="D1" s="13"/>
      <c r="E1" s="4"/>
      <c r="F1" s="4"/>
      <c r="G1" s="5"/>
    </row>
    <row r="2" spans="1:7" s="9" customFormat="1" ht="7.5" customHeight="1" x14ac:dyDescent="0.25">
      <c r="A2" s="7"/>
      <c r="B2" s="16"/>
      <c r="C2" s="17"/>
      <c r="D2" s="18"/>
      <c r="E2" s="17"/>
      <c r="F2" s="19"/>
      <c r="G2" s="8"/>
    </row>
    <row r="3" spans="1:7" s="9" customFormat="1" ht="27.75" customHeight="1" x14ac:dyDescent="0.25">
      <c r="A3" s="7"/>
      <c r="B3" s="7"/>
      <c r="C3" s="44" t="s">
        <v>927</v>
      </c>
      <c r="D3" s="50"/>
      <c r="E3" s="51"/>
      <c r="F3" s="8"/>
      <c r="G3" s="8"/>
    </row>
    <row r="4" spans="1:7" s="9" customFormat="1" ht="29.25" customHeight="1" x14ac:dyDescent="0.25">
      <c r="A4" s="7"/>
      <c r="B4" s="7"/>
      <c r="C4" s="45" t="s">
        <v>0</v>
      </c>
      <c r="D4" s="50"/>
      <c r="E4" s="51"/>
      <c r="F4" s="8"/>
      <c r="G4" s="8"/>
    </row>
    <row r="5" spans="1:7" s="9" customFormat="1" ht="27.75" customHeight="1" x14ac:dyDescent="0.25">
      <c r="A5" s="7"/>
      <c r="B5" s="7"/>
      <c r="C5" s="44" t="s">
        <v>1</v>
      </c>
      <c r="D5" s="50"/>
      <c r="E5" s="51"/>
      <c r="F5" s="8"/>
      <c r="G5" s="8"/>
    </row>
    <row r="6" spans="1:7" s="9" customFormat="1" ht="43.5" customHeight="1" x14ac:dyDescent="0.25">
      <c r="A6" s="7"/>
      <c r="B6" s="7"/>
      <c r="C6" s="46" t="s">
        <v>5</v>
      </c>
      <c r="D6" s="52"/>
      <c r="E6" s="53"/>
      <c r="F6" s="8"/>
      <c r="G6" s="8"/>
    </row>
    <row r="7" spans="1:7" s="9" customFormat="1" ht="24" customHeight="1" x14ac:dyDescent="0.25">
      <c r="A7" s="7"/>
      <c r="B7" s="7"/>
      <c r="C7" s="44" t="s">
        <v>6</v>
      </c>
      <c r="D7" s="52"/>
      <c r="E7" s="53"/>
      <c r="F7" s="8"/>
      <c r="G7" s="8"/>
    </row>
    <row r="8" spans="1:7" s="9" customFormat="1" ht="44.25" customHeight="1" x14ac:dyDescent="0.25">
      <c r="A8" s="7"/>
      <c r="B8" s="7"/>
      <c r="C8" s="47" t="s">
        <v>2</v>
      </c>
      <c r="D8" s="56" t="s">
        <v>651</v>
      </c>
      <c r="E8" s="57"/>
      <c r="F8" s="8"/>
      <c r="G8" s="8"/>
    </row>
    <row r="9" spans="1:7" s="9" customFormat="1" ht="29.25" customHeight="1" x14ac:dyDescent="0.25">
      <c r="A9" s="7"/>
      <c r="B9" s="7"/>
      <c r="C9" s="44" t="s">
        <v>3</v>
      </c>
      <c r="D9" s="50"/>
      <c r="E9" s="51"/>
      <c r="F9" s="8"/>
      <c r="G9" s="8"/>
    </row>
    <row r="10" spans="1:7" s="9" customFormat="1" ht="29.25" customHeight="1" x14ac:dyDescent="0.25">
      <c r="A10" s="7"/>
      <c r="B10" s="7"/>
      <c r="C10" s="44" t="s">
        <v>4</v>
      </c>
      <c r="D10" s="58"/>
      <c r="E10" s="59"/>
      <c r="F10" s="8"/>
      <c r="G10" s="8"/>
    </row>
    <row r="11" spans="1:7" s="9" customFormat="1" ht="27.75" customHeight="1" x14ac:dyDescent="0.25">
      <c r="A11" s="7"/>
      <c r="B11" s="7"/>
      <c r="C11" s="44" t="s">
        <v>925</v>
      </c>
      <c r="D11" s="43"/>
      <c r="E11" s="48" t="str">
        <f>PESOSMN(D11)</f>
        <v xml:space="preserve"> ( PESO 00/100 M.N.)</v>
      </c>
      <c r="F11" s="8"/>
      <c r="G11" s="8"/>
    </row>
    <row r="12" spans="1:7" s="9" customFormat="1" ht="43.5" customHeight="1" x14ac:dyDescent="0.25">
      <c r="A12" s="7"/>
      <c r="B12" s="7"/>
      <c r="C12" s="49" t="s">
        <v>926</v>
      </c>
      <c r="D12" s="54"/>
      <c r="E12" s="55"/>
      <c r="F12" s="8"/>
      <c r="G12" s="8"/>
    </row>
    <row r="13" spans="1:7" ht="15.75" thickBot="1" x14ac:dyDescent="0.3">
      <c r="A13" s="2"/>
      <c r="B13" s="10"/>
      <c r="C13" s="11"/>
      <c r="D13" s="14"/>
      <c r="E13" s="11"/>
      <c r="F13" s="12"/>
      <c r="G13" s="6"/>
    </row>
    <row r="14" spans="1:7" ht="6" customHeight="1" thickBot="1" x14ac:dyDescent="0.3">
      <c r="A14" s="10"/>
      <c r="B14" s="11"/>
      <c r="C14" s="11"/>
      <c r="D14" s="14"/>
      <c r="E14" s="11"/>
      <c r="F14" s="11"/>
      <c r="G14" s="12"/>
    </row>
  </sheetData>
  <sheetProtection algorithmName="SHA-512" hashValue="Jg1fq2BaShn2fVSgkMW9DYwyT79KSgaZ+Pm2ZpJOHkn5PyBjUd/TogTWX1ID7OjetHuPOJLwRBRkHFW36Z5nag==" saltValue="r9R0g8ErpjVAJGC+SJoSBA==" spinCount="100000" sheet="1" formatCells="0" formatColumns="0" formatRows="0" insertColumns="0" insertRows="0" deleteColumns="0" deleteRows="0" sort="0" autoFilter="0" pivotTables="0"/>
  <mergeCells count="9">
    <mergeCell ref="D3:E3"/>
    <mergeCell ref="D4:E4"/>
    <mergeCell ref="D5:E5"/>
    <mergeCell ref="D6:E6"/>
    <mergeCell ref="D12:E12"/>
    <mergeCell ref="D8:E8"/>
    <mergeCell ref="D9:E9"/>
    <mergeCell ref="D10:E10"/>
    <mergeCell ref="D7:E7"/>
  </mergeCells>
  <conditionalFormatting sqref="D4:E4">
    <cfRule type="containsErrors" dxfId="2" priority="3">
      <formula>ISERROR(D4)</formula>
    </cfRule>
  </conditionalFormatting>
  <conditionalFormatting sqref="D5:E5">
    <cfRule type="containsErrors" dxfId="1" priority="2">
      <formula>ISERROR(D5)</formula>
    </cfRule>
  </conditionalFormatting>
  <pageMargins left="0.7" right="0.7" top="0.51155303030303034" bottom="0.75" header="0.3" footer="0.3"/>
  <pageSetup scale="37" orientation="portrait" r:id="rId1"/>
  <headerFooter>
    <oddHeader xml:space="preserve">&amp;R&amp;"-,Negrita"&amp;14
</oddHeader>
  </headerFooter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85900BD5-0A8D-4CA0-BCC8-5F2076D575A5}">
            <xm:f>NOT(ISERROR(SEARCH($D$8,D8)))</xm:f>
            <xm:f>$D$8</xm:f>
            <x14:dxf>
              <font>
                <b/>
                <i val="0"/>
              </font>
            </x14:dxf>
          </x14:cfRule>
          <xm:sqref>D8:E8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Hoja2!$A$2:$A$309</xm:f>
          </x14:formula1>
          <xm:sqref>D8:E8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W137"/>
  <sheetViews>
    <sheetView topLeftCell="O104" workbookViewId="0">
      <selection activeCell="P133" sqref="P133"/>
    </sheetView>
  </sheetViews>
  <sheetFormatPr baseColWidth="10" defaultColWidth="11.42578125" defaultRowHeight="15" x14ac:dyDescent="0.25"/>
  <cols>
    <col min="1" max="4" width="11.42578125" style="1"/>
    <col min="5" max="5" width="22.7109375" style="1" bestFit="1" customWidth="1"/>
    <col min="6" max="6" width="17.140625" style="1" bestFit="1" customWidth="1"/>
    <col min="7" max="7" width="12.42578125" style="1" bestFit="1" customWidth="1"/>
    <col min="8" max="8" width="16.28515625" style="1" bestFit="1" customWidth="1"/>
    <col min="9" max="9" width="10.42578125" style="1" bestFit="1" customWidth="1"/>
    <col min="10" max="10" width="70.28515625" style="1" bestFit="1" customWidth="1"/>
    <col min="11" max="15" width="11.42578125" style="1"/>
    <col min="16" max="16" width="41.85546875" style="1" bestFit="1" customWidth="1"/>
    <col min="17" max="17" width="41.85546875" style="1" customWidth="1"/>
    <col min="18" max="18" width="33.28515625" style="1" bestFit="1" customWidth="1"/>
    <col min="19" max="16384" width="11.42578125" style="1"/>
  </cols>
  <sheetData>
    <row r="1" spans="1:20" ht="39.75" thickBot="1" x14ac:dyDescent="0.3">
      <c r="A1" s="20"/>
      <c r="B1" s="21" t="s">
        <v>7</v>
      </c>
      <c r="C1" s="21" t="s">
        <v>8</v>
      </c>
      <c r="D1" s="21" t="s">
        <v>9</v>
      </c>
      <c r="E1" s="60" t="s">
        <v>10</v>
      </c>
      <c r="F1" s="61"/>
      <c r="G1" s="62"/>
      <c r="H1" s="21" t="s">
        <v>11</v>
      </c>
      <c r="I1" s="21" t="s">
        <v>12</v>
      </c>
      <c r="J1" s="21" t="s">
        <v>13</v>
      </c>
      <c r="K1" s="21" t="s">
        <v>14</v>
      </c>
      <c r="L1" s="21" t="s">
        <v>15</v>
      </c>
      <c r="M1" s="21" t="s">
        <v>16</v>
      </c>
      <c r="N1" s="21" t="s">
        <v>17</v>
      </c>
      <c r="O1" s="21" t="s">
        <v>18</v>
      </c>
      <c r="P1" s="22" t="s">
        <v>19</v>
      </c>
      <c r="Q1" s="23" t="s">
        <v>13</v>
      </c>
      <c r="R1" s="24" t="s">
        <v>20</v>
      </c>
      <c r="T1" s="22" t="s">
        <v>21</v>
      </c>
    </row>
    <row r="2" spans="1:20" ht="15.75" thickBot="1" x14ac:dyDescent="0.3">
      <c r="A2" s="25">
        <v>1</v>
      </c>
      <c r="B2" s="26">
        <v>10003659</v>
      </c>
      <c r="C2" s="26" t="s">
        <v>22</v>
      </c>
      <c r="D2" s="26">
        <v>10003659</v>
      </c>
      <c r="E2" s="26" t="s">
        <v>23</v>
      </c>
      <c r="F2" s="26" t="s">
        <v>24</v>
      </c>
      <c r="G2" s="26" t="s">
        <v>25</v>
      </c>
      <c r="H2" s="26" t="s">
        <v>26</v>
      </c>
      <c r="I2" s="26">
        <v>30070448</v>
      </c>
      <c r="J2" s="26" t="s">
        <v>27</v>
      </c>
      <c r="K2" s="25" t="s">
        <v>28</v>
      </c>
      <c r="L2" s="25" t="s">
        <v>29</v>
      </c>
      <c r="M2" s="26" t="s">
        <v>30</v>
      </c>
      <c r="N2" s="26" t="s">
        <v>31</v>
      </c>
      <c r="O2" s="27" t="s">
        <v>32</v>
      </c>
      <c r="P2" s="28" t="str">
        <f>CONCATENATE(E2,"    ",F2,"    ",G2)</f>
        <v>FERNANDO    OLIVERA    ROCHA</v>
      </c>
      <c r="Q2" s="26" t="s">
        <v>27</v>
      </c>
      <c r="R2" s="29" t="str">
        <f>CONCATENATE(N2,M2,L29)</f>
        <v>C2101     GEGCF51002C2104 GEG</v>
      </c>
      <c r="T2" s="1" t="s">
        <v>33</v>
      </c>
    </row>
    <row r="3" spans="1:20" ht="15.75" thickBot="1" x14ac:dyDescent="0.3">
      <c r="A3" s="25">
        <v>2</v>
      </c>
      <c r="B3" s="26">
        <v>10003659</v>
      </c>
      <c r="C3" s="26" t="s">
        <v>22</v>
      </c>
      <c r="D3" s="26">
        <v>10003659</v>
      </c>
      <c r="E3" s="26" t="s">
        <v>34</v>
      </c>
      <c r="F3" s="26" t="s">
        <v>35</v>
      </c>
      <c r="G3" s="26" t="s">
        <v>36</v>
      </c>
      <c r="H3" s="26" t="s">
        <v>37</v>
      </c>
      <c r="I3" s="26">
        <v>30070547</v>
      </c>
      <c r="J3" s="26" t="s">
        <v>38</v>
      </c>
      <c r="K3" s="25" t="s">
        <v>28</v>
      </c>
      <c r="L3" s="25" t="s">
        <v>29</v>
      </c>
      <c r="M3" s="26" t="s">
        <v>39</v>
      </c>
      <c r="N3" s="26" t="s">
        <v>31</v>
      </c>
      <c r="O3" s="27" t="s">
        <v>32</v>
      </c>
      <c r="P3" s="28" t="str">
        <f t="shared" ref="P3:P66" si="0">CONCATENATE(E3,"    ",F3,"    ",G3)</f>
        <v>MARICARMEN    VELA    ESCAMILLA</v>
      </c>
      <c r="Q3" s="26" t="s">
        <v>38</v>
      </c>
      <c r="R3" s="29" t="str">
        <f t="shared" ref="R3:R66" si="1">CONCATENATE(N3,M3,L30)</f>
        <v>C2101     GEGCF12028C2102 GEG</v>
      </c>
      <c r="T3" s="1" t="s">
        <v>20</v>
      </c>
    </row>
    <row r="4" spans="1:20" ht="15.75" thickBot="1" x14ac:dyDescent="0.3">
      <c r="A4" s="25">
        <v>3</v>
      </c>
      <c r="B4" s="26">
        <v>10003665</v>
      </c>
      <c r="C4" s="26" t="s">
        <v>40</v>
      </c>
      <c r="D4" s="26">
        <v>10003665</v>
      </c>
      <c r="E4" s="26" t="s">
        <v>41</v>
      </c>
      <c r="F4" s="26" t="s">
        <v>42</v>
      </c>
      <c r="G4" s="26" t="s">
        <v>43</v>
      </c>
      <c r="H4" s="26" t="s">
        <v>44</v>
      </c>
      <c r="I4" s="26">
        <v>30070552</v>
      </c>
      <c r="J4" s="26" t="s">
        <v>45</v>
      </c>
      <c r="K4" s="25" t="s">
        <v>28</v>
      </c>
      <c r="L4" s="25" t="s">
        <v>29</v>
      </c>
      <c r="M4" s="26" t="s">
        <v>46</v>
      </c>
      <c r="N4" s="26" t="s">
        <v>31</v>
      </c>
      <c r="O4" s="27" t="s">
        <v>32</v>
      </c>
      <c r="P4" s="28" t="str">
        <f t="shared" si="0"/>
        <v>JUAN IVAN    GARCIA    REYNA</v>
      </c>
      <c r="Q4" s="26" t="s">
        <v>45</v>
      </c>
      <c r="R4" s="29" t="str">
        <f t="shared" si="1"/>
        <v>C2101     GEGOS05002C2102 GEG</v>
      </c>
      <c r="T4" s="1" t="s">
        <v>47</v>
      </c>
    </row>
    <row r="5" spans="1:20" ht="15.75" thickBot="1" x14ac:dyDescent="0.3">
      <c r="A5" s="25">
        <v>4</v>
      </c>
      <c r="B5" s="26">
        <v>10003665</v>
      </c>
      <c r="C5" s="26" t="s">
        <v>40</v>
      </c>
      <c r="D5" s="26">
        <v>10003665</v>
      </c>
      <c r="E5" s="26" t="s">
        <v>48</v>
      </c>
      <c r="F5" s="26" t="s">
        <v>49</v>
      </c>
      <c r="G5" s="26" t="s">
        <v>50</v>
      </c>
      <c r="H5" s="26" t="s">
        <v>51</v>
      </c>
      <c r="I5" s="26">
        <v>30070553</v>
      </c>
      <c r="J5" s="26" t="s">
        <v>52</v>
      </c>
      <c r="K5" s="25" t="s">
        <v>28</v>
      </c>
      <c r="L5" s="25" t="s">
        <v>53</v>
      </c>
      <c r="M5" s="26" t="s">
        <v>46</v>
      </c>
      <c r="N5" s="26" t="s">
        <v>31</v>
      </c>
      <c r="O5" s="27" t="s">
        <v>32</v>
      </c>
      <c r="P5" s="28" t="str">
        <f t="shared" si="0"/>
        <v>ERNESTO RAMON    COVARRUBIAS    MARTINEZ</v>
      </c>
      <c r="Q5" s="26" t="s">
        <v>52</v>
      </c>
      <c r="R5" s="29" t="str">
        <f t="shared" si="1"/>
        <v>C2101     GEGOS05002C2102 GEG</v>
      </c>
    </row>
    <row r="6" spans="1:20" ht="15.75" thickBot="1" x14ac:dyDescent="0.3">
      <c r="A6" s="25">
        <v>5</v>
      </c>
      <c r="B6" s="26">
        <v>10003654</v>
      </c>
      <c r="C6" s="26" t="s">
        <v>54</v>
      </c>
      <c r="D6" s="26">
        <v>10003654</v>
      </c>
      <c r="E6" s="26" t="s">
        <v>55</v>
      </c>
      <c r="F6" s="26" t="s">
        <v>50</v>
      </c>
      <c r="G6" s="26" t="s">
        <v>56</v>
      </c>
      <c r="H6" s="26" t="s">
        <v>57</v>
      </c>
      <c r="I6" s="26">
        <v>30070555</v>
      </c>
      <c r="J6" s="26" t="s">
        <v>58</v>
      </c>
      <c r="K6" s="25" t="s">
        <v>28</v>
      </c>
      <c r="L6" s="25" t="s">
        <v>53</v>
      </c>
      <c r="M6" s="26" t="s">
        <v>59</v>
      </c>
      <c r="N6" s="26" t="s">
        <v>60</v>
      </c>
      <c r="O6" s="27" t="s">
        <v>32</v>
      </c>
      <c r="P6" s="28" t="str">
        <f t="shared" si="0"/>
        <v>ROGELIO    MARTINEZ    CABALLERO</v>
      </c>
      <c r="Q6" s="26" t="s">
        <v>58</v>
      </c>
      <c r="R6" s="29" t="str">
        <f t="shared" si="1"/>
        <v>C2103     GEGCF54001Ñ</v>
      </c>
    </row>
    <row r="7" spans="1:20" ht="15.75" thickBot="1" x14ac:dyDescent="0.3">
      <c r="A7" s="25">
        <v>6</v>
      </c>
      <c r="B7" s="26">
        <v>10003653</v>
      </c>
      <c r="C7" s="26" t="s">
        <v>61</v>
      </c>
      <c r="D7" s="26">
        <v>10003653</v>
      </c>
      <c r="E7" s="26" t="s">
        <v>62</v>
      </c>
      <c r="F7" s="26" t="s">
        <v>63</v>
      </c>
      <c r="G7" s="26" t="s">
        <v>64</v>
      </c>
      <c r="H7" s="26" t="s">
        <v>65</v>
      </c>
      <c r="I7" s="26">
        <v>30070556</v>
      </c>
      <c r="J7" s="26" t="s">
        <v>66</v>
      </c>
      <c r="K7" s="25" t="s">
        <v>28</v>
      </c>
      <c r="L7" s="25" t="s">
        <v>53</v>
      </c>
      <c r="M7" s="26" t="s">
        <v>59</v>
      </c>
      <c r="N7" s="26" t="s">
        <v>67</v>
      </c>
      <c r="O7" s="27" t="s">
        <v>32</v>
      </c>
      <c r="P7" s="28" t="str">
        <f t="shared" si="0"/>
        <v>FRIDA XIMENA    HUETT    LOPEZ</v>
      </c>
      <c r="Q7" s="26" t="s">
        <v>66</v>
      </c>
      <c r="R7" s="29" t="str">
        <f t="shared" si="1"/>
        <v>C2102     GEGCF54001C2103 GEG</v>
      </c>
    </row>
    <row r="8" spans="1:20" ht="15.75" thickBot="1" x14ac:dyDescent="0.3">
      <c r="A8" s="25">
        <v>7</v>
      </c>
      <c r="B8" s="26">
        <v>10003661</v>
      </c>
      <c r="C8" s="26" t="s">
        <v>68</v>
      </c>
      <c r="D8" s="26">
        <v>10003661</v>
      </c>
      <c r="E8" s="26" t="s">
        <v>69</v>
      </c>
      <c r="F8" s="26" t="s">
        <v>70</v>
      </c>
      <c r="G8" s="26" t="s">
        <v>71</v>
      </c>
      <c r="H8" s="26" t="s">
        <v>72</v>
      </c>
      <c r="I8" s="26">
        <v>30070557</v>
      </c>
      <c r="J8" s="26" t="s">
        <v>73</v>
      </c>
      <c r="K8" s="25" t="s">
        <v>28</v>
      </c>
      <c r="L8" s="25" t="s">
        <v>74</v>
      </c>
      <c r="M8" s="26" t="s">
        <v>59</v>
      </c>
      <c r="N8" s="26" t="s">
        <v>67</v>
      </c>
      <c r="O8" s="27" t="s">
        <v>32</v>
      </c>
      <c r="P8" s="28" t="str">
        <f t="shared" si="0"/>
        <v>MANUEL    CAMACHO    PICHARDO</v>
      </c>
      <c r="Q8" s="26" t="s">
        <v>73</v>
      </c>
      <c r="R8" s="29" t="str">
        <f t="shared" si="1"/>
        <v>C2102     GEGCF54001C2103 GEG</v>
      </c>
    </row>
    <row r="9" spans="1:20" ht="15.75" thickBot="1" x14ac:dyDescent="0.3">
      <c r="A9" s="25">
        <v>8</v>
      </c>
      <c r="B9" s="26">
        <v>10003653</v>
      </c>
      <c r="C9" s="26" t="s">
        <v>61</v>
      </c>
      <c r="D9" s="26">
        <v>10003653</v>
      </c>
      <c r="E9" s="26" t="s">
        <v>75</v>
      </c>
      <c r="F9" s="26" t="s">
        <v>76</v>
      </c>
      <c r="G9" s="26" t="s">
        <v>77</v>
      </c>
      <c r="H9" s="26" t="s">
        <v>78</v>
      </c>
      <c r="I9" s="26">
        <v>30070562</v>
      </c>
      <c r="J9" s="26" t="s">
        <v>79</v>
      </c>
      <c r="K9" s="25" t="s">
        <v>28</v>
      </c>
      <c r="L9" s="25" t="s">
        <v>29</v>
      </c>
      <c r="M9" s="26" t="s">
        <v>80</v>
      </c>
      <c r="N9" s="26" t="s">
        <v>67</v>
      </c>
      <c r="O9" s="27" t="s">
        <v>32</v>
      </c>
      <c r="P9" s="28" t="str">
        <f t="shared" si="0"/>
        <v>MARIA DE LOURDES    PONCE DE LEON    MIRELES</v>
      </c>
      <c r="Q9" s="26" t="s">
        <v>79</v>
      </c>
      <c r="R9" s="29" t="str">
        <f t="shared" si="1"/>
        <v>C2102     GEGCF54015C2102 GEG</v>
      </c>
    </row>
    <row r="10" spans="1:20" ht="15.75" thickBot="1" x14ac:dyDescent="0.3">
      <c r="A10" s="25">
        <v>9</v>
      </c>
      <c r="B10" s="26">
        <v>10003652</v>
      </c>
      <c r="C10" s="26" t="s">
        <v>81</v>
      </c>
      <c r="D10" s="26">
        <v>10003652</v>
      </c>
      <c r="E10" s="26" t="s">
        <v>82</v>
      </c>
      <c r="F10" s="26" t="s">
        <v>83</v>
      </c>
      <c r="G10" s="26" t="s">
        <v>84</v>
      </c>
      <c r="H10" s="26" t="s">
        <v>85</v>
      </c>
      <c r="I10" s="26">
        <v>30070566</v>
      </c>
      <c r="J10" s="26" t="s">
        <v>86</v>
      </c>
      <c r="K10" s="25" t="s">
        <v>28</v>
      </c>
      <c r="L10" s="25" t="s">
        <v>29</v>
      </c>
      <c r="M10" s="26" t="s">
        <v>87</v>
      </c>
      <c r="N10" s="26" t="s">
        <v>67</v>
      </c>
      <c r="O10" s="27" t="s">
        <v>32</v>
      </c>
      <c r="P10" s="28" t="str">
        <f t="shared" si="0"/>
        <v>TERESITA DE JESUS    TAVARES    GAYTAN</v>
      </c>
      <c r="Q10" s="26" t="s">
        <v>86</v>
      </c>
      <c r="R10" s="29" t="str">
        <f t="shared" si="1"/>
        <v>C2102     GEGEA08001C2103 GEG</v>
      </c>
    </row>
    <row r="11" spans="1:20" ht="15.75" thickBot="1" x14ac:dyDescent="0.3">
      <c r="A11" s="25">
        <v>10</v>
      </c>
      <c r="B11" s="26">
        <v>10003662</v>
      </c>
      <c r="C11" s="26" t="s">
        <v>88</v>
      </c>
      <c r="D11" s="26">
        <v>10003662</v>
      </c>
      <c r="E11" s="26" t="s">
        <v>89</v>
      </c>
      <c r="F11" s="26" t="s">
        <v>90</v>
      </c>
      <c r="G11" s="26" t="s">
        <v>91</v>
      </c>
      <c r="H11" s="26" t="s">
        <v>92</v>
      </c>
      <c r="I11" s="26">
        <v>30070572</v>
      </c>
      <c r="J11" s="26" t="s">
        <v>93</v>
      </c>
      <c r="K11" s="25" t="s">
        <v>28</v>
      </c>
      <c r="L11" s="25" t="s">
        <v>29</v>
      </c>
      <c r="M11" s="26" t="s">
        <v>59</v>
      </c>
      <c r="N11" s="26" t="s">
        <v>94</v>
      </c>
      <c r="O11" s="27" t="s">
        <v>32</v>
      </c>
      <c r="P11" s="28" t="str">
        <f t="shared" si="0"/>
        <v>ADRIANA    COLLAZO    VALADEZ</v>
      </c>
      <c r="Q11" s="26" t="s">
        <v>93</v>
      </c>
      <c r="R11" s="29" t="str">
        <f t="shared" si="1"/>
        <v>C2104     GEGCF54001C2104 GEG</v>
      </c>
    </row>
    <row r="12" spans="1:20" ht="15.75" thickBot="1" x14ac:dyDescent="0.3">
      <c r="A12" s="25">
        <v>11</v>
      </c>
      <c r="B12" s="26">
        <v>10003660</v>
      </c>
      <c r="C12" s="26" t="s">
        <v>95</v>
      </c>
      <c r="D12" s="26">
        <v>10003660</v>
      </c>
      <c r="E12" s="26" t="s">
        <v>96</v>
      </c>
      <c r="F12" s="26" t="s">
        <v>97</v>
      </c>
      <c r="G12" s="26" t="s">
        <v>98</v>
      </c>
      <c r="H12" s="26" t="s">
        <v>99</v>
      </c>
      <c r="I12" s="26">
        <v>30070573</v>
      </c>
      <c r="J12" s="26" t="s">
        <v>100</v>
      </c>
      <c r="K12" s="25" t="s">
        <v>28</v>
      </c>
      <c r="L12" s="25" t="s">
        <v>29</v>
      </c>
      <c r="M12" s="26" t="s">
        <v>59</v>
      </c>
      <c r="N12" s="26" t="s">
        <v>94</v>
      </c>
      <c r="O12" s="27" t="s">
        <v>32</v>
      </c>
      <c r="P12" s="28" t="str">
        <f t="shared" si="0"/>
        <v>MIRIAM CECILIA    ADAME    ALCARAZ</v>
      </c>
      <c r="Q12" s="26" t="s">
        <v>100</v>
      </c>
      <c r="R12" s="29" t="str">
        <f t="shared" si="1"/>
        <v>C2104     GEGCF54001C2104 GEG</v>
      </c>
    </row>
    <row r="13" spans="1:20" ht="15.75" thickBot="1" x14ac:dyDescent="0.3">
      <c r="A13" s="25">
        <v>12</v>
      </c>
      <c r="B13" s="26">
        <v>10003660</v>
      </c>
      <c r="C13" s="26" t="s">
        <v>95</v>
      </c>
      <c r="D13" s="26">
        <v>10003660</v>
      </c>
      <c r="E13" s="26" t="s">
        <v>89</v>
      </c>
      <c r="F13" s="26" t="s">
        <v>101</v>
      </c>
      <c r="G13" s="26" t="s">
        <v>102</v>
      </c>
      <c r="H13" s="26" t="s">
        <v>103</v>
      </c>
      <c r="I13" s="26">
        <v>30070574</v>
      </c>
      <c r="J13" s="26" t="s">
        <v>104</v>
      </c>
      <c r="K13" s="25" t="s">
        <v>28</v>
      </c>
      <c r="L13" s="25" t="s">
        <v>29</v>
      </c>
      <c r="M13" s="26" t="s">
        <v>80</v>
      </c>
      <c r="N13" s="26" t="s">
        <v>94</v>
      </c>
      <c r="O13" s="27" t="s">
        <v>32</v>
      </c>
      <c r="P13" s="28" t="str">
        <f t="shared" si="0"/>
        <v>ADRIANA    JARDON    SALAZAR</v>
      </c>
      <c r="Q13" s="26" t="s">
        <v>104</v>
      </c>
      <c r="R13" s="29" t="str">
        <f t="shared" si="1"/>
        <v>C2104     GEGCF54015C2104 GEG</v>
      </c>
    </row>
    <row r="14" spans="1:20" ht="15.75" thickBot="1" x14ac:dyDescent="0.3">
      <c r="A14" s="25">
        <v>13</v>
      </c>
      <c r="B14" s="26">
        <v>10003662</v>
      </c>
      <c r="C14" s="26" t="s">
        <v>88</v>
      </c>
      <c r="D14" s="26">
        <v>10003662</v>
      </c>
      <c r="E14" s="26" t="s">
        <v>105</v>
      </c>
      <c r="F14" s="26" t="s">
        <v>106</v>
      </c>
      <c r="G14" s="26" t="s">
        <v>107</v>
      </c>
      <c r="H14" s="26" t="s">
        <v>108</v>
      </c>
      <c r="I14" s="26">
        <v>30070575</v>
      </c>
      <c r="J14" s="26" t="s">
        <v>109</v>
      </c>
      <c r="K14" s="25" t="s">
        <v>28</v>
      </c>
      <c r="L14" s="25" t="s">
        <v>74</v>
      </c>
      <c r="M14" s="26" t="s">
        <v>80</v>
      </c>
      <c r="N14" s="26" t="s">
        <v>94</v>
      </c>
      <c r="O14" s="27" t="s">
        <v>32</v>
      </c>
      <c r="P14" s="28" t="str">
        <f t="shared" si="0"/>
        <v>ABRAHAM RAFAEL    NAVARRO    GONZALEZ</v>
      </c>
      <c r="Q14" s="26" t="s">
        <v>109</v>
      </c>
      <c r="R14" s="29" t="str">
        <f t="shared" si="1"/>
        <v>C2104     GEGCF54015C2103 GEG</v>
      </c>
    </row>
    <row r="15" spans="1:20" ht="15.75" thickBot="1" x14ac:dyDescent="0.3">
      <c r="A15" s="25">
        <v>14</v>
      </c>
      <c r="B15" s="26">
        <v>10003662</v>
      </c>
      <c r="C15" s="26" t="s">
        <v>88</v>
      </c>
      <c r="D15" s="26">
        <v>10003662</v>
      </c>
      <c r="E15" s="26" t="s">
        <v>110</v>
      </c>
      <c r="F15" s="26" t="s">
        <v>111</v>
      </c>
      <c r="G15" s="26" t="s">
        <v>112</v>
      </c>
      <c r="H15" s="26" t="s">
        <v>113</v>
      </c>
      <c r="I15" s="26">
        <v>30070576</v>
      </c>
      <c r="J15" s="26" t="s">
        <v>114</v>
      </c>
      <c r="K15" s="25" t="s">
        <v>28</v>
      </c>
      <c r="L15" s="25" t="s">
        <v>74</v>
      </c>
      <c r="M15" s="26" t="s">
        <v>80</v>
      </c>
      <c r="N15" s="26" t="s">
        <v>94</v>
      </c>
      <c r="O15" s="27" t="s">
        <v>32</v>
      </c>
      <c r="P15" s="28" t="str">
        <f t="shared" si="0"/>
        <v>JAZMIN MARGARITA    LEON    MANRIQUE</v>
      </c>
      <c r="Q15" s="26" t="s">
        <v>114</v>
      </c>
      <c r="R15" s="29" t="str">
        <f t="shared" si="1"/>
        <v>C2104     GEGCF54015C2102 GEG</v>
      </c>
    </row>
    <row r="16" spans="1:20" ht="15.75" thickBot="1" x14ac:dyDescent="0.3">
      <c r="A16" s="25">
        <v>15</v>
      </c>
      <c r="B16" s="26">
        <v>10003666</v>
      </c>
      <c r="C16" s="26" t="s">
        <v>115</v>
      </c>
      <c r="D16" s="26">
        <v>10003666</v>
      </c>
      <c r="E16" s="26" t="s">
        <v>116</v>
      </c>
      <c r="F16" s="26" t="s">
        <v>117</v>
      </c>
      <c r="G16" s="26" t="s">
        <v>118</v>
      </c>
      <c r="H16" s="26" t="s">
        <v>119</v>
      </c>
      <c r="I16" s="26">
        <v>30070580</v>
      </c>
      <c r="J16" s="26" t="s">
        <v>86</v>
      </c>
      <c r="K16" s="25" t="s">
        <v>28</v>
      </c>
      <c r="L16" s="25" t="s">
        <v>74</v>
      </c>
      <c r="M16" s="26" t="s">
        <v>87</v>
      </c>
      <c r="N16" s="26" t="s">
        <v>94</v>
      </c>
      <c r="O16" s="27" t="s">
        <v>32</v>
      </c>
      <c r="P16" s="28" t="str">
        <f t="shared" si="0"/>
        <v>BETZAHIRA SARAI    MENDOZA    MONTOYA</v>
      </c>
      <c r="Q16" s="26" t="s">
        <v>86</v>
      </c>
      <c r="R16" s="29" t="str">
        <f t="shared" si="1"/>
        <v>C2104     GEGEA08001C2104 GEG</v>
      </c>
    </row>
    <row r="17" spans="1:18" ht="15.75" thickBot="1" x14ac:dyDescent="0.3">
      <c r="A17" s="25">
        <v>16</v>
      </c>
      <c r="B17" s="26">
        <v>10003665</v>
      </c>
      <c r="C17" s="26" t="s">
        <v>40</v>
      </c>
      <c r="D17" s="26">
        <v>10003665</v>
      </c>
      <c r="E17" s="26" t="s">
        <v>120</v>
      </c>
      <c r="F17" s="26" t="s">
        <v>121</v>
      </c>
      <c r="G17" s="26" t="s">
        <v>122</v>
      </c>
      <c r="H17" s="26" t="s">
        <v>123</v>
      </c>
      <c r="I17" s="26">
        <v>30070589</v>
      </c>
      <c r="J17" s="26" t="s">
        <v>124</v>
      </c>
      <c r="K17" s="25" t="s">
        <v>28</v>
      </c>
      <c r="L17" s="25" t="s">
        <v>29</v>
      </c>
      <c r="M17" s="26" t="s">
        <v>125</v>
      </c>
      <c r="N17" s="26" t="s">
        <v>31</v>
      </c>
      <c r="O17" s="27" t="s">
        <v>32</v>
      </c>
      <c r="P17" s="28" t="str">
        <f t="shared" si="0"/>
        <v>LILIA ANAYANSI    TAPIA    CURIEL</v>
      </c>
      <c r="Q17" s="26" t="s">
        <v>124</v>
      </c>
      <c r="R17" s="29" t="str">
        <f t="shared" si="1"/>
        <v>C2101     GEGCF54068C2104 GEG</v>
      </c>
    </row>
    <row r="18" spans="1:18" ht="15.75" thickBot="1" x14ac:dyDescent="0.3">
      <c r="A18" s="25">
        <v>17</v>
      </c>
      <c r="B18" s="26">
        <v>10003664</v>
      </c>
      <c r="C18" s="26" t="s">
        <v>126</v>
      </c>
      <c r="D18" s="26">
        <v>10003664</v>
      </c>
      <c r="E18" s="26" t="s">
        <v>127</v>
      </c>
      <c r="F18" s="26" t="s">
        <v>128</v>
      </c>
      <c r="G18" s="26" t="s">
        <v>129</v>
      </c>
      <c r="H18" s="26" t="s">
        <v>130</v>
      </c>
      <c r="I18" s="26">
        <v>30070590</v>
      </c>
      <c r="J18" s="26" t="s">
        <v>131</v>
      </c>
      <c r="K18" s="25" t="s">
        <v>28</v>
      </c>
      <c r="L18" s="25" t="s">
        <v>53</v>
      </c>
      <c r="M18" s="26" t="s">
        <v>132</v>
      </c>
      <c r="N18" s="26" t="s">
        <v>31</v>
      </c>
      <c r="O18" s="27" t="s">
        <v>32</v>
      </c>
      <c r="P18" s="28" t="str">
        <f t="shared" si="0"/>
        <v>ILIANA ALEJANDRA    BERNARDINO    CRUZ</v>
      </c>
      <c r="Q18" s="26" t="s">
        <v>131</v>
      </c>
      <c r="R18" s="29" t="str">
        <f t="shared" si="1"/>
        <v>C2101     GEGFF54001C2103 GEG</v>
      </c>
    </row>
    <row r="19" spans="1:18" ht="15.75" thickBot="1" x14ac:dyDescent="0.3">
      <c r="A19" s="25">
        <v>18</v>
      </c>
      <c r="B19" s="26">
        <v>10003656</v>
      </c>
      <c r="C19" s="26" t="s">
        <v>133</v>
      </c>
      <c r="D19" s="26">
        <v>10003656</v>
      </c>
      <c r="E19" s="26" t="s">
        <v>134</v>
      </c>
      <c r="F19" s="26" t="s">
        <v>135</v>
      </c>
      <c r="G19" s="26" t="s">
        <v>136</v>
      </c>
      <c r="H19" s="26" t="s">
        <v>137</v>
      </c>
      <c r="I19" s="26">
        <v>30070591</v>
      </c>
      <c r="J19" s="26" t="s">
        <v>138</v>
      </c>
      <c r="K19" s="25" t="s">
        <v>28</v>
      </c>
      <c r="L19" s="25" t="s">
        <v>53</v>
      </c>
      <c r="M19" s="26" t="s">
        <v>59</v>
      </c>
      <c r="N19" s="26" t="s">
        <v>60</v>
      </c>
      <c r="O19" s="27" t="s">
        <v>32</v>
      </c>
      <c r="P19" s="28" t="str">
        <f t="shared" si="0"/>
        <v>JORGE LUIS    CABREJOS    SAMAME</v>
      </c>
      <c r="Q19" s="26" t="s">
        <v>138</v>
      </c>
      <c r="R19" s="29" t="str">
        <f t="shared" si="1"/>
        <v>C2103     GEGCF54001</v>
      </c>
    </row>
    <row r="20" spans="1:18" ht="15.75" thickBot="1" x14ac:dyDescent="0.3">
      <c r="A20" s="25">
        <v>19</v>
      </c>
      <c r="B20" s="26">
        <v>10003656</v>
      </c>
      <c r="C20" s="26" t="s">
        <v>133</v>
      </c>
      <c r="D20" s="26">
        <v>10003656</v>
      </c>
      <c r="E20" s="26" t="s">
        <v>139</v>
      </c>
      <c r="F20" s="26" t="s">
        <v>140</v>
      </c>
      <c r="G20" s="26" t="s">
        <v>141</v>
      </c>
      <c r="H20" s="26" t="s">
        <v>142</v>
      </c>
      <c r="I20" s="26">
        <v>30070592</v>
      </c>
      <c r="J20" s="26" t="s">
        <v>143</v>
      </c>
      <c r="K20" s="25" t="s">
        <v>28</v>
      </c>
      <c r="L20" s="25" t="s">
        <v>53</v>
      </c>
      <c r="M20" s="26" t="s">
        <v>80</v>
      </c>
      <c r="N20" s="26" t="s">
        <v>60</v>
      </c>
      <c r="O20" s="27" t="s">
        <v>32</v>
      </c>
      <c r="P20" s="28" t="str">
        <f t="shared" si="0"/>
        <v>JOSE MARIA    MELGAR    AZANZA</v>
      </c>
      <c r="Q20" s="26" t="s">
        <v>143</v>
      </c>
      <c r="R20" s="29" t="str">
        <f t="shared" si="1"/>
        <v>C2103     GEGCF54015</v>
      </c>
    </row>
    <row r="21" spans="1:18" ht="15.75" thickBot="1" x14ac:dyDescent="0.3">
      <c r="A21" s="25">
        <v>20</v>
      </c>
      <c r="B21" s="26">
        <v>10003656</v>
      </c>
      <c r="C21" s="26" t="s">
        <v>133</v>
      </c>
      <c r="D21" s="26">
        <v>10003656</v>
      </c>
      <c r="E21" s="26" t="s">
        <v>144</v>
      </c>
      <c r="F21" s="26" t="s">
        <v>50</v>
      </c>
      <c r="G21" s="26" t="s">
        <v>145</v>
      </c>
      <c r="H21" s="26" t="s">
        <v>146</v>
      </c>
      <c r="I21" s="26">
        <v>30070593</v>
      </c>
      <c r="J21" s="26" t="s">
        <v>147</v>
      </c>
      <c r="K21" s="25" t="s">
        <v>28</v>
      </c>
      <c r="L21" s="25" t="s">
        <v>74</v>
      </c>
      <c r="M21" s="26" t="s">
        <v>80</v>
      </c>
      <c r="N21" s="26" t="s">
        <v>60</v>
      </c>
      <c r="O21" s="27" t="s">
        <v>32</v>
      </c>
      <c r="P21" s="28" t="str">
        <f t="shared" si="0"/>
        <v>BRENDA BIBIANA    MARTINEZ    AGUADO</v>
      </c>
      <c r="Q21" s="26" t="s">
        <v>147</v>
      </c>
      <c r="R21" s="29" t="str">
        <f t="shared" si="1"/>
        <v>C2103     GEGCF54015</v>
      </c>
    </row>
    <row r="22" spans="1:18" ht="15.75" thickBot="1" x14ac:dyDescent="0.3">
      <c r="A22" s="25">
        <v>21</v>
      </c>
      <c r="B22" s="26">
        <v>10003659</v>
      </c>
      <c r="C22" s="26" t="s">
        <v>22</v>
      </c>
      <c r="D22" s="26">
        <v>10003659</v>
      </c>
      <c r="E22" s="26" t="s">
        <v>148</v>
      </c>
      <c r="F22" s="26" t="s">
        <v>42</v>
      </c>
      <c r="G22" s="26" t="s">
        <v>149</v>
      </c>
      <c r="H22" s="26" t="s">
        <v>150</v>
      </c>
      <c r="I22" s="26">
        <v>30070594</v>
      </c>
      <c r="J22" s="26" t="s">
        <v>151</v>
      </c>
      <c r="K22" s="25" t="s">
        <v>28</v>
      </c>
      <c r="L22" s="25" t="s">
        <v>74</v>
      </c>
      <c r="M22" s="26" t="s">
        <v>80</v>
      </c>
      <c r="N22" s="26" t="s">
        <v>31</v>
      </c>
      <c r="O22" s="27" t="s">
        <v>32</v>
      </c>
      <c r="P22" s="28" t="str">
        <f t="shared" si="0"/>
        <v>LUCIA GABRIELA    GARCIA    NIETO</v>
      </c>
      <c r="Q22" s="26" t="s">
        <v>151</v>
      </c>
      <c r="R22" s="29" t="str">
        <f t="shared" si="1"/>
        <v>C2101     GEGCF54015</v>
      </c>
    </row>
    <row r="23" spans="1:18" ht="15.75" thickBot="1" x14ac:dyDescent="0.3">
      <c r="A23" s="25">
        <v>22</v>
      </c>
      <c r="B23" s="26">
        <v>10003664</v>
      </c>
      <c r="C23" s="26" t="s">
        <v>126</v>
      </c>
      <c r="D23" s="26">
        <v>10003664</v>
      </c>
      <c r="E23" s="26" t="s">
        <v>152</v>
      </c>
      <c r="F23" s="26" t="s">
        <v>153</v>
      </c>
      <c r="G23" s="26" t="s">
        <v>154</v>
      </c>
      <c r="H23" s="26" t="s">
        <v>155</v>
      </c>
      <c r="I23" s="26">
        <v>30070595</v>
      </c>
      <c r="J23" s="26" t="s">
        <v>156</v>
      </c>
      <c r="K23" s="25" t="s">
        <v>28</v>
      </c>
      <c r="L23" s="25" t="s">
        <v>74</v>
      </c>
      <c r="M23" s="26" t="s">
        <v>80</v>
      </c>
      <c r="N23" s="26" t="s">
        <v>31</v>
      </c>
      <c r="O23" s="27" t="s">
        <v>32</v>
      </c>
      <c r="P23" s="28" t="str">
        <f t="shared" si="0"/>
        <v>ARACELI    ROSALES    SANTOYO</v>
      </c>
      <c r="Q23" s="26" t="s">
        <v>156</v>
      </c>
      <c r="R23" s="29" t="str">
        <f t="shared" si="1"/>
        <v>C2101     GEGCF54015</v>
      </c>
    </row>
    <row r="24" spans="1:18" ht="15.75" thickBot="1" x14ac:dyDescent="0.3">
      <c r="A24" s="25">
        <v>23</v>
      </c>
      <c r="B24" s="26">
        <v>10003665</v>
      </c>
      <c r="C24" s="26" t="s">
        <v>40</v>
      </c>
      <c r="D24" s="26">
        <v>10003665</v>
      </c>
      <c r="E24" s="26" t="s">
        <v>157</v>
      </c>
      <c r="F24" s="26" t="s">
        <v>158</v>
      </c>
      <c r="G24" s="26" t="s">
        <v>159</v>
      </c>
      <c r="H24" s="26" t="s">
        <v>160</v>
      </c>
      <c r="I24" s="26">
        <v>30070596</v>
      </c>
      <c r="J24" s="26" t="s">
        <v>161</v>
      </c>
      <c r="K24" s="25" t="s">
        <v>28</v>
      </c>
      <c r="L24" s="25" t="s">
        <v>74</v>
      </c>
      <c r="M24" s="26" t="s">
        <v>162</v>
      </c>
      <c r="N24" s="26" t="s">
        <v>31</v>
      </c>
      <c r="O24" s="27" t="s">
        <v>32</v>
      </c>
      <c r="P24" s="28" t="str">
        <f t="shared" si="0"/>
        <v>ALDO GENARO    SANCHEZ    RODRIGUEZ</v>
      </c>
      <c r="Q24" s="26" t="s">
        <v>161</v>
      </c>
      <c r="R24" s="29" t="str">
        <f t="shared" si="1"/>
        <v>C2101     GEGCF52048</v>
      </c>
    </row>
    <row r="25" spans="1:18" ht="15.75" thickBot="1" x14ac:dyDescent="0.3">
      <c r="A25" s="25">
        <v>24</v>
      </c>
      <c r="B25" s="26">
        <v>10003665</v>
      </c>
      <c r="C25" s="26" t="s">
        <v>40</v>
      </c>
      <c r="D25" s="26">
        <v>10003665</v>
      </c>
      <c r="E25" s="26" t="s">
        <v>163</v>
      </c>
      <c r="F25" s="26" t="s">
        <v>64</v>
      </c>
      <c r="G25" s="26" t="s">
        <v>64</v>
      </c>
      <c r="H25" s="26" t="s">
        <v>164</v>
      </c>
      <c r="I25" s="26">
        <v>30070597</v>
      </c>
      <c r="J25" s="26" t="s">
        <v>165</v>
      </c>
      <c r="K25" s="25" t="s">
        <v>28</v>
      </c>
      <c r="L25" s="25" t="s">
        <v>74</v>
      </c>
      <c r="M25" s="26" t="s">
        <v>162</v>
      </c>
      <c r="N25" s="26" t="s">
        <v>31</v>
      </c>
      <c r="O25" s="27" t="s">
        <v>32</v>
      </c>
      <c r="P25" s="28" t="str">
        <f t="shared" si="0"/>
        <v>ANGELICA    LOPEZ    LOPEZ</v>
      </c>
      <c r="Q25" s="26" t="s">
        <v>165</v>
      </c>
      <c r="R25" s="29" t="str">
        <f t="shared" si="1"/>
        <v>C2101     GEGCF52048</v>
      </c>
    </row>
    <row r="26" spans="1:18" ht="15.75" thickBot="1" x14ac:dyDescent="0.3">
      <c r="A26" s="25">
        <v>25</v>
      </c>
      <c r="B26" s="26">
        <v>10003659</v>
      </c>
      <c r="C26" s="26" t="s">
        <v>22</v>
      </c>
      <c r="D26" s="26">
        <v>10003659</v>
      </c>
      <c r="E26" s="26" t="s">
        <v>166</v>
      </c>
      <c r="F26" s="26" t="s">
        <v>167</v>
      </c>
      <c r="G26" s="26" t="s">
        <v>168</v>
      </c>
      <c r="H26" s="26" t="s">
        <v>169</v>
      </c>
      <c r="I26" s="26">
        <v>30070598</v>
      </c>
      <c r="J26" s="26" t="s">
        <v>170</v>
      </c>
      <c r="K26" s="25" t="s">
        <v>28</v>
      </c>
      <c r="L26" s="25" t="s">
        <v>74</v>
      </c>
      <c r="M26" s="26" t="s">
        <v>171</v>
      </c>
      <c r="N26" s="26" t="s">
        <v>31</v>
      </c>
      <c r="O26" s="27" t="s">
        <v>32</v>
      </c>
      <c r="P26" s="28" t="str">
        <f t="shared" si="0"/>
        <v>CARLOS ENRIQUE    RIVERA    CORDERO</v>
      </c>
      <c r="Q26" s="26" t="s">
        <v>170</v>
      </c>
      <c r="R26" s="29" t="str">
        <f t="shared" si="1"/>
        <v>C2101     GEGCF54004</v>
      </c>
    </row>
    <row r="27" spans="1:18" ht="15.75" thickBot="1" x14ac:dyDescent="0.3">
      <c r="A27" s="25">
        <v>26</v>
      </c>
      <c r="B27" s="26">
        <v>10003659</v>
      </c>
      <c r="C27" s="26" t="s">
        <v>22</v>
      </c>
      <c r="D27" s="26">
        <v>10003659</v>
      </c>
      <c r="E27" s="26" t="s">
        <v>172</v>
      </c>
      <c r="F27" s="26" t="s">
        <v>173</v>
      </c>
      <c r="G27" s="26" t="s">
        <v>174</v>
      </c>
      <c r="H27" s="26" t="s">
        <v>175</v>
      </c>
      <c r="I27" s="26">
        <v>30070599</v>
      </c>
      <c r="J27" s="26" t="s">
        <v>176</v>
      </c>
      <c r="K27" s="25" t="s">
        <v>28</v>
      </c>
      <c r="L27" s="25" t="s">
        <v>74</v>
      </c>
      <c r="M27" s="26" t="s">
        <v>87</v>
      </c>
      <c r="N27" s="26" t="s">
        <v>31</v>
      </c>
      <c r="O27" s="27" t="s">
        <v>32</v>
      </c>
      <c r="P27" s="28" t="str">
        <f t="shared" si="0"/>
        <v>FIDEL RAMIRO    GUERRA    VALLEJO</v>
      </c>
      <c r="Q27" s="26" t="s">
        <v>176</v>
      </c>
      <c r="R27" s="29" t="str">
        <f t="shared" si="1"/>
        <v>C2101     GEGEA08001</v>
      </c>
    </row>
    <row r="28" spans="1:18" ht="15.75" thickBot="1" x14ac:dyDescent="0.3">
      <c r="A28" s="25">
        <v>27</v>
      </c>
      <c r="B28" s="26">
        <v>10003659</v>
      </c>
      <c r="C28" s="26" t="s">
        <v>22</v>
      </c>
      <c r="D28" s="26">
        <v>10003659</v>
      </c>
      <c r="E28" s="26" t="s">
        <v>177</v>
      </c>
      <c r="F28" s="26" t="s">
        <v>178</v>
      </c>
      <c r="G28" s="26" t="s">
        <v>179</v>
      </c>
      <c r="H28" s="26" t="s">
        <v>180</v>
      </c>
      <c r="I28" s="26">
        <v>30070600</v>
      </c>
      <c r="J28" s="26" t="s">
        <v>181</v>
      </c>
      <c r="K28" s="25" t="s">
        <v>28</v>
      </c>
      <c r="L28" s="25" t="s">
        <v>29</v>
      </c>
      <c r="M28" s="26" t="s">
        <v>87</v>
      </c>
      <c r="N28" s="26" t="s">
        <v>31</v>
      </c>
      <c r="O28" s="27" t="s">
        <v>32</v>
      </c>
      <c r="P28" s="28" t="str">
        <f t="shared" si="0"/>
        <v>MARTHA PATRICIA    URRUTIA    CORTES</v>
      </c>
      <c r="Q28" s="26" t="s">
        <v>181</v>
      </c>
      <c r="R28" s="29" t="str">
        <f t="shared" si="1"/>
        <v>C2101     GEGEA08001</v>
      </c>
    </row>
    <row r="29" spans="1:18" ht="15.75" thickBot="1" x14ac:dyDescent="0.3">
      <c r="A29" s="25">
        <v>28</v>
      </c>
      <c r="B29" s="26">
        <v>10003656</v>
      </c>
      <c r="C29" s="26" t="s">
        <v>133</v>
      </c>
      <c r="D29" s="26">
        <v>10003656</v>
      </c>
      <c r="E29" s="26" t="s">
        <v>182</v>
      </c>
      <c r="F29" s="26" t="s">
        <v>183</v>
      </c>
      <c r="G29" s="26" t="s">
        <v>42</v>
      </c>
      <c r="H29" s="26" t="s">
        <v>184</v>
      </c>
      <c r="I29" s="26">
        <v>30070601</v>
      </c>
      <c r="J29" s="26" t="s">
        <v>185</v>
      </c>
      <c r="K29" s="25" t="s">
        <v>28</v>
      </c>
      <c r="L29" s="25" t="s">
        <v>53</v>
      </c>
      <c r="M29" s="26" t="s">
        <v>186</v>
      </c>
      <c r="N29" s="26" t="s">
        <v>60</v>
      </c>
      <c r="O29" s="27" t="s">
        <v>32</v>
      </c>
      <c r="P29" s="28" t="str">
        <f t="shared" si="0"/>
        <v>JOSE DANIEL    SALAS    GARCIA</v>
      </c>
      <c r="Q29" s="26" t="s">
        <v>185</v>
      </c>
      <c r="R29" s="29" t="str">
        <f t="shared" si="1"/>
        <v>C2103     GEGCF52044</v>
      </c>
    </row>
    <row r="30" spans="1:18" ht="15.75" thickBot="1" x14ac:dyDescent="0.3">
      <c r="A30" s="25">
        <v>29</v>
      </c>
      <c r="B30" s="26">
        <v>10003656</v>
      </c>
      <c r="C30" s="26" t="s">
        <v>133</v>
      </c>
      <c r="D30" s="26">
        <v>10003656</v>
      </c>
      <c r="E30" s="26" t="s">
        <v>187</v>
      </c>
      <c r="F30" s="26" t="s">
        <v>188</v>
      </c>
      <c r="G30" s="26" t="s">
        <v>189</v>
      </c>
      <c r="H30" s="26" t="s">
        <v>190</v>
      </c>
      <c r="I30" s="26">
        <v>30070602</v>
      </c>
      <c r="J30" s="26" t="s">
        <v>191</v>
      </c>
      <c r="K30" s="25" t="s">
        <v>28</v>
      </c>
      <c r="L30" s="25" t="s">
        <v>74</v>
      </c>
      <c r="M30" s="26" t="s">
        <v>192</v>
      </c>
      <c r="N30" s="26" t="s">
        <v>60</v>
      </c>
      <c r="O30" s="27" t="s">
        <v>32</v>
      </c>
      <c r="P30" s="28" t="str">
        <f t="shared" si="0"/>
        <v>J JESUS    BARBOSA    AVILA</v>
      </c>
      <c r="Q30" s="26" t="s">
        <v>191</v>
      </c>
      <c r="R30" s="29" t="str">
        <f t="shared" si="1"/>
        <v>C2103     GEGOA06001</v>
      </c>
    </row>
    <row r="31" spans="1:18" ht="15.75" thickBot="1" x14ac:dyDescent="0.3">
      <c r="A31" s="25">
        <v>30</v>
      </c>
      <c r="B31" s="26">
        <v>10003661</v>
      </c>
      <c r="C31" s="26" t="s">
        <v>68</v>
      </c>
      <c r="D31" s="26">
        <v>10003661</v>
      </c>
      <c r="E31" s="26" t="s">
        <v>193</v>
      </c>
      <c r="F31" s="26" t="s">
        <v>194</v>
      </c>
      <c r="G31" s="26" t="s">
        <v>195</v>
      </c>
      <c r="H31" s="26" t="s">
        <v>196</v>
      </c>
      <c r="I31" s="26">
        <v>30070603</v>
      </c>
      <c r="J31" s="26" t="s">
        <v>197</v>
      </c>
      <c r="K31" s="25" t="s">
        <v>28</v>
      </c>
      <c r="L31" s="25" t="s">
        <v>74</v>
      </c>
      <c r="M31" s="26" t="s">
        <v>80</v>
      </c>
      <c r="N31" s="26" t="s">
        <v>67</v>
      </c>
      <c r="O31" s="27" t="s">
        <v>32</v>
      </c>
      <c r="P31" s="28" t="str">
        <f t="shared" si="0"/>
        <v>ADRIANA LORENA    JASSO    MEDINA</v>
      </c>
      <c r="Q31" s="26" t="s">
        <v>197</v>
      </c>
      <c r="R31" s="29" t="str">
        <f t="shared" si="1"/>
        <v>C2102     GEGCF54015</v>
      </c>
    </row>
    <row r="32" spans="1:18" ht="15.75" thickBot="1" x14ac:dyDescent="0.3">
      <c r="A32" s="25">
        <v>31</v>
      </c>
      <c r="B32" s="26">
        <v>10003654</v>
      </c>
      <c r="C32" s="26" t="s">
        <v>54</v>
      </c>
      <c r="D32" s="26">
        <v>10003654</v>
      </c>
      <c r="E32" s="26" t="s">
        <v>198</v>
      </c>
      <c r="F32" s="26" t="s">
        <v>199</v>
      </c>
      <c r="G32" s="26" t="s">
        <v>107</v>
      </c>
      <c r="H32" s="26" t="s">
        <v>200</v>
      </c>
      <c r="I32" s="26">
        <v>30070604</v>
      </c>
      <c r="J32" s="26" t="s">
        <v>201</v>
      </c>
      <c r="K32" s="25" t="s">
        <v>28</v>
      </c>
      <c r="L32" s="25" t="s">
        <v>74</v>
      </c>
      <c r="M32" s="26" t="s">
        <v>80</v>
      </c>
      <c r="N32" s="26" t="s">
        <v>60</v>
      </c>
      <c r="O32" s="27" t="s">
        <v>32</v>
      </c>
      <c r="P32" s="28" t="str">
        <f t="shared" si="0"/>
        <v>DORIS LORENA    ALBA    GONZALEZ</v>
      </c>
      <c r="Q32" s="26" t="s">
        <v>201</v>
      </c>
      <c r="R32" s="29" t="str">
        <f t="shared" si="1"/>
        <v>C2103     GEGCF54015</v>
      </c>
    </row>
    <row r="33" spans="1:18" ht="15.75" thickBot="1" x14ac:dyDescent="0.3">
      <c r="A33" s="25">
        <v>32</v>
      </c>
      <c r="B33" s="26">
        <v>10003653</v>
      </c>
      <c r="C33" s="26" t="s">
        <v>61</v>
      </c>
      <c r="D33" s="26">
        <v>10003653</v>
      </c>
      <c r="E33" s="26" t="s">
        <v>202</v>
      </c>
      <c r="F33" s="26" t="s">
        <v>203</v>
      </c>
      <c r="G33" s="26" t="s">
        <v>204</v>
      </c>
      <c r="H33" s="26" t="s">
        <v>205</v>
      </c>
      <c r="I33" s="26">
        <v>30070605</v>
      </c>
      <c r="J33" s="26" t="s">
        <v>206</v>
      </c>
      <c r="K33" s="25" t="s">
        <v>28</v>
      </c>
      <c r="L33" s="25" t="s">
        <v>207</v>
      </c>
      <c r="M33" s="26" t="s">
        <v>80</v>
      </c>
      <c r="N33" s="26" t="s">
        <v>67</v>
      </c>
      <c r="O33" s="27" t="s">
        <v>32</v>
      </c>
      <c r="P33" s="28" t="str">
        <f t="shared" si="0"/>
        <v>CECILIA    TERAN    OLMOS</v>
      </c>
      <c r="Q33" s="26" t="s">
        <v>206</v>
      </c>
      <c r="R33" s="29" t="str">
        <f t="shared" si="1"/>
        <v>C2102     GEGCF54015</v>
      </c>
    </row>
    <row r="34" spans="1:18" ht="15.75" thickBot="1" x14ac:dyDescent="0.3">
      <c r="A34" s="25">
        <v>33</v>
      </c>
      <c r="B34" s="26">
        <v>10003661</v>
      </c>
      <c r="C34" s="26" t="s">
        <v>68</v>
      </c>
      <c r="D34" s="26">
        <v>10003661</v>
      </c>
      <c r="E34" s="26" t="s">
        <v>208</v>
      </c>
      <c r="F34" s="26" t="s">
        <v>209</v>
      </c>
      <c r="G34" s="26" t="s">
        <v>210</v>
      </c>
      <c r="H34" s="26" t="s">
        <v>211</v>
      </c>
      <c r="I34" s="26">
        <v>30070606</v>
      </c>
      <c r="J34" s="26" t="s">
        <v>212</v>
      </c>
      <c r="K34" s="25" t="s">
        <v>28</v>
      </c>
      <c r="L34" s="25" t="s">
        <v>29</v>
      </c>
      <c r="M34" s="26" t="s">
        <v>80</v>
      </c>
      <c r="N34" s="26" t="s">
        <v>67</v>
      </c>
      <c r="O34" s="27" t="s">
        <v>32</v>
      </c>
      <c r="P34" s="28" t="str">
        <f t="shared" si="0"/>
        <v>LUIS ENRIQUE    FLORES    GRANADOS</v>
      </c>
      <c r="Q34" s="26" t="s">
        <v>212</v>
      </c>
      <c r="R34" s="29" t="str">
        <f t="shared" si="1"/>
        <v>C2102     GEGCF54015</v>
      </c>
    </row>
    <row r="35" spans="1:18" ht="15.75" thickBot="1" x14ac:dyDescent="0.3">
      <c r="A35" s="25">
        <v>34</v>
      </c>
      <c r="B35" s="26">
        <v>10003657</v>
      </c>
      <c r="C35" s="26" t="s">
        <v>213</v>
      </c>
      <c r="D35" s="26">
        <v>10003657</v>
      </c>
      <c r="E35" s="26" t="s">
        <v>214</v>
      </c>
      <c r="F35" s="26" t="s">
        <v>215</v>
      </c>
      <c r="G35" s="26" t="s">
        <v>216</v>
      </c>
      <c r="H35" s="26" t="s">
        <v>217</v>
      </c>
      <c r="I35" s="26">
        <v>30070607</v>
      </c>
      <c r="J35" s="26" t="s">
        <v>218</v>
      </c>
      <c r="K35" s="25" t="s">
        <v>28</v>
      </c>
      <c r="L35" s="25" t="s">
        <v>29</v>
      </c>
      <c r="M35" s="26" t="s">
        <v>219</v>
      </c>
      <c r="N35" s="26" t="s">
        <v>60</v>
      </c>
      <c r="O35" s="27" t="s">
        <v>32</v>
      </c>
      <c r="P35" s="28" t="str">
        <f t="shared" si="0"/>
        <v>OCTAVIO HUMBERTO    AGUILAR    MATA</v>
      </c>
      <c r="Q35" s="26" t="s">
        <v>218</v>
      </c>
      <c r="R35" s="29" t="str">
        <f t="shared" si="1"/>
        <v>C2103     GEGCF51005</v>
      </c>
    </row>
    <row r="36" spans="1:18" ht="15.75" thickBot="1" x14ac:dyDescent="0.3">
      <c r="A36" s="25">
        <v>35</v>
      </c>
      <c r="B36" s="26">
        <v>10003655</v>
      </c>
      <c r="C36" s="26" t="s">
        <v>220</v>
      </c>
      <c r="D36" s="26">
        <v>10003655</v>
      </c>
      <c r="E36" s="26" t="s">
        <v>89</v>
      </c>
      <c r="F36" s="26" t="s">
        <v>221</v>
      </c>
      <c r="G36" s="26" t="s">
        <v>159</v>
      </c>
      <c r="H36" s="26" t="s">
        <v>222</v>
      </c>
      <c r="I36" s="26">
        <v>30070608</v>
      </c>
      <c r="J36" s="26" t="s">
        <v>223</v>
      </c>
      <c r="K36" s="25" t="s">
        <v>28</v>
      </c>
      <c r="L36" s="25" t="s">
        <v>74</v>
      </c>
      <c r="M36" s="26" t="s">
        <v>59</v>
      </c>
      <c r="N36" s="26" t="s">
        <v>60</v>
      </c>
      <c r="O36" s="27" t="s">
        <v>32</v>
      </c>
      <c r="P36" s="28" t="str">
        <f t="shared" si="0"/>
        <v>ADRIANA    ISLAS    RODRIGUEZ</v>
      </c>
      <c r="Q36" s="26" t="s">
        <v>223</v>
      </c>
      <c r="R36" s="29" t="str">
        <f t="shared" si="1"/>
        <v>C2103     GEGCF54001</v>
      </c>
    </row>
    <row r="37" spans="1:18" ht="15.75" thickBot="1" x14ac:dyDescent="0.3">
      <c r="A37" s="25">
        <v>36</v>
      </c>
      <c r="B37" s="26">
        <v>10003663</v>
      </c>
      <c r="C37" s="26" t="s">
        <v>224</v>
      </c>
      <c r="D37" s="26">
        <v>10003663</v>
      </c>
      <c r="E37" s="26" t="s">
        <v>225</v>
      </c>
      <c r="F37" s="26" t="s">
        <v>226</v>
      </c>
      <c r="G37" s="26" t="s">
        <v>64</v>
      </c>
      <c r="H37" s="26" t="s">
        <v>227</v>
      </c>
      <c r="I37" s="26">
        <v>30070609</v>
      </c>
      <c r="J37" s="26" t="s">
        <v>228</v>
      </c>
      <c r="K37" s="25" t="s">
        <v>28</v>
      </c>
      <c r="L37" s="25" t="s">
        <v>29</v>
      </c>
      <c r="M37" s="26" t="s">
        <v>59</v>
      </c>
      <c r="N37" s="26" t="s">
        <v>60</v>
      </c>
      <c r="O37" s="27" t="s">
        <v>32</v>
      </c>
      <c r="P37" s="28" t="str">
        <f t="shared" si="0"/>
        <v>RICARDO    VAZQUEZ    LOPEZ</v>
      </c>
      <c r="Q37" s="26" t="s">
        <v>228</v>
      </c>
      <c r="R37" s="29" t="str">
        <f t="shared" si="1"/>
        <v>C2103     GEGCF54001</v>
      </c>
    </row>
    <row r="38" spans="1:18" ht="15.75" thickBot="1" x14ac:dyDescent="0.3">
      <c r="A38" s="25">
        <v>37</v>
      </c>
      <c r="B38" s="26">
        <v>10003655</v>
      </c>
      <c r="C38" s="26" t="s">
        <v>220</v>
      </c>
      <c r="D38" s="26">
        <v>10003655</v>
      </c>
      <c r="E38" s="26" t="s">
        <v>229</v>
      </c>
      <c r="F38" s="26" t="s">
        <v>230</v>
      </c>
      <c r="G38" s="26" t="s">
        <v>231</v>
      </c>
      <c r="H38" s="26" t="s">
        <v>232</v>
      </c>
      <c r="I38" s="26">
        <v>30070611</v>
      </c>
      <c r="J38" s="26" t="s">
        <v>233</v>
      </c>
      <c r="K38" s="25" t="s">
        <v>28</v>
      </c>
      <c r="L38" s="25" t="s">
        <v>53</v>
      </c>
      <c r="M38" s="26" t="s">
        <v>80</v>
      </c>
      <c r="N38" s="26" t="s">
        <v>60</v>
      </c>
      <c r="O38" s="27" t="s">
        <v>32</v>
      </c>
      <c r="P38" s="28" t="str">
        <f t="shared" si="0"/>
        <v>SERGIO KARLO    BELTRAN    LARA</v>
      </c>
      <c r="Q38" s="26" t="s">
        <v>233</v>
      </c>
      <c r="R38" s="29" t="str">
        <f t="shared" si="1"/>
        <v>C2103     GEGCF54015</v>
      </c>
    </row>
    <row r="39" spans="1:18" ht="15.75" thickBot="1" x14ac:dyDescent="0.3">
      <c r="A39" s="25">
        <v>38</v>
      </c>
      <c r="B39" s="26">
        <v>10003663</v>
      </c>
      <c r="C39" s="26" t="s">
        <v>224</v>
      </c>
      <c r="D39" s="26">
        <v>10003663</v>
      </c>
      <c r="E39" s="26" t="s">
        <v>234</v>
      </c>
      <c r="F39" s="26" t="s">
        <v>235</v>
      </c>
      <c r="G39" s="26" t="s">
        <v>236</v>
      </c>
      <c r="H39" s="26" t="s">
        <v>237</v>
      </c>
      <c r="I39" s="26">
        <v>30070612</v>
      </c>
      <c r="J39" s="26" t="s">
        <v>238</v>
      </c>
      <c r="K39" s="25" t="s">
        <v>28</v>
      </c>
      <c r="L39" s="25" t="s">
        <v>53</v>
      </c>
      <c r="M39" s="26" t="s">
        <v>80</v>
      </c>
      <c r="N39" s="26" t="s">
        <v>60</v>
      </c>
      <c r="O39" s="27" t="s">
        <v>32</v>
      </c>
      <c r="P39" s="28" t="str">
        <f t="shared" si="0"/>
        <v>MA CONSUELO    HERNANDEZ    PEREZ</v>
      </c>
      <c r="Q39" s="26" t="s">
        <v>238</v>
      </c>
      <c r="R39" s="29" t="str">
        <f t="shared" si="1"/>
        <v>C2103     GEGCF54015</v>
      </c>
    </row>
    <row r="40" spans="1:18" ht="15.75" thickBot="1" x14ac:dyDescent="0.3">
      <c r="A40" s="25">
        <v>39</v>
      </c>
      <c r="B40" s="26">
        <v>10003656</v>
      </c>
      <c r="C40" s="26" t="s">
        <v>133</v>
      </c>
      <c r="D40" s="26">
        <v>10003656</v>
      </c>
      <c r="E40" s="26" t="s">
        <v>239</v>
      </c>
      <c r="F40" s="26" t="s">
        <v>240</v>
      </c>
      <c r="G40" s="26" t="s">
        <v>129</v>
      </c>
      <c r="H40" s="26" t="s">
        <v>241</v>
      </c>
      <c r="I40" s="26">
        <v>30070613</v>
      </c>
      <c r="J40" s="26" t="s">
        <v>242</v>
      </c>
      <c r="K40" s="25" t="s">
        <v>28</v>
      </c>
      <c r="L40" s="25" t="s">
        <v>53</v>
      </c>
      <c r="M40" s="26" t="s">
        <v>80</v>
      </c>
      <c r="N40" s="26" t="s">
        <v>60</v>
      </c>
      <c r="O40" s="27" t="s">
        <v>32</v>
      </c>
      <c r="P40" s="28" t="str">
        <f t="shared" si="0"/>
        <v>MARISELA    CAMPOS    CRUZ</v>
      </c>
      <c r="Q40" s="26" t="s">
        <v>242</v>
      </c>
      <c r="R40" s="29" t="str">
        <f t="shared" si="1"/>
        <v>C2103     GEGCF54015</v>
      </c>
    </row>
    <row r="41" spans="1:18" ht="15.75" thickBot="1" x14ac:dyDescent="0.3">
      <c r="A41" s="25">
        <v>40</v>
      </c>
      <c r="B41" s="26">
        <v>10003663</v>
      </c>
      <c r="C41" s="26" t="s">
        <v>224</v>
      </c>
      <c r="D41" s="26">
        <v>10003663</v>
      </c>
      <c r="E41" s="26" t="s">
        <v>243</v>
      </c>
      <c r="F41" s="26" t="s">
        <v>244</v>
      </c>
      <c r="G41" s="26" t="s">
        <v>245</v>
      </c>
      <c r="H41" s="26" t="s">
        <v>246</v>
      </c>
      <c r="I41" s="26">
        <v>30070614</v>
      </c>
      <c r="J41" s="26" t="s">
        <v>247</v>
      </c>
      <c r="K41" s="25" t="s">
        <v>28</v>
      </c>
      <c r="L41" s="25" t="s">
        <v>29</v>
      </c>
      <c r="M41" s="26" t="s">
        <v>80</v>
      </c>
      <c r="N41" s="26" t="s">
        <v>60</v>
      </c>
      <c r="O41" s="27" t="s">
        <v>32</v>
      </c>
      <c r="P41" s="28" t="str">
        <f t="shared" si="0"/>
        <v>JONATHAN HAZAEL    MARES    MENDEZ</v>
      </c>
      <c r="Q41" s="26" t="s">
        <v>247</v>
      </c>
      <c r="R41" s="29" t="str">
        <f t="shared" si="1"/>
        <v>C2103     GEGCF54015</v>
      </c>
    </row>
    <row r="42" spans="1:18" ht="15.75" thickBot="1" x14ac:dyDescent="0.3">
      <c r="A42" s="25">
        <v>41</v>
      </c>
      <c r="B42" s="26">
        <v>10003657</v>
      </c>
      <c r="C42" s="26" t="s">
        <v>213</v>
      </c>
      <c r="D42" s="26">
        <v>10003657</v>
      </c>
      <c r="E42" s="26" t="s">
        <v>248</v>
      </c>
      <c r="F42" s="26" t="s">
        <v>159</v>
      </c>
      <c r="G42" s="26" t="s">
        <v>249</v>
      </c>
      <c r="H42" s="26" t="s">
        <v>250</v>
      </c>
      <c r="I42" s="26">
        <v>30070615</v>
      </c>
      <c r="J42" s="26" t="s">
        <v>86</v>
      </c>
      <c r="K42" s="25" t="s">
        <v>28</v>
      </c>
      <c r="L42" s="25" t="s">
        <v>74</v>
      </c>
      <c r="M42" s="26" t="s">
        <v>186</v>
      </c>
      <c r="N42" s="26" t="s">
        <v>60</v>
      </c>
      <c r="O42" s="27" t="s">
        <v>32</v>
      </c>
      <c r="P42" s="28" t="str">
        <f t="shared" si="0"/>
        <v>GLORIA    RODRIGUEZ    ZARATE</v>
      </c>
      <c r="Q42" s="26" t="s">
        <v>86</v>
      </c>
      <c r="R42" s="29" t="str">
        <f t="shared" si="1"/>
        <v>C2103     GEGCF52044</v>
      </c>
    </row>
    <row r="43" spans="1:18" ht="15.75" thickBot="1" x14ac:dyDescent="0.3">
      <c r="A43" s="25">
        <v>42</v>
      </c>
      <c r="B43" s="26">
        <v>10003666</v>
      </c>
      <c r="C43" s="26" t="s">
        <v>115</v>
      </c>
      <c r="D43" s="26">
        <v>10003666</v>
      </c>
      <c r="E43" s="26" t="s">
        <v>251</v>
      </c>
      <c r="F43" s="26" t="s">
        <v>252</v>
      </c>
      <c r="G43" s="26" t="s">
        <v>235</v>
      </c>
      <c r="H43" s="26" t="s">
        <v>253</v>
      </c>
      <c r="I43" s="26">
        <v>30070616</v>
      </c>
      <c r="J43" s="26" t="s">
        <v>254</v>
      </c>
      <c r="K43" s="25" t="s">
        <v>28</v>
      </c>
      <c r="L43" s="25" t="s">
        <v>53</v>
      </c>
      <c r="M43" s="26" t="s">
        <v>255</v>
      </c>
      <c r="N43" s="26" t="s">
        <v>94</v>
      </c>
      <c r="O43" s="27" t="s">
        <v>32</v>
      </c>
      <c r="P43" s="28" t="str">
        <f t="shared" si="0"/>
        <v>ROBERTO WILLEBALDO    CARDENAS    HERNANDEZ</v>
      </c>
      <c r="Q43" s="26" t="s">
        <v>254</v>
      </c>
      <c r="R43" s="29" t="str">
        <f t="shared" si="1"/>
        <v>C2104     GEGCF52002</v>
      </c>
    </row>
    <row r="44" spans="1:18" ht="15.75" thickBot="1" x14ac:dyDescent="0.3">
      <c r="A44" s="25">
        <v>43</v>
      </c>
      <c r="B44" s="26">
        <v>10003660</v>
      </c>
      <c r="C44" s="26" t="s">
        <v>95</v>
      </c>
      <c r="D44" s="26">
        <v>10003660</v>
      </c>
      <c r="E44" s="26" t="s">
        <v>256</v>
      </c>
      <c r="F44" s="26" t="s">
        <v>257</v>
      </c>
      <c r="G44" s="26" t="s">
        <v>258</v>
      </c>
      <c r="H44" s="26" t="s">
        <v>259</v>
      </c>
      <c r="I44" s="26">
        <v>30070617</v>
      </c>
      <c r="J44" s="26" t="s">
        <v>260</v>
      </c>
      <c r="K44" s="25" t="s">
        <v>28</v>
      </c>
      <c r="L44" s="25" t="s">
        <v>53</v>
      </c>
      <c r="M44" s="26" t="s">
        <v>186</v>
      </c>
      <c r="N44" s="26" t="s">
        <v>94</v>
      </c>
      <c r="O44" s="27" t="s">
        <v>32</v>
      </c>
      <c r="P44" s="28" t="str">
        <f t="shared" si="0"/>
        <v>LUZ MARGARITA    ROBLEDO    OLIVARES</v>
      </c>
      <c r="Q44" s="26" t="s">
        <v>260</v>
      </c>
      <c r="R44" s="29" t="str">
        <f t="shared" si="1"/>
        <v>C2104     GEGCF52044</v>
      </c>
    </row>
    <row r="45" spans="1:18" x14ac:dyDescent="0.25">
      <c r="A45" s="30">
        <v>44</v>
      </c>
      <c r="B45" s="26">
        <v>10003660</v>
      </c>
      <c r="C45" s="26" t="s">
        <v>95</v>
      </c>
      <c r="D45" s="26">
        <v>10003660</v>
      </c>
      <c r="E45" s="26" t="s">
        <v>261</v>
      </c>
      <c r="F45" s="26" t="s">
        <v>262</v>
      </c>
      <c r="G45" s="26" t="s">
        <v>236</v>
      </c>
      <c r="H45" s="26" t="s">
        <v>263</v>
      </c>
      <c r="I45" s="26">
        <v>30070618</v>
      </c>
      <c r="J45" s="26" t="s">
        <v>264</v>
      </c>
      <c r="K45" s="30" t="s">
        <v>28</v>
      </c>
      <c r="L45" s="30" t="s">
        <v>29</v>
      </c>
      <c r="M45" s="26" t="s">
        <v>265</v>
      </c>
      <c r="N45" s="26" t="s">
        <v>94</v>
      </c>
      <c r="O45" s="31" t="s">
        <v>32</v>
      </c>
      <c r="P45" s="28" t="str">
        <f t="shared" si="0"/>
        <v>IRAZEMA DEL ROCIO    ALVAREZ    PEREZ</v>
      </c>
      <c r="Q45" s="26" t="s">
        <v>264</v>
      </c>
      <c r="R45" s="29" t="str">
        <f t="shared" si="1"/>
        <v>C2104     GEGCF52024</v>
      </c>
    </row>
    <row r="46" spans="1:18" x14ac:dyDescent="0.25">
      <c r="A46" s="32">
        <v>1</v>
      </c>
      <c r="B46" s="26">
        <v>10003653</v>
      </c>
      <c r="C46" s="26" t="s">
        <v>61</v>
      </c>
      <c r="D46" s="26">
        <v>10003653</v>
      </c>
      <c r="E46" s="26" t="s">
        <v>266</v>
      </c>
      <c r="F46" s="26" t="s">
        <v>267</v>
      </c>
      <c r="G46" s="26" t="s">
        <v>268</v>
      </c>
      <c r="H46" s="26" t="s">
        <v>269</v>
      </c>
      <c r="I46" s="26">
        <v>30072744</v>
      </c>
      <c r="J46" s="26" t="s">
        <v>270</v>
      </c>
      <c r="K46" s="32"/>
      <c r="L46" s="32"/>
      <c r="M46" s="26" t="s">
        <v>271</v>
      </c>
      <c r="N46" s="26" t="s">
        <v>67</v>
      </c>
      <c r="O46" s="33" t="s">
        <v>32</v>
      </c>
      <c r="P46" s="28" t="str">
        <f t="shared" si="0"/>
        <v>PAOLA    RAMOS    VERA</v>
      </c>
      <c r="Q46" s="26" t="s">
        <v>270</v>
      </c>
      <c r="R46" s="29" t="str">
        <f t="shared" si="1"/>
        <v>C2102     GEGCF54060</v>
      </c>
    </row>
    <row r="47" spans="1:18" x14ac:dyDescent="0.25">
      <c r="A47" s="32">
        <v>2</v>
      </c>
      <c r="B47" s="26">
        <v>10003661</v>
      </c>
      <c r="C47" s="26" t="s">
        <v>68</v>
      </c>
      <c r="D47" s="26">
        <v>10003661</v>
      </c>
      <c r="E47" s="26" t="s">
        <v>272</v>
      </c>
      <c r="F47" s="26" t="s">
        <v>64</v>
      </c>
      <c r="G47" s="26" t="s">
        <v>107</v>
      </c>
      <c r="H47" s="26" t="s">
        <v>273</v>
      </c>
      <c r="I47" s="26">
        <v>30072749</v>
      </c>
      <c r="J47" s="26" t="s">
        <v>274</v>
      </c>
      <c r="K47" s="32"/>
      <c r="L47" s="32"/>
      <c r="M47" s="26" t="s">
        <v>186</v>
      </c>
      <c r="N47" s="26" t="s">
        <v>67</v>
      </c>
      <c r="O47" s="33" t="s">
        <v>32</v>
      </c>
      <c r="P47" s="28" t="str">
        <f t="shared" si="0"/>
        <v>TANIA LUCERO    LOPEZ    GONZALEZ</v>
      </c>
      <c r="Q47" s="26" t="s">
        <v>274</v>
      </c>
      <c r="R47" s="29" t="str">
        <f t="shared" si="1"/>
        <v>C2102     GEGCF52044</v>
      </c>
    </row>
    <row r="48" spans="1:18" x14ac:dyDescent="0.25">
      <c r="A48" s="32">
        <v>3</v>
      </c>
      <c r="B48" s="26">
        <v>10003659</v>
      </c>
      <c r="C48" s="26" t="s">
        <v>22</v>
      </c>
      <c r="D48" s="26">
        <v>10003659</v>
      </c>
      <c r="E48" s="26" t="s">
        <v>275</v>
      </c>
      <c r="F48" s="26" t="s">
        <v>276</v>
      </c>
      <c r="G48" s="26" t="s">
        <v>42</v>
      </c>
      <c r="H48" s="26" t="s">
        <v>277</v>
      </c>
      <c r="I48" s="26">
        <v>30077988</v>
      </c>
      <c r="J48" s="26" t="s">
        <v>278</v>
      </c>
      <c r="K48" s="32"/>
      <c r="L48" s="32"/>
      <c r="M48" s="26" t="s">
        <v>279</v>
      </c>
      <c r="N48" s="26" t="s">
        <v>31</v>
      </c>
      <c r="O48" s="33" t="s">
        <v>32</v>
      </c>
      <c r="P48" s="28" t="str">
        <f t="shared" si="0"/>
        <v>JUAN ANGEL    HORTA    GARCIA</v>
      </c>
      <c r="Q48" s="26" t="s">
        <v>278</v>
      </c>
      <c r="R48" s="29" t="str">
        <f t="shared" si="1"/>
        <v>C2101     GEGCF52023</v>
      </c>
    </row>
    <row r="49" spans="1:18" x14ac:dyDescent="0.25">
      <c r="A49" s="32">
        <v>4</v>
      </c>
      <c r="B49" s="26">
        <v>10003665</v>
      </c>
      <c r="C49" s="26" t="s">
        <v>40</v>
      </c>
      <c r="D49" s="26">
        <v>10003665</v>
      </c>
      <c r="E49" s="26" t="s">
        <v>280</v>
      </c>
      <c r="F49" s="26" t="s">
        <v>107</v>
      </c>
      <c r="G49" s="26" t="s">
        <v>281</v>
      </c>
      <c r="H49" s="26" t="s">
        <v>282</v>
      </c>
      <c r="I49" s="26">
        <v>30089403</v>
      </c>
      <c r="J49" s="26" t="s">
        <v>52</v>
      </c>
      <c r="K49" s="32"/>
      <c r="L49" s="32"/>
      <c r="M49" s="26" t="s">
        <v>46</v>
      </c>
      <c r="N49" s="26" t="s">
        <v>31</v>
      </c>
      <c r="O49" s="33" t="s">
        <v>32</v>
      </c>
      <c r="P49" s="28" t="str">
        <f t="shared" si="0"/>
        <v>ALVARO    GONZALEZ    ARREDONDO</v>
      </c>
      <c r="Q49" s="26" t="s">
        <v>52</v>
      </c>
      <c r="R49" s="29" t="str">
        <f t="shared" si="1"/>
        <v>C2101     GEGOS05002</v>
      </c>
    </row>
    <row r="50" spans="1:18" x14ac:dyDescent="0.25">
      <c r="A50" s="32">
        <v>5</v>
      </c>
      <c r="B50" s="26">
        <v>10003665</v>
      </c>
      <c r="C50" s="26" t="s">
        <v>40</v>
      </c>
      <c r="D50" s="26">
        <v>10003665</v>
      </c>
      <c r="E50" s="26" t="s">
        <v>283</v>
      </c>
      <c r="F50" s="26" t="s">
        <v>154</v>
      </c>
      <c r="G50" s="26" t="s">
        <v>284</v>
      </c>
      <c r="H50" s="26" t="s">
        <v>285</v>
      </c>
      <c r="I50" s="26">
        <v>30089404</v>
      </c>
      <c r="J50" s="26" t="s">
        <v>286</v>
      </c>
      <c r="K50" s="32"/>
      <c r="L50" s="32"/>
      <c r="M50" s="26" t="s">
        <v>46</v>
      </c>
      <c r="N50" s="26" t="s">
        <v>31</v>
      </c>
      <c r="O50" s="33" t="s">
        <v>32</v>
      </c>
      <c r="P50" s="28" t="str">
        <f t="shared" si="0"/>
        <v>DOLORES ARMANDO    SANTOYO    HIDALGO</v>
      </c>
      <c r="Q50" s="26" t="s">
        <v>286</v>
      </c>
      <c r="R50" s="29" t="str">
        <f t="shared" si="1"/>
        <v>C2101     GEGOS05002</v>
      </c>
    </row>
    <row r="51" spans="1:18" x14ac:dyDescent="0.25">
      <c r="A51" s="32">
        <v>6</v>
      </c>
      <c r="B51" s="26">
        <v>10003657</v>
      </c>
      <c r="C51" s="26" t="s">
        <v>213</v>
      </c>
      <c r="D51" s="26">
        <v>10003657</v>
      </c>
      <c r="E51" s="26" t="s">
        <v>287</v>
      </c>
      <c r="F51" s="26" t="s">
        <v>288</v>
      </c>
      <c r="G51" s="26" t="s">
        <v>50</v>
      </c>
      <c r="H51" s="26" t="s">
        <v>289</v>
      </c>
      <c r="I51" s="26">
        <v>30089405</v>
      </c>
      <c r="J51" s="26" t="s">
        <v>176</v>
      </c>
      <c r="K51" s="32"/>
      <c r="L51" s="32"/>
      <c r="M51" s="26" t="s">
        <v>87</v>
      </c>
      <c r="N51" s="26" t="s">
        <v>60</v>
      </c>
      <c r="O51" s="33" t="s">
        <v>32</v>
      </c>
      <c r="P51" s="28" t="str">
        <f t="shared" si="0"/>
        <v>LUIS ALBERTO    ESPINOZA    MARTINEZ</v>
      </c>
      <c r="Q51" s="26" t="s">
        <v>176</v>
      </c>
      <c r="R51" s="29" t="str">
        <f t="shared" si="1"/>
        <v>C2103     GEGEA08001</v>
      </c>
    </row>
    <row r="52" spans="1:18" x14ac:dyDescent="0.25">
      <c r="A52" s="32">
        <v>7</v>
      </c>
      <c r="B52" s="26">
        <v>10003665</v>
      </c>
      <c r="C52" s="26" t="s">
        <v>40</v>
      </c>
      <c r="D52" s="26">
        <v>10003665</v>
      </c>
      <c r="E52" s="26" t="s">
        <v>290</v>
      </c>
      <c r="F52" s="26" t="s">
        <v>195</v>
      </c>
      <c r="G52" s="26" t="s">
        <v>249</v>
      </c>
      <c r="H52" s="26" t="s">
        <v>291</v>
      </c>
      <c r="I52" s="26">
        <v>30089406</v>
      </c>
      <c r="J52" s="26" t="s">
        <v>292</v>
      </c>
      <c r="K52" s="32"/>
      <c r="L52" s="32"/>
      <c r="M52" s="26" t="s">
        <v>293</v>
      </c>
      <c r="N52" s="26" t="s">
        <v>31</v>
      </c>
      <c r="O52" s="33" t="s">
        <v>32</v>
      </c>
      <c r="P52" s="28" t="str">
        <f t="shared" si="0"/>
        <v>MA GUADALUPE    MEDINA    ZARATE</v>
      </c>
      <c r="Q52" s="26" t="s">
        <v>292</v>
      </c>
      <c r="R52" s="29" t="str">
        <f t="shared" si="1"/>
        <v>C2101     GEGCF54023</v>
      </c>
    </row>
    <row r="53" spans="1:18" x14ac:dyDescent="0.25">
      <c r="A53" s="32">
        <v>8</v>
      </c>
      <c r="B53" s="26">
        <v>10003659</v>
      </c>
      <c r="C53" s="26" t="s">
        <v>22</v>
      </c>
      <c r="D53" s="26">
        <v>10003659</v>
      </c>
      <c r="E53" s="26" t="s">
        <v>294</v>
      </c>
      <c r="F53" s="26" t="s">
        <v>295</v>
      </c>
      <c r="G53" s="26" t="s">
        <v>296</v>
      </c>
      <c r="H53" s="26" t="s">
        <v>297</v>
      </c>
      <c r="I53" s="26">
        <v>30089407</v>
      </c>
      <c r="J53" s="26" t="s">
        <v>298</v>
      </c>
      <c r="K53" s="32"/>
      <c r="L53" s="32"/>
      <c r="M53" s="26" t="s">
        <v>299</v>
      </c>
      <c r="N53" s="26" t="s">
        <v>31</v>
      </c>
      <c r="O53" s="33" t="s">
        <v>32</v>
      </c>
      <c r="P53" s="28" t="str">
        <f t="shared" si="0"/>
        <v>DULCE MARIA TERESITA    CABRERA    SOLANO</v>
      </c>
      <c r="Q53" s="26" t="s">
        <v>298</v>
      </c>
      <c r="R53" s="29" t="str">
        <f t="shared" si="1"/>
        <v>C2101     GEGCF54030</v>
      </c>
    </row>
    <row r="54" spans="1:18" x14ac:dyDescent="0.25">
      <c r="A54" s="32">
        <v>9</v>
      </c>
      <c r="B54" s="26">
        <v>10003665</v>
      </c>
      <c r="C54" s="26" t="s">
        <v>40</v>
      </c>
      <c r="D54" s="26">
        <v>10003665</v>
      </c>
      <c r="E54" s="26" t="s">
        <v>300</v>
      </c>
      <c r="F54" s="26" t="s">
        <v>301</v>
      </c>
      <c r="G54" s="26" t="s">
        <v>302</v>
      </c>
      <c r="H54" s="26" t="s">
        <v>303</v>
      </c>
      <c r="I54" s="26">
        <v>30089408</v>
      </c>
      <c r="J54" s="26" t="s">
        <v>304</v>
      </c>
      <c r="K54" s="32"/>
      <c r="L54" s="32"/>
      <c r="M54" s="26" t="s">
        <v>293</v>
      </c>
      <c r="N54" s="26" t="s">
        <v>31</v>
      </c>
      <c r="O54" s="33" t="s">
        <v>32</v>
      </c>
      <c r="P54" s="28" t="str">
        <f t="shared" si="0"/>
        <v>MONICA ISABEL    RICO    GAMIÑO</v>
      </c>
      <c r="Q54" s="26" t="s">
        <v>304</v>
      </c>
      <c r="R54" s="29" t="str">
        <f t="shared" si="1"/>
        <v>C2101     GEGCF54023</v>
      </c>
    </row>
    <row r="55" spans="1:18" x14ac:dyDescent="0.25">
      <c r="A55" s="32">
        <v>10</v>
      </c>
      <c r="B55" s="26">
        <v>10003664</v>
      </c>
      <c r="C55" s="26" t="s">
        <v>126</v>
      </c>
      <c r="D55" s="26">
        <v>10003664</v>
      </c>
      <c r="E55" s="26" t="s">
        <v>305</v>
      </c>
      <c r="F55" s="26" t="s">
        <v>262</v>
      </c>
      <c r="G55" s="26" t="s">
        <v>42</v>
      </c>
      <c r="H55" s="26" t="s">
        <v>306</v>
      </c>
      <c r="I55" s="26">
        <v>30089410</v>
      </c>
      <c r="J55" s="26" t="s">
        <v>307</v>
      </c>
      <c r="K55" s="32"/>
      <c r="L55" s="32"/>
      <c r="M55" s="26" t="s">
        <v>293</v>
      </c>
      <c r="N55" s="26" t="s">
        <v>31</v>
      </c>
      <c r="O55" s="33" t="s">
        <v>32</v>
      </c>
      <c r="P55" s="28" t="str">
        <f t="shared" si="0"/>
        <v>GRACIELA    ALVAREZ    GARCIA</v>
      </c>
      <c r="Q55" s="26" t="s">
        <v>307</v>
      </c>
      <c r="R55" s="29" t="str">
        <f t="shared" si="1"/>
        <v>C2101     GEGCF54023</v>
      </c>
    </row>
    <row r="56" spans="1:18" x14ac:dyDescent="0.25">
      <c r="A56" s="32">
        <v>11</v>
      </c>
      <c r="B56" s="26">
        <v>10003656</v>
      </c>
      <c r="C56" s="26" t="s">
        <v>133</v>
      </c>
      <c r="D56" s="26">
        <v>10003656</v>
      </c>
      <c r="E56" s="26" t="s">
        <v>308</v>
      </c>
      <c r="F56" s="26" t="s">
        <v>309</v>
      </c>
      <c r="G56" s="26" t="s">
        <v>310</v>
      </c>
      <c r="H56" s="26" t="s">
        <v>311</v>
      </c>
      <c r="I56" s="26">
        <v>30089411</v>
      </c>
      <c r="J56" s="26" t="s">
        <v>312</v>
      </c>
      <c r="K56" s="32"/>
      <c r="L56" s="32"/>
      <c r="M56" s="26" t="s">
        <v>293</v>
      </c>
      <c r="N56" s="26" t="s">
        <v>60</v>
      </c>
      <c r="O56" s="33" t="s">
        <v>32</v>
      </c>
      <c r="P56" s="28" t="str">
        <f t="shared" si="0"/>
        <v>GESARELA    MARISCAL    CALDERON</v>
      </c>
      <c r="Q56" s="26" t="s">
        <v>312</v>
      </c>
      <c r="R56" s="29" t="str">
        <f t="shared" si="1"/>
        <v>C2103     GEGCF54023</v>
      </c>
    </row>
    <row r="57" spans="1:18" x14ac:dyDescent="0.25">
      <c r="A57" s="32">
        <v>12</v>
      </c>
      <c r="B57" s="26">
        <v>10003665</v>
      </c>
      <c r="C57" s="26" t="s">
        <v>40</v>
      </c>
      <c r="D57" s="26">
        <v>10003665</v>
      </c>
      <c r="E57" s="26" t="s">
        <v>313</v>
      </c>
      <c r="F57" s="26" t="s">
        <v>314</v>
      </c>
      <c r="G57" s="26" t="s">
        <v>315</v>
      </c>
      <c r="H57" s="26" t="s">
        <v>316</v>
      </c>
      <c r="I57" s="26">
        <v>30089412</v>
      </c>
      <c r="J57" s="26" t="s">
        <v>317</v>
      </c>
      <c r="K57" s="32"/>
      <c r="L57" s="32"/>
      <c r="M57" s="26" t="s">
        <v>299</v>
      </c>
      <c r="N57" s="26" t="s">
        <v>31</v>
      </c>
      <c r="O57" s="33" t="s">
        <v>32</v>
      </c>
      <c r="P57" s="28" t="str">
        <f t="shared" si="0"/>
        <v>ARNULFO    OLVERA    NOVOA</v>
      </c>
      <c r="Q57" s="26" t="s">
        <v>317</v>
      </c>
      <c r="R57" s="29" t="str">
        <f t="shared" si="1"/>
        <v>C2101     GEGCF54030</v>
      </c>
    </row>
    <row r="58" spans="1:18" x14ac:dyDescent="0.25">
      <c r="A58" s="32">
        <v>13</v>
      </c>
      <c r="B58" s="26">
        <v>10003665</v>
      </c>
      <c r="C58" s="26" t="s">
        <v>40</v>
      </c>
      <c r="D58" s="26">
        <v>10003665</v>
      </c>
      <c r="E58" s="26" t="s">
        <v>318</v>
      </c>
      <c r="F58" s="26" t="s">
        <v>319</v>
      </c>
      <c r="G58" s="26" t="s">
        <v>320</v>
      </c>
      <c r="H58" s="26" t="s">
        <v>321</v>
      </c>
      <c r="I58" s="26">
        <v>30089413</v>
      </c>
      <c r="J58" s="26" t="s">
        <v>322</v>
      </c>
      <c r="K58" s="32"/>
      <c r="L58" s="32"/>
      <c r="M58" s="26" t="s">
        <v>299</v>
      </c>
      <c r="N58" s="26" t="s">
        <v>31</v>
      </c>
      <c r="O58" s="33" t="s">
        <v>32</v>
      </c>
      <c r="P58" s="28" t="str">
        <f t="shared" si="0"/>
        <v>JESSICA    AGUILERA    ZAVALA</v>
      </c>
      <c r="Q58" s="26" t="s">
        <v>322</v>
      </c>
      <c r="R58" s="29" t="str">
        <f t="shared" si="1"/>
        <v>C2101     GEGCF54030</v>
      </c>
    </row>
    <row r="59" spans="1:18" x14ac:dyDescent="0.25">
      <c r="A59" s="32">
        <v>14</v>
      </c>
      <c r="B59" s="26">
        <v>10003665</v>
      </c>
      <c r="C59" s="26" t="s">
        <v>40</v>
      </c>
      <c r="D59" s="26">
        <v>10003665</v>
      </c>
      <c r="E59" s="26" t="s">
        <v>323</v>
      </c>
      <c r="F59" s="26" t="s">
        <v>159</v>
      </c>
      <c r="G59" s="26" t="s">
        <v>107</v>
      </c>
      <c r="H59" s="26" t="s">
        <v>324</v>
      </c>
      <c r="I59" s="26">
        <v>30089414</v>
      </c>
      <c r="J59" s="26" t="s">
        <v>325</v>
      </c>
      <c r="K59" s="32"/>
      <c r="L59" s="32"/>
      <c r="M59" s="26" t="s">
        <v>299</v>
      </c>
      <c r="N59" s="26" t="s">
        <v>31</v>
      </c>
      <c r="O59" s="33" t="s">
        <v>32</v>
      </c>
      <c r="P59" s="28" t="str">
        <f t="shared" si="0"/>
        <v>LUZ JOHANA    RODRIGUEZ    GONZALEZ</v>
      </c>
      <c r="Q59" s="26" t="s">
        <v>325</v>
      </c>
      <c r="R59" s="29" t="str">
        <f t="shared" si="1"/>
        <v>C2101     GEGCF54030</v>
      </c>
    </row>
    <row r="60" spans="1:18" x14ac:dyDescent="0.25">
      <c r="A60" s="32">
        <v>15</v>
      </c>
      <c r="B60" s="26">
        <v>10003665</v>
      </c>
      <c r="C60" s="26" t="s">
        <v>40</v>
      </c>
      <c r="D60" s="26">
        <v>10003665</v>
      </c>
      <c r="E60" s="26" t="s">
        <v>326</v>
      </c>
      <c r="F60" s="26" t="s">
        <v>267</v>
      </c>
      <c r="G60" s="26" t="s">
        <v>327</v>
      </c>
      <c r="H60" s="26" t="s">
        <v>328</v>
      </c>
      <c r="I60" s="26">
        <v>30089415</v>
      </c>
      <c r="J60" s="26" t="s">
        <v>329</v>
      </c>
      <c r="K60" s="32"/>
      <c r="L60" s="32"/>
      <c r="M60" s="26" t="s">
        <v>299</v>
      </c>
      <c r="N60" s="26" t="s">
        <v>31</v>
      </c>
      <c r="O60" s="33" t="s">
        <v>32</v>
      </c>
      <c r="P60" s="28" t="str">
        <f t="shared" si="0"/>
        <v>ANA MARIA    RAMOS    CHAVIRA</v>
      </c>
      <c r="Q60" s="26" t="s">
        <v>329</v>
      </c>
      <c r="R60" s="29" t="str">
        <f t="shared" si="1"/>
        <v>C2101     GEGCF54030</v>
      </c>
    </row>
    <row r="61" spans="1:18" x14ac:dyDescent="0.25">
      <c r="A61" s="32">
        <v>16</v>
      </c>
      <c r="B61" s="26">
        <v>10003665</v>
      </c>
      <c r="C61" s="26" t="s">
        <v>40</v>
      </c>
      <c r="D61" s="26">
        <v>10003665</v>
      </c>
      <c r="E61" s="26" t="s">
        <v>330</v>
      </c>
      <c r="F61" s="26" t="s">
        <v>331</v>
      </c>
      <c r="G61" s="26" t="s">
        <v>159</v>
      </c>
      <c r="H61" s="26" t="s">
        <v>332</v>
      </c>
      <c r="I61" s="26">
        <v>30089416</v>
      </c>
      <c r="J61" s="26" t="s">
        <v>333</v>
      </c>
      <c r="K61" s="32"/>
      <c r="L61" s="32"/>
      <c r="M61" s="26" t="s">
        <v>299</v>
      </c>
      <c r="N61" s="26" t="s">
        <v>31</v>
      </c>
      <c r="O61" s="33" t="s">
        <v>32</v>
      </c>
      <c r="P61" s="28" t="str">
        <f t="shared" si="0"/>
        <v>LAURA SAMANTHA    VARELA    RODRIGUEZ</v>
      </c>
      <c r="Q61" s="26" t="s">
        <v>333</v>
      </c>
      <c r="R61" s="29" t="str">
        <f t="shared" si="1"/>
        <v>C2101     GEGCF54030</v>
      </c>
    </row>
    <row r="62" spans="1:18" x14ac:dyDescent="0.25">
      <c r="A62" s="32">
        <v>17</v>
      </c>
      <c r="B62" s="26">
        <v>10003664</v>
      </c>
      <c r="C62" s="26" t="s">
        <v>126</v>
      </c>
      <c r="D62" s="26">
        <v>10003664</v>
      </c>
      <c r="E62" s="26" t="s">
        <v>334</v>
      </c>
      <c r="F62" s="26" t="s">
        <v>335</v>
      </c>
      <c r="G62" s="26" t="s">
        <v>336</v>
      </c>
      <c r="H62" s="26" t="s">
        <v>337</v>
      </c>
      <c r="I62" s="26">
        <v>30089417</v>
      </c>
      <c r="J62" s="26" t="s">
        <v>338</v>
      </c>
      <c r="K62" s="32"/>
      <c r="L62" s="32"/>
      <c r="M62" s="26" t="s">
        <v>339</v>
      </c>
      <c r="N62" s="26" t="s">
        <v>31</v>
      </c>
      <c r="O62" s="33" t="s">
        <v>32</v>
      </c>
      <c r="P62" s="28" t="str">
        <f t="shared" si="0"/>
        <v>CELESTE    MURILLO    CHAVEZ</v>
      </c>
      <c r="Q62" s="26" t="s">
        <v>338</v>
      </c>
      <c r="R62" s="29" t="str">
        <f t="shared" si="1"/>
        <v>C2101     GEGCF54022</v>
      </c>
    </row>
    <row r="63" spans="1:18" x14ac:dyDescent="0.25">
      <c r="A63" s="32">
        <v>18</v>
      </c>
      <c r="B63" s="26">
        <v>10003659</v>
      </c>
      <c r="C63" s="26" t="s">
        <v>22</v>
      </c>
      <c r="D63" s="26">
        <v>10003659</v>
      </c>
      <c r="E63" s="26" t="s">
        <v>340</v>
      </c>
      <c r="F63" s="26" t="s">
        <v>107</v>
      </c>
      <c r="G63" s="26" t="s">
        <v>341</v>
      </c>
      <c r="H63" s="26" t="s">
        <v>342</v>
      </c>
      <c r="I63" s="26">
        <v>30089418</v>
      </c>
      <c r="J63" s="26" t="s">
        <v>343</v>
      </c>
      <c r="K63" s="32"/>
      <c r="L63" s="32"/>
      <c r="M63" s="26" t="s">
        <v>299</v>
      </c>
      <c r="N63" s="26" t="s">
        <v>31</v>
      </c>
      <c r="O63" s="33" t="s">
        <v>32</v>
      </c>
      <c r="P63" s="28" t="str">
        <f t="shared" si="0"/>
        <v>MARIA DEL CARMEN    GONZALEZ    ANDALON</v>
      </c>
      <c r="Q63" s="26" t="s">
        <v>343</v>
      </c>
      <c r="R63" s="29" t="str">
        <f t="shared" si="1"/>
        <v>C2101     GEGCF54030</v>
      </c>
    </row>
    <row r="64" spans="1:18" x14ac:dyDescent="0.25">
      <c r="A64" s="32">
        <v>19</v>
      </c>
      <c r="B64" s="26">
        <v>10003659</v>
      </c>
      <c r="C64" s="26" t="s">
        <v>22</v>
      </c>
      <c r="D64" s="26">
        <v>10003659</v>
      </c>
      <c r="E64" s="26" t="s">
        <v>344</v>
      </c>
      <c r="F64" s="26" t="s">
        <v>345</v>
      </c>
      <c r="G64" s="26" t="s">
        <v>158</v>
      </c>
      <c r="H64" s="26" t="s">
        <v>346</v>
      </c>
      <c r="I64" s="26">
        <v>30089419</v>
      </c>
      <c r="J64" s="26" t="s">
        <v>347</v>
      </c>
      <c r="K64" s="32"/>
      <c r="L64" s="32"/>
      <c r="M64" s="26" t="s">
        <v>299</v>
      </c>
      <c r="N64" s="26" t="s">
        <v>31</v>
      </c>
      <c r="O64" s="33" t="s">
        <v>32</v>
      </c>
      <c r="P64" s="28" t="str">
        <f t="shared" si="0"/>
        <v>DANIELA    TOVAR    SANCHEZ</v>
      </c>
      <c r="Q64" s="26" t="s">
        <v>347</v>
      </c>
      <c r="R64" s="29" t="str">
        <f t="shared" si="1"/>
        <v>C2101     GEGCF54030</v>
      </c>
    </row>
    <row r="65" spans="1:18" x14ac:dyDescent="0.25">
      <c r="A65" s="32">
        <v>20</v>
      </c>
      <c r="B65" s="26">
        <v>10003652</v>
      </c>
      <c r="C65" s="26" t="s">
        <v>81</v>
      </c>
      <c r="D65" s="26">
        <v>10003652</v>
      </c>
      <c r="E65" s="26" t="s">
        <v>348</v>
      </c>
      <c r="F65" s="26" t="s">
        <v>349</v>
      </c>
      <c r="G65" s="26" t="s">
        <v>159</v>
      </c>
      <c r="H65" s="26" t="s">
        <v>350</v>
      </c>
      <c r="I65" s="26">
        <v>30089421</v>
      </c>
      <c r="J65" s="26" t="s">
        <v>351</v>
      </c>
      <c r="K65" s="32"/>
      <c r="L65" s="32"/>
      <c r="M65" s="26" t="s">
        <v>299</v>
      </c>
      <c r="N65" s="26" t="s">
        <v>67</v>
      </c>
      <c r="O65" s="33" t="s">
        <v>32</v>
      </c>
      <c r="P65" s="28" t="str">
        <f t="shared" si="0"/>
        <v>LAURA    SANTIBAÑEZ    RODRIGUEZ</v>
      </c>
      <c r="Q65" s="26" t="s">
        <v>351</v>
      </c>
      <c r="R65" s="29" t="str">
        <f t="shared" si="1"/>
        <v>C2102     GEGCF54030</v>
      </c>
    </row>
    <row r="66" spans="1:18" x14ac:dyDescent="0.25">
      <c r="A66" s="32">
        <v>21</v>
      </c>
      <c r="B66" s="26">
        <v>10003660</v>
      </c>
      <c r="C66" s="26" t="s">
        <v>95</v>
      </c>
      <c r="D66" s="26">
        <v>10003660</v>
      </c>
      <c r="E66" s="26" t="s">
        <v>352</v>
      </c>
      <c r="F66" s="26" t="s">
        <v>353</v>
      </c>
      <c r="G66" s="26" t="s">
        <v>354</v>
      </c>
      <c r="H66" s="26" t="s">
        <v>355</v>
      </c>
      <c r="I66" s="26">
        <v>30089422</v>
      </c>
      <c r="J66" s="26" t="s">
        <v>356</v>
      </c>
      <c r="K66" s="32"/>
      <c r="L66" s="32"/>
      <c r="M66" s="26" t="s">
        <v>299</v>
      </c>
      <c r="N66" s="26" t="s">
        <v>94</v>
      </c>
      <c r="O66" s="33" t="s">
        <v>32</v>
      </c>
      <c r="P66" s="28" t="str">
        <f t="shared" si="0"/>
        <v>STEPHANIE LARISA    CEDILLO    OROZCO</v>
      </c>
      <c r="Q66" s="26" t="s">
        <v>356</v>
      </c>
      <c r="R66" s="29" t="str">
        <f t="shared" si="1"/>
        <v>C2104     GEGCF54030</v>
      </c>
    </row>
    <row r="67" spans="1:18" x14ac:dyDescent="0.25">
      <c r="A67" s="32">
        <v>22</v>
      </c>
      <c r="B67" s="26">
        <v>10003662</v>
      </c>
      <c r="C67" s="26" t="s">
        <v>88</v>
      </c>
      <c r="D67" s="26">
        <v>10003662</v>
      </c>
      <c r="E67" s="26" t="s">
        <v>357</v>
      </c>
      <c r="F67" s="26" t="s">
        <v>358</v>
      </c>
      <c r="G67" s="26" t="s">
        <v>359</v>
      </c>
      <c r="H67" s="26" t="s">
        <v>360</v>
      </c>
      <c r="I67" s="26">
        <v>30089423</v>
      </c>
      <c r="J67" s="26" t="s">
        <v>361</v>
      </c>
      <c r="K67" s="32"/>
      <c r="L67" s="32"/>
      <c r="M67" s="26" t="s">
        <v>299</v>
      </c>
      <c r="N67" s="26" t="s">
        <v>94</v>
      </c>
      <c r="O67" s="33" t="s">
        <v>32</v>
      </c>
      <c r="P67" s="28" t="str">
        <f t="shared" ref="P67:P130" si="2">CONCATENATE(E67,"    ",F67,"    ",G67)</f>
        <v>JUAN SALVADOR    RANGEL    COSME</v>
      </c>
      <c r="Q67" s="26" t="s">
        <v>361</v>
      </c>
      <c r="R67" s="29" t="str">
        <f t="shared" ref="R67:R110" si="3">CONCATENATE(N67,M67,L94)</f>
        <v>C2104     GEGCF54030</v>
      </c>
    </row>
    <row r="68" spans="1:18" x14ac:dyDescent="0.25">
      <c r="A68" s="32">
        <v>23</v>
      </c>
      <c r="B68" s="26">
        <v>10003664</v>
      </c>
      <c r="C68" s="26" t="s">
        <v>126</v>
      </c>
      <c r="D68" s="26">
        <v>10003664</v>
      </c>
      <c r="E68" s="26" t="s">
        <v>362</v>
      </c>
      <c r="F68" s="26" t="s">
        <v>363</v>
      </c>
      <c r="G68" s="26" t="s">
        <v>364</v>
      </c>
      <c r="H68" s="26" t="s">
        <v>365</v>
      </c>
      <c r="I68" s="26">
        <v>30089424</v>
      </c>
      <c r="J68" s="26" t="s">
        <v>366</v>
      </c>
      <c r="K68" s="32"/>
      <c r="L68" s="32"/>
      <c r="M68" s="26" t="s">
        <v>39</v>
      </c>
      <c r="N68" s="26" t="s">
        <v>31</v>
      </c>
      <c r="O68" s="33" t="s">
        <v>32</v>
      </c>
      <c r="P68" s="28" t="str">
        <f t="shared" si="2"/>
        <v>JAVIER    PACHECO    CANO</v>
      </c>
      <c r="Q68" s="26" t="s">
        <v>366</v>
      </c>
      <c r="R68" s="29" t="str">
        <f t="shared" si="3"/>
        <v>C2101     GEGCF12028</v>
      </c>
    </row>
    <row r="69" spans="1:18" x14ac:dyDescent="0.25">
      <c r="A69" s="32">
        <v>24</v>
      </c>
      <c r="B69" s="26">
        <v>10003664</v>
      </c>
      <c r="C69" s="26" t="s">
        <v>126</v>
      </c>
      <c r="D69" s="26">
        <v>10003664</v>
      </c>
      <c r="E69" s="26" t="s">
        <v>367</v>
      </c>
      <c r="F69" s="26" t="s">
        <v>368</v>
      </c>
      <c r="G69" s="26" t="s">
        <v>369</v>
      </c>
      <c r="H69" s="26" t="s">
        <v>370</v>
      </c>
      <c r="I69" s="26">
        <v>30089425</v>
      </c>
      <c r="J69" s="26" t="s">
        <v>371</v>
      </c>
      <c r="K69" s="32"/>
      <c r="L69" s="32"/>
      <c r="M69" s="26" t="s">
        <v>39</v>
      </c>
      <c r="N69" s="26" t="s">
        <v>31</v>
      </c>
      <c r="O69" s="33" t="s">
        <v>32</v>
      </c>
      <c r="P69" s="28" t="str">
        <f t="shared" si="2"/>
        <v>AURA FABIOLA    ROMERO    FONSECA</v>
      </c>
      <c r="Q69" s="26" t="s">
        <v>371</v>
      </c>
      <c r="R69" s="29" t="str">
        <f t="shared" si="3"/>
        <v>C2101     GEGCF12028</v>
      </c>
    </row>
    <row r="70" spans="1:18" x14ac:dyDescent="0.25">
      <c r="A70" s="32">
        <v>25</v>
      </c>
      <c r="B70" s="26">
        <v>10003660</v>
      </c>
      <c r="C70" s="26" t="s">
        <v>95</v>
      </c>
      <c r="D70" s="26">
        <v>10003660</v>
      </c>
      <c r="E70" s="26" t="s">
        <v>372</v>
      </c>
      <c r="F70" s="26" t="s">
        <v>262</v>
      </c>
      <c r="G70" s="26" t="s">
        <v>373</v>
      </c>
      <c r="H70" s="26" t="s">
        <v>374</v>
      </c>
      <c r="I70" s="26">
        <v>30089426</v>
      </c>
      <c r="J70" s="26" t="s">
        <v>375</v>
      </c>
      <c r="K70" s="32"/>
      <c r="L70" s="32"/>
      <c r="M70" s="26" t="s">
        <v>339</v>
      </c>
      <c r="N70" s="26" t="s">
        <v>94</v>
      </c>
      <c r="O70" s="33" t="s">
        <v>32</v>
      </c>
      <c r="P70" s="28" t="str">
        <f t="shared" si="2"/>
        <v>MARIA DEL ROSARIO    ALVAREZ    MACIAS</v>
      </c>
      <c r="Q70" s="26" t="s">
        <v>375</v>
      </c>
      <c r="R70" s="29" t="str">
        <f t="shared" si="3"/>
        <v>C2104     GEGCF54022</v>
      </c>
    </row>
    <row r="71" spans="1:18" x14ac:dyDescent="0.25">
      <c r="A71" s="32">
        <v>26</v>
      </c>
      <c r="B71" s="26">
        <v>10003656</v>
      </c>
      <c r="C71" s="26" t="s">
        <v>133</v>
      </c>
      <c r="D71" s="26">
        <v>10003656</v>
      </c>
      <c r="E71" s="26" t="s">
        <v>376</v>
      </c>
      <c r="F71" s="26" t="s">
        <v>377</v>
      </c>
      <c r="G71" s="26" t="s">
        <v>378</v>
      </c>
      <c r="H71" s="26" t="s">
        <v>379</v>
      </c>
      <c r="I71" s="26">
        <v>30089427</v>
      </c>
      <c r="J71" s="26" t="s">
        <v>380</v>
      </c>
      <c r="K71" s="32"/>
      <c r="L71" s="32"/>
      <c r="M71" s="26" t="s">
        <v>39</v>
      </c>
      <c r="N71" s="26" t="s">
        <v>60</v>
      </c>
      <c r="O71" s="33" t="s">
        <v>32</v>
      </c>
      <c r="P71" s="28" t="str">
        <f t="shared" si="2"/>
        <v>YUNUEN STEPHANIE    JIMENEZ    MEJIA</v>
      </c>
      <c r="Q71" s="26" t="s">
        <v>380</v>
      </c>
      <c r="R71" s="29" t="str">
        <f t="shared" si="3"/>
        <v>C2103     GEGCF12028</v>
      </c>
    </row>
    <row r="72" spans="1:18" x14ac:dyDescent="0.25">
      <c r="A72" s="32">
        <v>27</v>
      </c>
      <c r="B72" s="26">
        <v>10003656</v>
      </c>
      <c r="C72" s="26" t="s">
        <v>133</v>
      </c>
      <c r="D72" s="26">
        <v>10003656</v>
      </c>
      <c r="E72" s="26" t="s">
        <v>381</v>
      </c>
      <c r="F72" s="26" t="s">
        <v>382</v>
      </c>
      <c r="G72" s="26" t="s">
        <v>383</v>
      </c>
      <c r="H72" s="26" t="s">
        <v>384</v>
      </c>
      <c r="I72" s="26">
        <v>30089428</v>
      </c>
      <c r="J72" s="26" t="s">
        <v>385</v>
      </c>
      <c r="K72" s="32"/>
      <c r="L72" s="32"/>
      <c r="M72" s="26" t="s">
        <v>39</v>
      </c>
      <c r="N72" s="26" t="s">
        <v>60</v>
      </c>
      <c r="O72" s="33" t="s">
        <v>32</v>
      </c>
      <c r="P72" s="28" t="str">
        <f t="shared" si="2"/>
        <v>EDUARDO    ABURTO    GARDUÑO</v>
      </c>
      <c r="Q72" s="26" t="s">
        <v>385</v>
      </c>
      <c r="R72" s="29" t="str">
        <f t="shared" si="3"/>
        <v>C2103     GEGCF12028</v>
      </c>
    </row>
    <row r="73" spans="1:18" x14ac:dyDescent="0.25">
      <c r="A73" s="32">
        <v>28</v>
      </c>
      <c r="B73" s="26">
        <v>10003659</v>
      </c>
      <c r="C73" s="26" t="s">
        <v>22</v>
      </c>
      <c r="D73" s="26">
        <v>10003659</v>
      </c>
      <c r="E73" s="26" t="s">
        <v>386</v>
      </c>
      <c r="F73" s="26" t="s">
        <v>387</v>
      </c>
      <c r="G73" s="26" t="s">
        <v>388</v>
      </c>
      <c r="H73" s="26" t="s">
        <v>389</v>
      </c>
      <c r="I73" s="26">
        <v>30089429</v>
      </c>
      <c r="J73" s="26" t="s">
        <v>390</v>
      </c>
      <c r="K73" s="32"/>
      <c r="L73" s="32"/>
      <c r="M73" s="26" t="s">
        <v>39</v>
      </c>
      <c r="N73" s="26" t="s">
        <v>31</v>
      </c>
      <c r="O73" s="33" t="s">
        <v>32</v>
      </c>
      <c r="P73" s="28" t="str">
        <f t="shared" si="2"/>
        <v>JORGE ARTURO    RINCON    CASIAN</v>
      </c>
      <c r="Q73" s="26" t="s">
        <v>390</v>
      </c>
      <c r="R73" s="29" t="str">
        <f t="shared" si="3"/>
        <v>C2101     GEGCF12028</v>
      </c>
    </row>
    <row r="74" spans="1:18" x14ac:dyDescent="0.25">
      <c r="A74" s="32">
        <v>29</v>
      </c>
      <c r="B74" s="26">
        <v>10003659</v>
      </c>
      <c r="C74" s="26" t="s">
        <v>22</v>
      </c>
      <c r="D74" s="26">
        <v>10003659</v>
      </c>
      <c r="E74" s="26" t="s">
        <v>391</v>
      </c>
      <c r="F74" s="26" t="s">
        <v>392</v>
      </c>
      <c r="G74" s="26" t="s">
        <v>393</v>
      </c>
      <c r="H74" s="26" t="s">
        <v>394</v>
      </c>
      <c r="I74" s="26">
        <v>30089430</v>
      </c>
      <c r="J74" s="26" t="s">
        <v>395</v>
      </c>
      <c r="K74" s="32"/>
      <c r="L74" s="32"/>
      <c r="M74" s="26" t="s">
        <v>299</v>
      </c>
      <c r="N74" s="26" t="s">
        <v>31</v>
      </c>
      <c r="O74" s="33" t="s">
        <v>32</v>
      </c>
      <c r="P74" s="28" t="str">
        <f t="shared" si="2"/>
        <v>ROBERTO    RUIZ DE ESPARZA    VIDAL</v>
      </c>
      <c r="Q74" s="26" t="s">
        <v>395</v>
      </c>
      <c r="R74" s="29" t="str">
        <f t="shared" si="3"/>
        <v>C2101     GEGCF54030</v>
      </c>
    </row>
    <row r="75" spans="1:18" x14ac:dyDescent="0.25">
      <c r="A75" s="32">
        <v>30</v>
      </c>
      <c r="B75" s="26">
        <v>10003665</v>
      </c>
      <c r="C75" s="26" t="s">
        <v>40</v>
      </c>
      <c r="D75" s="26">
        <v>10003665</v>
      </c>
      <c r="E75" s="26" t="s">
        <v>396</v>
      </c>
      <c r="F75" s="26" t="s">
        <v>268</v>
      </c>
      <c r="G75" s="26" t="s">
        <v>397</v>
      </c>
      <c r="H75" s="26" t="s">
        <v>398</v>
      </c>
      <c r="I75" s="26">
        <v>30089431</v>
      </c>
      <c r="J75" s="26" t="s">
        <v>399</v>
      </c>
      <c r="K75" s="32"/>
      <c r="L75" s="32"/>
      <c r="M75" s="26" t="s">
        <v>80</v>
      </c>
      <c r="N75" s="26" t="s">
        <v>31</v>
      </c>
      <c r="O75" s="33" t="s">
        <v>32</v>
      </c>
      <c r="P75" s="28" t="str">
        <f t="shared" si="2"/>
        <v>CARLOS ROBERTO    VERA    ZUÑIGA</v>
      </c>
      <c r="Q75" s="26" t="s">
        <v>399</v>
      </c>
      <c r="R75" s="29" t="str">
        <f t="shared" si="3"/>
        <v>C2101     GEGCF54015</v>
      </c>
    </row>
    <row r="76" spans="1:18" x14ac:dyDescent="0.25">
      <c r="A76" s="32">
        <v>31</v>
      </c>
      <c r="B76" s="26">
        <v>10003665</v>
      </c>
      <c r="C76" s="26" t="s">
        <v>40</v>
      </c>
      <c r="D76" s="26">
        <v>10003665</v>
      </c>
      <c r="E76" s="26" t="s">
        <v>400</v>
      </c>
      <c r="F76" s="26" t="s">
        <v>64</v>
      </c>
      <c r="G76" s="26" t="s">
        <v>401</v>
      </c>
      <c r="H76" s="26" t="s">
        <v>402</v>
      </c>
      <c r="I76" s="26">
        <v>30089432</v>
      </c>
      <c r="J76" s="26" t="s">
        <v>403</v>
      </c>
      <c r="K76" s="32"/>
      <c r="L76" s="32"/>
      <c r="M76" s="26" t="s">
        <v>162</v>
      </c>
      <c r="N76" s="26" t="s">
        <v>31</v>
      </c>
      <c r="O76" s="33" t="s">
        <v>32</v>
      </c>
      <c r="P76" s="28" t="str">
        <f t="shared" si="2"/>
        <v>KARINA    LOPEZ    ORTEGA</v>
      </c>
      <c r="Q76" s="26" t="s">
        <v>403</v>
      </c>
      <c r="R76" s="29" t="str">
        <f t="shared" si="3"/>
        <v>C2101     GEGCF52048</v>
      </c>
    </row>
    <row r="77" spans="1:18" x14ac:dyDescent="0.25">
      <c r="A77" s="32">
        <v>32</v>
      </c>
      <c r="B77" s="26">
        <v>10003665</v>
      </c>
      <c r="C77" s="26" t="s">
        <v>40</v>
      </c>
      <c r="D77" s="26">
        <v>10003665</v>
      </c>
      <c r="E77" s="26" t="s">
        <v>404</v>
      </c>
      <c r="F77" s="26" t="s">
        <v>107</v>
      </c>
      <c r="G77" s="26" t="s">
        <v>405</v>
      </c>
      <c r="H77" s="26" t="s">
        <v>406</v>
      </c>
      <c r="I77" s="26">
        <v>30089433</v>
      </c>
      <c r="J77" s="26" t="s">
        <v>407</v>
      </c>
      <c r="K77" s="32"/>
      <c r="L77" s="32"/>
      <c r="M77" s="26" t="s">
        <v>162</v>
      </c>
      <c r="N77" s="26" t="s">
        <v>31</v>
      </c>
      <c r="O77" s="33" t="s">
        <v>32</v>
      </c>
      <c r="P77" s="28" t="str">
        <f t="shared" si="2"/>
        <v>CLAUDIA BELEN    GONZALEZ    LANDEROS</v>
      </c>
      <c r="Q77" s="26" t="s">
        <v>407</v>
      </c>
      <c r="R77" s="29" t="str">
        <f t="shared" si="3"/>
        <v>C2101     GEGCF52048</v>
      </c>
    </row>
    <row r="78" spans="1:18" x14ac:dyDescent="0.25">
      <c r="A78" s="32">
        <v>33</v>
      </c>
      <c r="B78" s="26">
        <v>10003657</v>
      </c>
      <c r="C78" s="26" t="s">
        <v>213</v>
      </c>
      <c r="D78" s="26">
        <v>10003657</v>
      </c>
      <c r="E78" s="26" t="s">
        <v>408</v>
      </c>
      <c r="F78" s="26" t="s">
        <v>159</v>
      </c>
      <c r="G78" s="26" t="s">
        <v>159</v>
      </c>
      <c r="H78" s="26" t="s">
        <v>409</v>
      </c>
      <c r="I78" s="26">
        <v>30089434</v>
      </c>
      <c r="J78" s="26" t="s">
        <v>410</v>
      </c>
      <c r="K78" s="32"/>
      <c r="L78" s="32"/>
      <c r="M78" s="26" t="s">
        <v>279</v>
      </c>
      <c r="N78" s="26" t="s">
        <v>60</v>
      </c>
      <c r="O78" s="33" t="s">
        <v>32</v>
      </c>
      <c r="P78" s="28" t="str">
        <f t="shared" si="2"/>
        <v>JOSE LUIS    RODRIGUEZ    RODRIGUEZ</v>
      </c>
      <c r="Q78" s="26" t="s">
        <v>410</v>
      </c>
      <c r="R78" s="29" t="str">
        <f t="shared" si="3"/>
        <v>C2103     GEGCF52023</v>
      </c>
    </row>
    <row r="79" spans="1:18" x14ac:dyDescent="0.25">
      <c r="A79" s="32">
        <v>34</v>
      </c>
      <c r="B79" s="26">
        <v>10003665</v>
      </c>
      <c r="C79" s="26" t="s">
        <v>40</v>
      </c>
      <c r="D79" s="26">
        <v>10003665</v>
      </c>
      <c r="E79" s="26" t="s">
        <v>411</v>
      </c>
      <c r="F79" s="26" t="s">
        <v>117</v>
      </c>
      <c r="G79" s="26" t="s">
        <v>412</v>
      </c>
      <c r="H79" s="26" t="s">
        <v>413</v>
      </c>
      <c r="I79" s="26">
        <v>30090402</v>
      </c>
      <c r="J79" s="26" t="s">
        <v>312</v>
      </c>
      <c r="K79" s="32"/>
      <c r="L79" s="32"/>
      <c r="M79" s="26" t="s">
        <v>414</v>
      </c>
      <c r="N79" s="26" t="s">
        <v>31</v>
      </c>
      <c r="O79" s="33" t="s">
        <v>32</v>
      </c>
      <c r="P79" s="28" t="str">
        <f t="shared" si="2"/>
        <v>ARTURO DE JESUS    MENDOZA    TORRES</v>
      </c>
      <c r="Q79" s="26" t="s">
        <v>312</v>
      </c>
      <c r="R79" s="29" t="str">
        <f t="shared" si="3"/>
        <v>C2101     GEGOS06002</v>
      </c>
    </row>
    <row r="80" spans="1:18" x14ac:dyDescent="0.25">
      <c r="A80" s="32">
        <v>35</v>
      </c>
      <c r="B80" s="26">
        <v>10003665</v>
      </c>
      <c r="C80" s="26" t="s">
        <v>40</v>
      </c>
      <c r="D80" s="26">
        <v>10003665</v>
      </c>
      <c r="E80" s="26" t="s">
        <v>415</v>
      </c>
      <c r="F80" s="26" t="s">
        <v>416</v>
      </c>
      <c r="G80" s="26" t="s">
        <v>314</v>
      </c>
      <c r="H80" s="26" t="s">
        <v>417</v>
      </c>
      <c r="I80" s="26">
        <v>30090403</v>
      </c>
      <c r="J80" s="26" t="s">
        <v>418</v>
      </c>
      <c r="K80" s="32"/>
      <c r="L80" s="32"/>
      <c r="M80" s="26" t="s">
        <v>414</v>
      </c>
      <c r="N80" s="26" t="s">
        <v>31</v>
      </c>
      <c r="O80" s="33" t="s">
        <v>32</v>
      </c>
      <c r="P80" s="28" t="str">
        <f t="shared" si="2"/>
        <v>JOSE OSCAR    ORDAZ    OLVERA</v>
      </c>
      <c r="Q80" s="26" t="s">
        <v>418</v>
      </c>
      <c r="R80" s="29" t="str">
        <f t="shared" si="3"/>
        <v>C2101     GEGOS06002</v>
      </c>
    </row>
    <row r="81" spans="1:23" x14ac:dyDescent="0.25">
      <c r="A81" s="32">
        <v>36</v>
      </c>
      <c r="B81" s="26">
        <v>10003662</v>
      </c>
      <c r="C81" s="26" t="s">
        <v>88</v>
      </c>
      <c r="D81" s="26">
        <v>10003662</v>
      </c>
      <c r="E81" s="26" t="s">
        <v>408</v>
      </c>
      <c r="F81" s="26" t="s">
        <v>354</v>
      </c>
      <c r="G81" s="26" t="s">
        <v>129</v>
      </c>
      <c r="H81" s="26" t="s">
        <v>419</v>
      </c>
      <c r="I81" s="26">
        <v>30095787</v>
      </c>
      <c r="J81" s="26" t="s">
        <v>420</v>
      </c>
      <c r="K81" s="32"/>
      <c r="L81" s="32"/>
      <c r="M81" s="26" t="s">
        <v>421</v>
      </c>
      <c r="N81" s="26" t="s">
        <v>94</v>
      </c>
      <c r="O81" s="33" t="s">
        <v>32</v>
      </c>
      <c r="P81" s="28" t="str">
        <f t="shared" si="2"/>
        <v>JOSE LUIS    OROZCO    CRUZ</v>
      </c>
      <c r="Q81" s="26" t="s">
        <v>420</v>
      </c>
      <c r="R81" s="29" t="str">
        <f t="shared" si="3"/>
        <v>C2104     GEGFA08002</v>
      </c>
    </row>
    <row r="82" spans="1:23" x14ac:dyDescent="0.25">
      <c r="A82" s="32">
        <v>37</v>
      </c>
      <c r="B82" s="26">
        <v>10003657</v>
      </c>
      <c r="C82" s="26" t="s">
        <v>213</v>
      </c>
      <c r="D82" s="26">
        <v>10003657</v>
      </c>
      <c r="E82" s="26" t="s">
        <v>422</v>
      </c>
      <c r="F82" s="26" t="s">
        <v>423</v>
      </c>
      <c r="G82" s="26" t="s">
        <v>424</v>
      </c>
      <c r="H82" s="26" t="s">
        <v>425</v>
      </c>
      <c r="I82" s="26">
        <v>30106542</v>
      </c>
      <c r="J82" s="26" t="s">
        <v>426</v>
      </c>
      <c r="K82" s="32"/>
      <c r="L82" s="32"/>
      <c r="M82" s="26" t="s">
        <v>171</v>
      </c>
      <c r="N82" s="26" t="s">
        <v>60</v>
      </c>
      <c r="O82" s="33" t="s">
        <v>32</v>
      </c>
      <c r="P82" s="28" t="str">
        <f t="shared" si="2"/>
        <v>FILOMENA    MARGAIZ    RAMIREZ</v>
      </c>
      <c r="Q82" s="26" t="s">
        <v>426</v>
      </c>
      <c r="R82" s="29" t="str">
        <f t="shared" si="3"/>
        <v>C2103     GEGCF54004</v>
      </c>
    </row>
    <row r="83" spans="1:23" x14ac:dyDescent="0.25">
      <c r="A83" s="34">
        <v>38</v>
      </c>
      <c r="B83" s="35">
        <v>10003663</v>
      </c>
      <c r="C83" s="35" t="s">
        <v>224</v>
      </c>
      <c r="D83" s="35">
        <v>10003663</v>
      </c>
      <c r="E83" s="35" t="s">
        <v>427</v>
      </c>
      <c r="F83" s="35" t="s">
        <v>428</v>
      </c>
      <c r="G83" s="35" t="s">
        <v>50</v>
      </c>
      <c r="H83" s="35" t="s">
        <v>429</v>
      </c>
      <c r="I83" s="35">
        <v>30096889</v>
      </c>
      <c r="J83" s="35" t="s">
        <v>430</v>
      </c>
      <c r="K83" s="34"/>
      <c r="L83" s="34"/>
      <c r="M83" s="36"/>
      <c r="N83" s="36"/>
      <c r="O83" s="37" t="s">
        <v>32</v>
      </c>
      <c r="P83" s="38" t="str">
        <f t="shared" si="2"/>
        <v>MORENA MARIA    CANALES    MARTINEZ</v>
      </c>
      <c r="Q83" s="35" t="s">
        <v>430</v>
      </c>
      <c r="R83" s="39" t="str">
        <f t="shared" si="3"/>
        <v/>
      </c>
      <c r="S83" s="40"/>
      <c r="T83" s="40"/>
      <c r="U83" s="40"/>
      <c r="V83" s="40"/>
      <c r="W83" s="40"/>
    </row>
    <row r="84" spans="1:23" x14ac:dyDescent="0.25">
      <c r="A84" s="34">
        <v>39</v>
      </c>
      <c r="B84" s="35">
        <v>10003663</v>
      </c>
      <c r="C84" s="35" t="s">
        <v>224</v>
      </c>
      <c r="D84" s="35">
        <v>10003663</v>
      </c>
      <c r="E84" s="35" t="s">
        <v>431</v>
      </c>
      <c r="F84" s="35" t="s">
        <v>432</v>
      </c>
      <c r="G84" s="35" t="s">
        <v>433</v>
      </c>
      <c r="H84" s="35" t="s">
        <v>434</v>
      </c>
      <c r="I84" s="35">
        <v>30096890</v>
      </c>
      <c r="J84" s="35" t="s">
        <v>435</v>
      </c>
      <c r="K84" s="34"/>
      <c r="L84" s="34"/>
      <c r="M84" s="36"/>
      <c r="N84" s="36"/>
      <c r="O84" s="37" t="s">
        <v>32</v>
      </c>
      <c r="P84" s="38" t="str">
        <f t="shared" si="2"/>
        <v>JUAN PABLO    CASTRO    GOMEZ</v>
      </c>
      <c r="Q84" s="35" t="s">
        <v>435</v>
      </c>
      <c r="R84" s="39" t="str">
        <f t="shared" si="3"/>
        <v/>
      </c>
      <c r="S84" s="40"/>
      <c r="T84" s="40"/>
      <c r="U84" s="40"/>
      <c r="V84" s="40"/>
      <c r="W84" s="40"/>
    </row>
    <row r="85" spans="1:23" x14ac:dyDescent="0.25">
      <c r="A85" s="34">
        <v>40</v>
      </c>
      <c r="B85" s="35">
        <v>10003654</v>
      </c>
      <c r="C85" s="35" t="s">
        <v>54</v>
      </c>
      <c r="D85" s="35">
        <v>10003654</v>
      </c>
      <c r="E85" s="35" t="s">
        <v>436</v>
      </c>
      <c r="F85" s="35" t="s">
        <v>437</v>
      </c>
      <c r="G85" s="35" t="s">
        <v>226</v>
      </c>
      <c r="H85" s="35" t="s">
        <v>438</v>
      </c>
      <c r="I85" s="35">
        <v>30096891</v>
      </c>
      <c r="J85" s="35" t="s">
        <v>439</v>
      </c>
      <c r="K85" s="34"/>
      <c r="L85" s="34"/>
      <c r="M85" s="36"/>
      <c r="N85" s="36"/>
      <c r="O85" s="37" t="s">
        <v>32</v>
      </c>
      <c r="P85" s="38" t="str">
        <f t="shared" si="2"/>
        <v>MARIA YOSSELIN    ASCENCIO    VAZQUEZ</v>
      </c>
      <c r="Q85" s="35" t="s">
        <v>439</v>
      </c>
      <c r="R85" s="39" t="str">
        <f t="shared" si="3"/>
        <v/>
      </c>
      <c r="S85" s="40"/>
      <c r="T85" s="40"/>
      <c r="U85" s="40"/>
      <c r="V85" s="40"/>
      <c r="W85" s="40"/>
    </row>
    <row r="86" spans="1:23" x14ac:dyDescent="0.25">
      <c r="A86" s="34">
        <v>41</v>
      </c>
      <c r="B86" s="35">
        <v>10003654</v>
      </c>
      <c r="C86" s="35" t="s">
        <v>54</v>
      </c>
      <c r="D86" s="35">
        <v>10003654</v>
      </c>
      <c r="E86" s="35" t="s">
        <v>440</v>
      </c>
      <c r="F86" s="35" t="s">
        <v>262</v>
      </c>
      <c r="G86" s="35" t="s">
        <v>320</v>
      </c>
      <c r="H86" s="35" t="s">
        <v>441</v>
      </c>
      <c r="I86" s="35">
        <v>30096892</v>
      </c>
      <c r="J86" s="35" t="s">
        <v>442</v>
      </c>
      <c r="K86" s="34"/>
      <c r="L86" s="34"/>
      <c r="M86" s="36"/>
      <c r="N86" s="36"/>
      <c r="O86" s="37" t="s">
        <v>32</v>
      </c>
      <c r="P86" s="38" t="str">
        <f t="shared" si="2"/>
        <v>JUAN MANUEL    ALVAREZ    ZAVALA</v>
      </c>
      <c r="Q86" s="35" t="s">
        <v>442</v>
      </c>
      <c r="R86" s="39" t="str">
        <f t="shared" si="3"/>
        <v/>
      </c>
      <c r="S86" s="40"/>
      <c r="T86" s="40"/>
      <c r="U86" s="40"/>
      <c r="V86" s="40"/>
      <c r="W86" s="40"/>
    </row>
    <row r="87" spans="1:23" x14ac:dyDescent="0.25">
      <c r="A87" s="34">
        <v>42</v>
      </c>
      <c r="B87" s="35">
        <v>10003662</v>
      </c>
      <c r="C87" s="35" t="s">
        <v>88</v>
      </c>
      <c r="D87" s="35">
        <v>10003662</v>
      </c>
      <c r="E87" s="35" t="s">
        <v>443</v>
      </c>
      <c r="F87" s="35" t="s">
        <v>412</v>
      </c>
      <c r="G87" s="35" t="s">
        <v>412</v>
      </c>
      <c r="H87" s="35" t="s">
        <v>444</v>
      </c>
      <c r="I87" s="35">
        <v>30096893</v>
      </c>
      <c r="J87" s="35" t="s">
        <v>445</v>
      </c>
      <c r="K87" s="34"/>
      <c r="L87" s="34"/>
      <c r="M87" s="36"/>
      <c r="N87" s="36"/>
      <c r="O87" s="37" t="s">
        <v>32</v>
      </c>
      <c r="P87" s="38" t="str">
        <f t="shared" si="2"/>
        <v>MARIANA ZURIZADAI    TORRES    TORRES</v>
      </c>
      <c r="Q87" s="35" t="s">
        <v>445</v>
      </c>
      <c r="R87" s="39" t="str">
        <f t="shared" si="3"/>
        <v/>
      </c>
      <c r="S87" s="40"/>
      <c r="T87" s="40"/>
      <c r="U87" s="40"/>
      <c r="V87" s="40"/>
      <c r="W87" s="40"/>
    </row>
    <row r="88" spans="1:23" x14ac:dyDescent="0.25">
      <c r="A88" s="34">
        <v>43</v>
      </c>
      <c r="B88" s="35">
        <v>10003662</v>
      </c>
      <c r="C88" s="35" t="s">
        <v>88</v>
      </c>
      <c r="D88" s="35">
        <v>10003662</v>
      </c>
      <c r="E88" s="35" t="s">
        <v>446</v>
      </c>
      <c r="F88" s="35" t="s">
        <v>447</v>
      </c>
      <c r="G88" s="35" t="s">
        <v>50</v>
      </c>
      <c r="H88" s="35" t="s">
        <v>448</v>
      </c>
      <c r="I88" s="35">
        <v>30096894</v>
      </c>
      <c r="J88" s="35" t="s">
        <v>449</v>
      </c>
      <c r="K88" s="34"/>
      <c r="L88" s="34"/>
      <c r="M88" s="41"/>
      <c r="N88" s="41"/>
      <c r="O88" s="37" t="s">
        <v>32</v>
      </c>
      <c r="P88" s="38" t="str">
        <f t="shared" si="2"/>
        <v>MARTINA    MOCTEZUMA    MARTINEZ</v>
      </c>
      <c r="Q88" s="35" t="s">
        <v>449</v>
      </c>
      <c r="R88" s="39" t="str">
        <f t="shared" si="3"/>
        <v/>
      </c>
      <c r="S88" s="40"/>
      <c r="T88" s="40"/>
      <c r="U88" s="40"/>
      <c r="V88" s="40"/>
      <c r="W88" s="40"/>
    </row>
    <row r="89" spans="1:23" x14ac:dyDescent="0.25">
      <c r="A89" s="34">
        <v>44</v>
      </c>
      <c r="B89" s="35">
        <v>10003662</v>
      </c>
      <c r="C89" s="35" t="s">
        <v>88</v>
      </c>
      <c r="D89" s="35">
        <v>10003662</v>
      </c>
      <c r="E89" s="35" t="s">
        <v>450</v>
      </c>
      <c r="F89" s="35" t="s">
        <v>159</v>
      </c>
      <c r="G89" s="35" t="s">
        <v>50</v>
      </c>
      <c r="H89" s="35" t="s">
        <v>451</v>
      </c>
      <c r="I89" s="35">
        <v>30096895</v>
      </c>
      <c r="J89" s="35" t="s">
        <v>452</v>
      </c>
      <c r="K89" s="34"/>
      <c r="L89" s="34"/>
      <c r="M89" s="36"/>
      <c r="N89" s="36"/>
      <c r="O89" s="37" t="s">
        <v>32</v>
      </c>
      <c r="P89" s="38" t="str">
        <f t="shared" si="2"/>
        <v>ROSA CAROLINA    RODRIGUEZ    MARTINEZ</v>
      </c>
      <c r="Q89" s="35" t="s">
        <v>452</v>
      </c>
      <c r="R89" s="39" t="str">
        <f t="shared" si="3"/>
        <v/>
      </c>
      <c r="S89" s="40"/>
      <c r="T89" s="40"/>
      <c r="U89" s="40"/>
      <c r="V89" s="40"/>
      <c r="W89" s="40"/>
    </row>
    <row r="90" spans="1:23" x14ac:dyDescent="0.25">
      <c r="A90" s="34">
        <v>45</v>
      </c>
      <c r="B90" s="35">
        <v>10003661</v>
      </c>
      <c r="C90" s="35" t="s">
        <v>68</v>
      </c>
      <c r="D90" s="35">
        <v>10003661</v>
      </c>
      <c r="E90" s="35" t="s">
        <v>453</v>
      </c>
      <c r="F90" s="35" t="s">
        <v>64</v>
      </c>
      <c r="G90" s="35" t="s">
        <v>454</v>
      </c>
      <c r="H90" s="35" t="s">
        <v>455</v>
      </c>
      <c r="I90" s="35">
        <v>30096898</v>
      </c>
      <c r="J90" s="35" t="s">
        <v>456</v>
      </c>
      <c r="K90" s="34"/>
      <c r="L90" s="34"/>
      <c r="M90" s="36"/>
      <c r="N90" s="36"/>
      <c r="O90" s="37" t="s">
        <v>32</v>
      </c>
      <c r="P90" s="38" t="str">
        <f t="shared" si="2"/>
        <v>ADAN    LOPEZ    MONTENEGRO</v>
      </c>
      <c r="Q90" s="35" t="s">
        <v>456</v>
      </c>
      <c r="R90" s="39" t="str">
        <f t="shared" si="3"/>
        <v/>
      </c>
      <c r="S90" s="40"/>
      <c r="T90" s="40"/>
      <c r="U90" s="40"/>
      <c r="V90" s="40"/>
      <c r="W90" s="40"/>
    </row>
    <row r="91" spans="1:23" x14ac:dyDescent="0.25">
      <c r="A91" s="34">
        <v>46</v>
      </c>
      <c r="B91" s="35">
        <v>10003654</v>
      </c>
      <c r="C91" s="35" t="s">
        <v>54</v>
      </c>
      <c r="D91" s="35">
        <v>10003654</v>
      </c>
      <c r="E91" s="35" t="s">
        <v>457</v>
      </c>
      <c r="F91" s="35" t="s">
        <v>401</v>
      </c>
      <c r="G91" s="35" t="s">
        <v>235</v>
      </c>
      <c r="H91" s="35" t="s">
        <v>458</v>
      </c>
      <c r="I91" s="35">
        <v>30096900</v>
      </c>
      <c r="J91" s="35" t="s">
        <v>459</v>
      </c>
      <c r="K91" s="34"/>
      <c r="L91" s="34"/>
      <c r="M91" s="36"/>
      <c r="N91" s="36"/>
      <c r="O91" s="37" t="s">
        <v>32</v>
      </c>
      <c r="P91" s="38" t="str">
        <f t="shared" si="2"/>
        <v>PAULINA JAZMIN    ORTEGA    HERNANDEZ</v>
      </c>
      <c r="Q91" s="35" t="s">
        <v>459</v>
      </c>
      <c r="R91" s="39" t="str">
        <f t="shared" si="3"/>
        <v/>
      </c>
      <c r="S91" s="40"/>
      <c r="T91" s="40"/>
      <c r="U91" s="40"/>
      <c r="V91" s="40"/>
      <c r="W91" s="40"/>
    </row>
    <row r="92" spans="1:23" x14ac:dyDescent="0.25">
      <c r="A92" s="34">
        <v>47</v>
      </c>
      <c r="B92" s="35">
        <v>10003655</v>
      </c>
      <c r="C92" s="35" t="s">
        <v>220</v>
      </c>
      <c r="D92" s="35">
        <v>10003655</v>
      </c>
      <c r="E92" s="35" t="s">
        <v>460</v>
      </c>
      <c r="F92" s="35" t="s">
        <v>50</v>
      </c>
      <c r="G92" s="35" t="s">
        <v>461</v>
      </c>
      <c r="H92" s="35" t="s">
        <v>462</v>
      </c>
      <c r="I92" s="35">
        <v>30096903</v>
      </c>
      <c r="J92" s="35" t="s">
        <v>463</v>
      </c>
      <c r="K92" s="34"/>
      <c r="L92" s="34"/>
      <c r="M92" s="36"/>
      <c r="N92" s="36"/>
      <c r="O92" s="37" t="s">
        <v>32</v>
      </c>
      <c r="P92" s="38" t="str">
        <f t="shared" si="2"/>
        <v>IVAN    MARTINEZ    CISNEROS</v>
      </c>
      <c r="Q92" s="35" t="s">
        <v>463</v>
      </c>
      <c r="R92" s="39" t="str">
        <f t="shared" si="3"/>
        <v/>
      </c>
      <c r="S92" s="40"/>
      <c r="T92" s="40"/>
      <c r="U92" s="40"/>
      <c r="V92" s="40"/>
      <c r="W92" s="40"/>
    </row>
    <row r="93" spans="1:23" x14ac:dyDescent="0.25">
      <c r="A93" s="34">
        <v>48</v>
      </c>
      <c r="B93" s="35">
        <v>10003655</v>
      </c>
      <c r="C93" s="35" t="s">
        <v>220</v>
      </c>
      <c r="D93" s="35">
        <v>10003655</v>
      </c>
      <c r="E93" s="35" t="s">
        <v>464</v>
      </c>
      <c r="F93" s="35" t="s">
        <v>465</v>
      </c>
      <c r="G93" s="35" t="s">
        <v>281</v>
      </c>
      <c r="H93" s="35" t="s">
        <v>466</v>
      </c>
      <c r="I93" s="35">
        <v>30096904</v>
      </c>
      <c r="J93" s="35" t="s">
        <v>467</v>
      </c>
      <c r="K93" s="34"/>
      <c r="L93" s="34"/>
      <c r="M93" s="36"/>
      <c r="N93" s="36"/>
      <c r="O93" s="37" t="s">
        <v>32</v>
      </c>
      <c r="P93" s="38" t="str">
        <f t="shared" si="2"/>
        <v>TULIO GUILLERMO    ALAMO    ARREDONDO</v>
      </c>
      <c r="Q93" s="35" t="s">
        <v>467</v>
      </c>
      <c r="R93" s="39" t="str">
        <f t="shared" si="3"/>
        <v/>
      </c>
      <c r="S93" s="40"/>
      <c r="T93" s="40"/>
      <c r="U93" s="40"/>
      <c r="V93" s="40"/>
      <c r="W93" s="40"/>
    </row>
    <row r="94" spans="1:23" x14ac:dyDescent="0.25">
      <c r="A94" s="34">
        <v>49</v>
      </c>
      <c r="B94" s="35">
        <v>10003655</v>
      </c>
      <c r="C94" s="35" t="s">
        <v>220</v>
      </c>
      <c r="D94" s="35">
        <v>10003655</v>
      </c>
      <c r="E94" s="35" t="s">
        <v>468</v>
      </c>
      <c r="F94" s="35" t="s">
        <v>358</v>
      </c>
      <c r="G94" s="35" t="s">
        <v>236</v>
      </c>
      <c r="H94" s="35" t="s">
        <v>469</v>
      </c>
      <c r="I94" s="35">
        <v>30096905</v>
      </c>
      <c r="J94" s="35" t="s">
        <v>470</v>
      </c>
      <c r="K94" s="34"/>
      <c r="L94" s="34"/>
      <c r="M94" s="36"/>
      <c r="N94" s="36"/>
      <c r="O94" s="37" t="s">
        <v>32</v>
      </c>
      <c r="P94" s="38" t="str">
        <f t="shared" si="2"/>
        <v>ASTRID BERENICE    RANGEL    PEREZ</v>
      </c>
      <c r="Q94" s="35" t="s">
        <v>470</v>
      </c>
      <c r="R94" s="39" t="str">
        <f t="shared" si="3"/>
        <v/>
      </c>
      <c r="S94" s="40"/>
      <c r="T94" s="40"/>
      <c r="U94" s="40"/>
      <c r="V94" s="40"/>
      <c r="W94" s="40"/>
    </row>
    <row r="95" spans="1:23" x14ac:dyDescent="0.25">
      <c r="A95" s="34">
        <v>50</v>
      </c>
      <c r="B95" s="35">
        <v>10003656</v>
      </c>
      <c r="C95" s="35" t="s">
        <v>133</v>
      </c>
      <c r="D95" s="35">
        <v>10003656</v>
      </c>
      <c r="E95" s="35" t="s">
        <v>471</v>
      </c>
      <c r="F95" s="35" t="s">
        <v>472</v>
      </c>
      <c r="G95" s="35" t="s">
        <v>473</v>
      </c>
      <c r="H95" s="35" t="s">
        <v>474</v>
      </c>
      <c r="I95" s="35">
        <v>30096906</v>
      </c>
      <c r="J95" s="35" t="s">
        <v>475</v>
      </c>
      <c r="K95" s="34"/>
      <c r="L95" s="34"/>
      <c r="M95" s="36"/>
      <c r="N95" s="36"/>
      <c r="O95" s="37" t="s">
        <v>32</v>
      </c>
      <c r="P95" s="38" t="str">
        <f t="shared" si="2"/>
        <v>RODOLFO JONATHAN MARTIN    MORENO    GODINEZ</v>
      </c>
      <c r="Q95" s="35" t="s">
        <v>475</v>
      </c>
      <c r="R95" s="39" t="str">
        <f t="shared" si="3"/>
        <v/>
      </c>
      <c r="S95" s="40"/>
      <c r="T95" s="40"/>
      <c r="U95" s="40"/>
      <c r="V95" s="40"/>
      <c r="W95" s="40"/>
    </row>
    <row r="96" spans="1:23" x14ac:dyDescent="0.25">
      <c r="A96" s="34">
        <v>51</v>
      </c>
      <c r="B96" s="35">
        <v>10003653</v>
      </c>
      <c r="C96" s="35" t="s">
        <v>61</v>
      </c>
      <c r="D96" s="35">
        <v>10003653</v>
      </c>
      <c r="E96" s="35" t="s">
        <v>476</v>
      </c>
      <c r="F96" s="35" t="s">
        <v>477</v>
      </c>
      <c r="G96" s="35" t="s">
        <v>478</v>
      </c>
      <c r="H96" s="35" t="s">
        <v>479</v>
      </c>
      <c r="I96" s="35">
        <v>30096908</v>
      </c>
      <c r="J96" s="35" t="s">
        <v>480</v>
      </c>
      <c r="K96" s="34"/>
      <c r="L96" s="34"/>
      <c r="M96" s="36"/>
      <c r="N96" s="36"/>
      <c r="O96" s="37" t="s">
        <v>32</v>
      </c>
      <c r="P96" s="38" t="str">
        <f t="shared" si="2"/>
        <v>LILIA KAREN    MAYORGA    GUADIAN</v>
      </c>
      <c r="Q96" s="35" t="s">
        <v>480</v>
      </c>
      <c r="R96" s="39" t="str">
        <f t="shared" si="3"/>
        <v/>
      </c>
      <c r="S96" s="40"/>
      <c r="T96" s="40"/>
      <c r="U96" s="40"/>
      <c r="V96" s="40"/>
      <c r="W96" s="40"/>
    </row>
    <row r="97" spans="1:23" x14ac:dyDescent="0.25">
      <c r="A97" s="34">
        <v>52</v>
      </c>
      <c r="B97" s="35">
        <v>10003663</v>
      </c>
      <c r="C97" s="35" t="s">
        <v>224</v>
      </c>
      <c r="D97" s="35">
        <v>10003663</v>
      </c>
      <c r="E97" s="35" t="s">
        <v>481</v>
      </c>
      <c r="F97" s="35" t="s">
        <v>179</v>
      </c>
      <c r="G97" s="35" t="s">
        <v>482</v>
      </c>
      <c r="H97" s="35" t="s">
        <v>483</v>
      </c>
      <c r="I97" s="35">
        <v>30097416</v>
      </c>
      <c r="J97" s="35" t="s">
        <v>312</v>
      </c>
      <c r="K97" s="34"/>
      <c r="L97" s="34"/>
      <c r="M97" s="36"/>
      <c r="N97" s="36"/>
      <c r="O97" s="37" t="s">
        <v>32</v>
      </c>
      <c r="P97" s="38" t="str">
        <f t="shared" si="2"/>
        <v>PATRICIA    CORTES    VIVANCO</v>
      </c>
      <c r="Q97" s="35" t="s">
        <v>312</v>
      </c>
      <c r="R97" s="39" t="str">
        <f t="shared" si="3"/>
        <v/>
      </c>
      <c r="S97" s="40"/>
      <c r="T97" s="40"/>
      <c r="U97" s="40"/>
      <c r="V97" s="40"/>
      <c r="W97" s="40"/>
    </row>
    <row r="98" spans="1:23" x14ac:dyDescent="0.25">
      <c r="A98" s="34">
        <v>53</v>
      </c>
      <c r="B98" s="35">
        <v>10003653</v>
      </c>
      <c r="C98" s="35" t="s">
        <v>61</v>
      </c>
      <c r="D98" s="35">
        <v>10003653</v>
      </c>
      <c r="E98" s="35" t="s">
        <v>484</v>
      </c>
      <c r="F98" s="35" t="s">
        <v>235</v>
      </c>
      <c r="G98" s="35" t="s">
        <v>485</v>
      </c>
      <c r="H98" s="35" t="s">
        <v>486</v>
      </c>
      <c r="I98" s="35">
        <v>30097418</v>
      </c>
      <c r="J98" s="35" t="s">
        <v>487</v>
      </c>
      <c r="K98" s="34"/>
      <c r="L98" s="34"/>
      <c r="M98" s="36"/>
      <c r="N98" s="36"/>
      <c r="O98" s="37" t="s">
        <v>32</v>
      </c>
      <c r="P98" s="38" t="str">
        <f t="shared" si="2"/>
        <v>SOFIA DEL PILAR    HERNANDEZ    HUERTA</v>
      </c>
      <c r="Q98" s="35" t="s">
        <v>487</v>
      </c>
      <c r="R98" s="39" t="str">
        <f t="shared" si="3"/>
        <v/>
      </c>
      <c r="S98" s="40"/>
      <c r="T98" s="40"/>
      <c r="U98" s="40"/>
      <c r="V98" s="40"/>
      <c r="W98" s="40"/>
    </row>
    <row r="99" spans="1:23" x14ac:dyDescent="0.25">
      <c r="A99" s="34">
        <v>54</v>
      </c>
      <c r="B99" s="35">
        <v>10003653</v>
      </c>
      <c r="C99" s="35" t="s">
        <v>61</v>
      </c>
      <c r="D99" s="35">
        <v>10003653</v>
      </c>
      <c r="E99" s="35" t="s">
        <v>488</v>
      </c>
      <c r="F99" s="35" t="s">
        <v>64</v>
      </c>
      <c r="G99" s="35" t="s">
        <v>489</v>
      </c>
      <c r="H99" s="35" t="s">
        <v>490</v>
      </c>
      <c r="I99" s="35">
        <v>30097419</v>
      </c>
      <c r="J99" s="35" t="s">
        <v>491</v>
      </c>
      <c r="K99" s="34"/>
      <c r="L99" s="34"/>
      <c r="M99" s="36"/>
      <c r="N99" s="36"/>
      <c r="O99" s="37" t="s">
        <v>32</v>
      </c>
      <c r="P99" s="38" t="str">
        <f t="shared" si="2"/>
        <v>ALEJANDRA    LOPEZ    LADRON DE GUEVARA</v>
      </c>
      <c r="Q99" s="35" t="s">
        <v>491</v>
      </c>
      <c r="R99" s="39" t="str">
        <f t="shared" si="3"/>
        <v/>
      </c>
      <c r="S99" s="40"/>
      <c r="T99" s="40"/>
      <c r="U99" s="40"/>
      <c r="V99" s="40"/>
      <c r="W99" s="40"/>
    </row>
    <row r="100" spans="1:23" x14ac:dyDescent="0.25">
      <c r="A100" s="34">
        <v>55</v>
      </c>
      <c r="B100" s="35">
        <v>10003653</v>
      </c>
      <c r="C100" s="35" t="s">
        <v>61</v>
      </c>
      <c r="D100" s="35">
        <v>10003653</v>
      </c>
      <c r="E100" s="35" t="s">
        <v>492</v>
      </c>
      <c r="F100" s="35" t="s">
        <v>493</v>
      </c>
      <c r="G100" s="35" t="s">
        <v>494</v>
      </c>
      <c r="H100" s="35" t="s">
        <v>495</v>
      </c>
      <c r="I100" s="35">
        <v>30097420</v>
      </c>
      <c r="J100" s="35" t="s">
        <v>496</v>
      </c>
      <c r="K100" s="34"/>
      <c r="L100" s="34"/>
      <c r="M100" s="36"/>
      <c r="N100" s="36"/>
      <c r="O100" s="37" t="s">
        <v>32</v>
      </c>
      <c r="P100" s="38" t="str">
        <f t="shared" si="2"/>
        <v>MARTHA ANGELICA    TAVAREZ    CONTRERAS</v>
      </c>
      <c r="Q100" s="35" t="s">
        <v>496</v>
      </c>
      <c r="R100" s="39" t="str">
        <f t="shared" si="3"/>
        <v/>
      </c>
      <c r="S100" s="40"/>
      <c r="T100" s="40"/>
      <c r="U100" s="40"/>
      <c r="V100" s="40"/>
      <c r="W100" s="40"/>
    </row>
    <row r="101" spans="1:23" x14ac:dyDescent="0.25">
      <c r="A101" s="34">
        <v>56</v>
      </c>
      <c r="B101" s="35">
        <v>10003656</v>
      </c>
      <c r="C101" s="35" t="s">
        <v>133</v>
      </c>
      <c r="D101" s="35">
        <v>10003656</v>
      </c>
      <c r="E101" s="35" t="s">
        <v>497</v>
      </c>
      <c r="F101" s="35" t="s">
        <v>498</v>
      </c>
      <c r="G101" s="35" t="s">
        <v>499</v>
      </c>
      <c r="H101" s="35" t="s">
        <v>500</v>
      </c>
      <c r="I101" s="35">
        <v>30097421</v>
      </c>
      <c r="J101" s="35" t="s">
        <v>501</v>
      </c>
      <c r="K101" s="34"/>
      <c r="L101" s="34"/>
      <c r="M101" s="36"/>
      <c r="N101" s="36"/>
      <c r="O101" s="37" t="s">
        <v>32</v>
      </c>
      <c r="P101" s="38" t="str">
        <f t="shared" si="2"/>
        <v>JUAN CARLOS    CECILIO    PADILLA</v>
      </c>
      <c r="Q101" s="35" t="s">
        <v>501</v>
      </c>
      <c r="R101" s="39" t="str">
        <f t="shared" si="3"/>
        <v/>
      </c>
      <c r="S101" s="40"/>
      <c r="T101" s="40"/>
      <c r="U101" s="40"/>
      <c r="V101" s="40"/>
      <c r="W101" s="40"/>
    </row>
    <row r="102" spans="1:23" x14ac:dyDescent="0.25">
      <c r="A102" s="34">
        <v>57</v>
      </c>
      <c r="B102" s="35">
        <v>10003656</v>
      </c>
      <c r="C102" s="35" t="s">
        <v>133</v>
      </c>
      <c r="D102" s="35">
        <v>10003656</v>
      </c>
      <c r="E102" s="35" t="s">
        <v>502</v>
      </c>
      <c r="F102" s="35" t="s">
        <v>503</v>
      </c>
      <c r="G102" s="35" t="s">
        <v>354</v>
      </c>
      <c r="H102" s="35" t="s">
        <v>504</v>
      </c>
      <c r="I102" s="35">
        <v>30097422</v>
      </c>
      <c r="J102" s="35" t="s">
        <v>505</v>
      </c>
      <c r="K102" s="34"/>
      <c r="L102" s="34"/>
      <c r="M102" s="36"/>
      <c r="N102" s="36"/>
      <c r="O102" s="37" t="s">
        <v>32</v>
      </c>
      <c r="P102" s="38" t="str">
        <f t="shared" si="2"/>
        <v>CARLOS GUSTAVO    SOTO    OROZCO</v>
      </c>
      <c r="Q102" s="35" t="s">
        <v>505</v>
      </c>
      <c r="R102" s="39" t="str">
        <f t="shared" si="3"/>
        <v/>
      </c>
      <c r="S102" s="40"/>
      <c r="T102" s="40"/>
      <c r="U102" s="40"/>
      <c r="V102" s="40"/>
      <c r="W102" s="40"/>
    </row>
    <row r="103" spans="1:23" x14ac:dyDescent="0.25">
      <c r="A103" s="34">
        <v>58</v>
      </c>
      <c r="B103" s="35">
        <v>10003660</v>
      </c>
      <c r="C103" s="35" t="s">
        <v>95</v>
      </c>
      <c r="D103" s="35">
        <v>10003660</v>
      </c>
      <c r="E103" s="35" t="s">
        <v>506</v>
      </c>
      <c r="F103" s="35" t="s">
        <v>288</v>
      </c>
      <c r="G103" s="35" t="s">
        <v>507</v>
      </c>
      <c r="H103" s="35" t="s">
        <v>508</v>
      </c>
      <c r="I103" s="35">
        <v>30097423</v>
      </c>
      <c r="J103" s="35" t="s">
        <v>509</v>
      </c>
      <c r="K103" s="34"/>
      <c r="L103" s="34"/>
      <c r="M103" s="36"/>
      <c r="N103" s="36"/>
      <c r="O103" s="37" t="s">
        <v>32</v>
      </c>
      <c r="P103" s="38" t="str">
        <f t="shared" si="2"/>
        <v>FRANCISCO JAVIER    ESPINOZA    ORTIZ</v>
      </c>
      <c r="Q103" s="35" t="s">
        <v>509</v>
      </c>
      <c r="R103" s="39" t="str">
        <f t="shared" si="3"/>
        <v/>
      </c>
      <c r="S103" s="40"/>
      <c r="T103" s="40"/>
      <c r="U103" s="40"/>
      <c r="V103" s="40"/>
      <c r="W103" s="40"/>
    </row>
    <row r="104" spans="1:23" x14ac:dyDescent="0.25">
      <c r="A104" s="34">
        <v>59</v>
      </c>
      <c r="B104" s="35">
        <v>10003660</v>
      </c>
      <c r="C104" s="35" t="s">
        <v>95</v>
      </c>
      <c r="D104" s="35">
        <v>10003660</v>
      </c>
      <c r="E104" s="35" t="s">
        <v>510</v>
      </c>
      <c r="F104" s="35" t="s">
        <v>56</v>
      </c>
      <c r="G104" s="35" t="s">
        <v>511</v>
      </c>
      <c r="H104" s="35" t="s">
        <v>512</v>
      </c>
      <c r="I104" s="35">
        <v>30097424</v>
      </c>
      <c r="J104" s="35" t="s">
        <v>513</v>
      </c>
      <c r="K104" s="34"/>
      <c r="L104" s="34"/>
      <c r="M104" s="36"/>
      <c r="N104" s="36"/>
      <c r="O104" s="37" t="s">
        <v>32</v>
      </c>
      <c r="P104" s="38" t="str">
        <f t="shared" si="2"/>
        <v>JORGE ALBERTO    CABALLERO    CORDOVA</v>
      </c>
      <c r="Q104" s="35" t="s">
        <v>513</v>
      </c>
      <c r="R104" s="39" t="str">
        <f t="shared" si="3"/>
        <v/>
      </c>
      <c r="S104" s="40"/>
      <c r="T104" s="40"/>
      <c r="U104" s="40"/>
      <c r="V104" s="40"/>
      <c r="W104" s="40"/>
    </row>
    <row r="105" spans="1:23" x14ac:dyDescent="0.25">
      <c r="A105" s="34">
        <v>60</v>
      </c>
      <c r="B105" s="35">
        <v>10003662</v>
      </c>
      <c r="C105" s="35" t="s">
        <v>88</v>
      </c>
      <c r="D105" s="35">
        <v>10003662</v>
      </c>
      <c r="E105" s="35" t="s">
        <v>514</v>
      </c>
      <c r="F105" s="35" t="s">
        <v>245</v>
      </c>
      <c r="G105" s="35" t="s">
        <v>262</v>
      </c>
      <c r="H105" s="35" t="s">
        <v>515</v>
      </c>
      <c r="I105" s="35">
        <v>30097425</v>
      </c>
      <c r="J105" s="35" t="s">
        <v>516</v>
      </c>
      <c r="K105" s="34"/>
      <c r="L105" s="34"/>
      <c r="M105" s="36"/>
      <c r="N105" s="36"/>
      <c r="O105" s="37" t="s">
        <v>32</v>
      </c>
      <c r="P105" s="38" t="str">
        <f t="shared" si="2"/>
        <v>KARLA THALIA    MENDEZ    ALVAREZ</v>
      </c>
      <c r="Q105" s="35" t="s">
        <v>516</v>
      </c>
      <c r="R105" s="39" t="str">
        <f t="shared" si="3"/>
        <v/>
      </c>
      <c r="S105" s="40"/>
      <c r="T105" s="40"/>
      <c r="U105" s="40"/>
      <c r="V105" s="40"/>
      <c r="W105" s="40"/>
    </row>
    <row r="106" spans="1:23" x14ac:dyDescent="0.25">
      <c r="A106" s="34">
        <v>61</v>
      </c>
      <c r="B106" s="35">
        <v>10003661</v>
      </c>
      <c r="C106" s="35" t="s">
        <v>68</v>
      </c>
      <c r="D106" s="35">
        <v>10003661</v>
      </c>
      <c r="E106" s="35" t="s">
        <v>517</v>
      </c>
      <c r="F106" s="35" t="s">
        <v>336</v>
      </c>
      <c r="G106" s="35" t="s">
        <v>518</v>
      </c>
      <c r="H106" s="35" t="s">
        <v>519</v>
      </c>
      <c r="I106" s="35">
        <v>30097427</v>
      </c>
      <c r="J106" s="35" t="s">
        <v>520</v>
      </c>
      <c r="K106" s="34"/>
      <c r="L106" s="34"/>
      <c r="M106" s="36"/>
      <c r="N106" s="36"/>
      <c r="O106" s="37" t="s">
        <v>32</v>
      </c>
      <c r="P106" s="38" t="str">
        <f t="shared" si="2"/>
        <v>GUADALUPE DEL SOCORRO    CHAVEZ    ESCOBAR</v>
      </c>
      <c r="Q106" s="35" t="s">
        <v>520</v>
      </c>
      <c r="R106" s="39" t="str">
        <f t="shared" si="3"/>
        <v/>
      </c>
      <c r="S106" s="40"/>
      <c r="T106" s="40"/>
      <c r="U106" s="40"/>
      <c r="V106" s="40"/>
      <c r="W106" s="40"/>
    </row>
    <row r="107" spans="1:23" x14ac:dyDescent="0.25">
      <c r="A107" s="34">
        <v>62</v>
      </c>
      <c r="B107" s="35">
        <v>10003661</v>
      </c>
      <c r="C107" s="35" t="s">
        <v>68</v>
      </c>
      <c r="D107" s="35">
        <v>10003661</v>
      </c>
      <c r="E107" s="35" t="s">
        <v>521</v>
      </c>
      <c r="F107" s="35" t="s">
        <v>522</v>
      </c>
      <c r="G107" s="35" t="s">
        <v>523</v>
      </c>
      <c r="H107" s="35" t="s">
        <v>524</v>
      </c>
      <c r="I107" s="35">
        <v>30097430</v>
      </c>
      <c r="J107" s="35" t="s">
        <v>525</v>
      </c>
      <c r="K107" s="34"/>
      <c r="L107" s="34"/>
      <c r="M107" s="36"/>
      <c r="N107" s="36"/>
      <c r="O107" s="37" t="s">
        <v>32</v>
      </c>
      <c r="P107" s="38" t="str">
        <f t="shared" si="2"/>
        <v>CRISTABEL    BORJA    AHEDO</v>
      </c>
      <c r="Q107" s="35" t="s">
        <v>525</v>
      </c>
      <c r="R107" s="39" t="str">
        <f t="shared" si="3"/>
        <v/>
      </c>
      <c r="S107" s="40"/>
      <c r="T107" s="40"/>
      <c r="U107" s="40"/>
      <c r="V107" s="40"/>
      <c r="W107" s="40"/>
    </row>
    <row r="108" spans="1:23" x14ac:dyDescent="0.25">
      <c r="A108" s="34">
        <v>63</v>
      </c>
      <c r="B108" s="35">
        <v>10003661</v>
      </c>
      <c r="C108" s="35" t="s">
        <v>68</v>
      </c>
      <c r="D108" s="35">
        <v>10003661</v>
      </c>
      <c r="E108" s="35" t="s">
        <v>526</v>
      </c>
      <c r="F108" s="35" t="s">
        <v>527</v>
      </c>
      <c r="G108" s="35" t="s">
        <v>528</v>
      </c>
      <c r="H108" s="35" t="s">
        <v>529</v>
      </c>
      <c r="I108" s="35">
        <v>30097432</v>
      </c>
      <c r="J108" s="35" t="s">
        <v>530</v>
      </c>
      <c r="K108" s="34"/>
      <c r="L108" s="34"/>
      <c r="M108" s="36"/>
      <c r="N108" s="36"/>
      <c r="O108" s="37" t="s">
        <v>32</v>
      </c>
      <c r="P108" s="38" t="str">
        <f t="shared" si="2"/>
        <v>ANA KARINA    PALMAS    ESPINOSA</v>
      </c>
      <c r="Q108" s="35" t="s">
        <v>530</v>
      </c>
      <c r="R108" s="39" t="str">
        <f t="shared" si="3"/>
        <v/>
      </c>
      <c r="S108" s="40"/>
      <c r="T108" s="40"/>
      <c r="U108" s="40"/>
      <c r="V108" s="40"/>
      <c r="W108" s="40"/>
    </row>
    <row r="109" spans="1:23" x14ac:dyDescent="0.25">
      <c r="A109" s="34">
        <v>64</v>
      </c>
      <c r="B109" s="35">
        <v>10003661</v>
      </c>
      <c r="C109" s="35" t="s">
        <v>68</v>
      </c>
      <c r="D109" s="35">
        <v>10003661</v>
      </c>
      <c r="E109" s="35" t="s">
        <v>531</v>
      </c>
      <c r="F109" s="35" t="s">
        <v>226</v>
      </c>
      <c r="G109" s="35" t="s">
        <v>195</v>
      </c>
      <c r="H109" s="35" t="s">
        <v>532</v>
      </c>
      <c r="I109" s="35">
        <v>30097434</v>
      </c>
      <c r="J109" s="35" t="s">
        <v>533</v>
      </c>
      <c r="K109" s="34"/>
      <c r="L109" s="34"/>
      <c r="M109" s="36"/>
      <c r="N109" s="36"/>
      <c r="O109" s="37" t="s">
        <v>32</v>
      </c>
      <c r="P109" s="38" t="str">
        <f t="shared" si="2"/>
        <v>BLANCA YAZMIN    VAZQUEZ    MEDINA</v>
      </c>
      <c r="Q109" s="35" t="s">
        <v>533</v>
      </c>
      <c r="R109" s="39" t="str">
        <f t="shared" si="3"/>
        <v/>
      </c>
      <c r="S109" s="40"/>
      <c r="T109" s="40"/>
      <c r="U109" s="40"/>
      <c r="V109" s="40"/>
      <c r="W109" s="40"/>
    </row>
    <row r="110" spans="1:23" x14ac:dyDescent="0.25">
      <c r="A110" s="34">
        <v>65</v>
      </c>
      <c r="B110" s="35">
        <v>10003661</v>
      </c>
      <c r="C110" s="35" t="s">
        <v>68</v>
      </c>
      <c r="D110" s="35">
        <v>10003661</v>
      </c>
      <c r="E110" s="35" t="s">
        <v>534</v>
      </c>
      <c r="F110" s="35" t="s">
        <v>535</v>
      </c>
      <c r="G110" s="35" t="s">
        <v>473</v>
      </c>
      <c r="H110" s="35" t="s">
        <v>536</v>
      </c>
      <c r="I110" s="35">
        <v>30097436</v>
      </c>
      <c r="J110" s="35" t="s">
        <v>537</v>
      </c>
      <c r="K110" s="34"/>
      <c r="L110" s="34"/>
      <c r="M110" s="36"/>
      <c r="N110" s="36"/>
      <c r="O110" s="37" t="s">
        <v>32</v>
      </c>
      <c r="P110" s="38" t="str">
        <f t="shared" si="2"/>
        <v>VALERIA    CECCOPIERI    GODINEZ</v>
      </c>
      <c r="Q110" s="35" t="s">
        <v>537</v>
      </c>
      <c r="R110" s="39" t="str">
        <f t="shared" si="3"/>
        <v/>
      </c>
      <c r="S110" s="40"/>
      <c r="T110" s="40"/>
      <c r="U110" s="40"/>
      <c r="V110" s="40"/>
      <c r="W110" s="40"/>
    </row>
    <row r="111" spans="1:23" x14ac:dyDescent="0.25">
      <c r="A111" s="34">
        <v>66</v>
      </c>
      <c r="B111" s="35">
        <v>10003661</v>
      </c>
      <c r="C111" s="35" t="s">
        <v>68</v>
      </c>
      <c r="D111" s="35">
        <v>10003661</v>
      </c>
      <c r="E111" s="35" t="s">
        <v>538</v>
      </c>
      <c r="F111" s="35" t="s">
        <v>539</v>
      </c>
      <c r="G111" s="35" t="s">
        <v>167</v>
      </c>
      <c r="H111" s="35" t="s">
        <v>540</v>
      </c>
      <c r="I111" s="35">
        <v>30097438</v>
      </c>
      <c r="J111" s="35" t="s">
        <v>537</v>
      </c>
      <c r="K111" s="34"/>
      <c r="L111" s="34"/>
      <c r="M111" s="36"/>
      <c r="N111" s="36"/>
      <c r="O111" s="37" t="s">
        <v>32</v>
      </c>
      <c r="P111" s="38" t="str">
        <f t="shared" si="2"/>
        <v>JOSE ANTONIO    JUAREZ    RIVERA</v>
      </c>
      <c r="Q111" s="35" t="s">
        <v>537</v>
      </c>
      <c r="R111" s="39"/>
      <c r="S111" s="40"/>
      <c r="T111" s="40"/>
      <c r="U111" s="40"/>
      <c r="V111" s="40"/>
      <c r="W111" s="40"/>
    </row>
    <row r="112" spans="1:23" x14ac:dyDescent="0.25">
      <c r="A112" s="34">
        <v>67</v>
      </c>
      <c r="B112" s="35">
        <v>10003653</v>
      </c>
      <c r="C112" s="35" t="s">
        <v>61</v>
      </c>
      <c r="D112" s="35">
        <v>10003653</v>
      </c>
      <c r="E112" s="35" t="s">
        <v>541</v>
      </c>
      <c r="F112" s="35" t="s">
        <v>542</v>
      </c>
      <c r="G112" s="35" t="s">
        <v>543</v>
      </c>
      <c r="H112" s="35" t="s">
        <v>544</v>
      </c>
      <c r="I112" s="35">
        <v>30097440</v>
      </c>
      <c r="J112" s="35" t="s">
        <v>545</v>
      </c>
      <c r="K112" s="34"/>
      <c r="L112" s="34"/>
      <c r="M112" s="36"/>
      <c r="N112" s="36"/>
      <c r="O112" s="37" t="s">
        <v>32</v>
      </c>
      <c r="P112" s="38" t="str">
        <f t="shared" si="2"/>
        <v>DANIEL MAXIMINO    CANCHOLA    MURGUIA</v>
      </c>
      <c r="Q112" s="35" t="s">
        <v>545</v>
      </c>
      <c r="R112" s="39" t="str">
        <f t="shared" ref="R112:R129" si="4">CONCATENATE(N112,M112,L138)</f>
        <v/>
      </c>
      <c r="S112" s="40"/>
      <c r="T112" s="40"/>
      <c r="U112" s="40"/>
      <c r="V112" s="40"/>
      <c r="W112" s="40"/>
    </row>
    <row r="113" spans="1:23" x14ac:dyDescent="0.25">
      <c r="A113" s="34">
        <v>68</v>
      </c>
      <c r="B113" s="35">
        <v>10003655</v>
      </c>
      <c r="C113" s="35" t="s">
        <v>220</v>
      </c>
      <c r="D113" s="35">
        <v>10003655</v>
      </c>
      <c r="E113" s="35" t="s">
        <v>546</v>
      </c>
      <c r="F113" s="35" t="s">
        <v>354</v>
      </c>
      <c r="G113" s="35" t="s">
        <v>547</v>
      </c>
      <c r="H113" s="35" t="s">
        <v>548</v>
      </c>
      <c r="I113" s="35">
        <v>30097441</v>
      </c>
      <c r="J113" s="35" t="s">
        <v>549</v>
      </c>
      <c r="K113" s="34"/>
      <c r="L113" s="34"/>
      <c r="M113" s="36"/>
      <c r="N113" s="36"/>
      <c r="O113" s="37" t="s">
        <v>32</v>
      </c>
      <c r="P113" s="38" t="str">
        <f t="shared" si="2"/>
        <v>OSCAR LEONARDO    OROZCO    TURRUBIATES</v>
      </c>
      <c r="Q113" s="35" t="s">
        <v>549</v>
      </c>
      <c r="R113" s="39" t="str">
        <f t="shared" si="4"/>
        <v/>
      </c>
      <c r="S113" s="40"/>
      <c r="T113" s="40"/>
      <c r="U113" s="40"/>
      <c r="V113" s="40"/>
      <c r="W113" s="40"/>
    </row>
    <row r="114" spans="1:23" x14ac:dyDescent="0.25">
      <c r="A114" s="34">
        <v>69</v>
      </c>
      <c r="B114" s="35">
        <v>10003662</v>
      </c>
      <c r="C114" s="35" t="s">
        <v>88</v>
      </c>
      <c r="D114" s="35">
        <v>10003662</v>
      </c>
      <c r="E114" s="35" t="s">
        <v>550</v>
      </c>
      <c r="F114" s="35" t="s">
        <v>551</v>
      </c>
      <c r="G114" s="35" t="s">
        <v>552</v>
      </c>
      <c r="H114" s="35" t="s">
        <v>553</v>
      </c>
      <c r="I114" s="35">
        <v>30097442</v>
      </c>
      <c r="J114" s="35" t="s">
        <v>312</v>
      </c>
      <c r="K114" s="34"/>
      <c r="L114" s="34"/>
      <c r="M114" s="36"/>
      <c r="N114" s="36"/>
      <c r="O114" s="37" t="s">
        <v>32</v>
      </c>
      <c r="P114" s="38" t="str">
        <f t="shared" si="2"/>
        <v>MARIA GUADALUPE    GUERRERO    ISAIS</v>
      </c>
      <c r="Q114" s="35" t="s">
        <v>312</v>
      </c>
      <c r="R114" s="39" t="str">
        <f t="shared" si="4"/>
        <v/>
      </c>
      <c r="S114" s="40"/>
      <c r="T114" s="40"/>
      <c r="U114" s="40"/>
      <c r="V114" s="40"/>
      <c r="W114" s="40"/>
    </row>
    <row r="115" spans="1:23" x14ac:dyDescent="0.25">
      <c r="A115" s="34">
        <v>70</v>
      </c>
      <c r="B115" s="35">
        <v>10003662</v>
      </c>
      <c r="C115" s="35" t="s">
        <v>88</v>
      </c>
      <c r="D115" s="35">
        <v>10003662</v>
      </c>
      <c r="E115" s="35" t="s">
        <v>554</v>
      </c>
      <c r="F115" s="35" t="s">
        <v>555</v>
      </c>
      <c r="G115" s="35" t="s">
        <v>556</v>
      </c>
      <c r="H115" s="35" t="s">
        <v>557</v>
      </c>
      <c r="I115" s="35">
        <v>30097443</v>
      </c>
      <c r="J115" s="35" t="s">
        <v>558</v>
      </c>
      <c r="K115" s="34"/>
      <c r="L115" s="34"/>
      <c r="M115" s="36"/>
      <c r="N115" s="36"/>
      <c r="O115" s="37" t="s">
        <v>32</v>
      </c>
      <c r="P115" s="38" t="str">
        <f t="shared" si="2"/>
        <v>CLAUDIA CRISTINA    SANDI    GARCÍA</v>
      </c>
      <c r="Q115" s="35" t="s">
        <v>558</v>
      </c>
      <c r="R115" s="39" t="str">
        <f t="shared" si="4"/>
        <v/>
      </c>
      <c r="S115" s="40"/>
      <c r="T115" s="40"/>
      <c r="U115" s="40"/>
      <c r="V115" s="40"/>
      <c r="W115" s="40"/>
    </row>
    <row r="116" spans="1:23" x14ac:dyDescent="0.25">
      <c r="A116" s="34">
        <v>71</v>
      </c>
      <c r="B116" s="35">
        <v>10003653</v>
      </c>
      <c r="C116" s="35" t="s">
        <v>61</v>
      </c>
      <c r="D116" s="35">
        <v>10003653</v>
      </c>
      <c r="E116" s="35" t="s">
        <v>559</v>
      </c>
      <c r="F116" s="35" t="s">
        <v>560</v>
      </c>
      <c r="G116" s="35" t="s">
        <v>561</v>
      </c>
      <c r="H116" s="35" t="s">
        <v>562</v>
      </c>
      <c r="I116" s="35">
        <v>30097444</v>
      </c>
      <c r="J116" s="35" t="s">
        <v>563</v>
      </c>
      <c r="K116" s="34"/>
      <c r="L116" s="34"/>
      <c r="M116" s="36"/>
      <c r="N116" s="36"/>
      <c r="O116" s="37" t="s">
        <v>32</v>
      </c>
      <c r="P116" s="38" t="str">
        <f t="shared" si="2"/>
        <v>JENIFFER IRAZU    MUÑIZ    ZAMUDIO</v>
      </c>
      <c r="Q116" s="35" t="s">
        <v>563</v>
      </c>
      <c r="R116" s="39" t="str">
        <f t="shared" si="4"/>
        <v/>
      </c>
      <c r="S116" s="40"/>
      <c r="T116" s="40"/>
      <c r="U116" s="40"/>
      <c r="V116" s="40"/>
      <c r="W116" s="40"/>
    </row>
    <row r="117" spans="1:23" x14ac:dyDescent="0.25">
      <c r="A117" s="34">
        <v>72</v>
      </c>
      <c r="B117" s="35">
        <v>10003653</v>
      </c>
      <c r="C117" s="35" t="s">
        <v>61</v>
      </c>
      <c r="D117" s="35">
        <v>10003653</v>
      </c>
      <c r="E117" s="35" t="s">
        <v>564</v>
      </c>
      <c r="F117" s="35" t="s">
        <v>424</v>
      </c>
      <c r="G117" s="35" t="s">
        <v>565</v>
      </c>
      <c r="H117" s="35" t="s">
        <v>566</v>
      </c>
      <c r="I117" s="35">
        <v>30097445</v>
      </c>
      <c r="J117" s="35" t="s">
        <v>567</v>
      </c>
      <c r="K117" s="34"/>
      <c r="L117" s="34"/>
      <c r="M117" s="36"/>
      <c r="N117" s="36"/>
      <c r="O117" s="37" t="s">
        <v>32</v>
      </c>
      <c r="P117" s="38" t="str">
        <f t="shared" si="2"/>
        <v>HUGO    RAMIREZ    DUARTE</v>
      </c>
      <c r="Q117" s="35" t="s">
        <v>567</v>
      </c>
      <c r="R117" s="39" t="str">
        <f t="shared" si="4"/>
        <v/>
      </c>
      <c r="S117" s="40"/>
      <c r="T117" s="40"/>
      <c r="U117" s="40"/>
      <c r="V117" s="40"/>
      <c r="W117" s="40"/>
    </row>
    <row r="118" spans="1:23" x14ac:dyDescent="0.25">
      <c r="A118" s="34">
        <v>73</v>
      </c>
      <c r="B118" s="35">
        <v>10003653</v>
      </c>
      <c r="C118" s="35" t="s">
        <v>61</v>
      </c>
      <c r="D118" s="35">
        <v>10003653</v>
      </c>
      <c r="E118" s="35" t="s">
        <v>568</v>
      </c>
      <c r="F118" s="35" t="s">
        <v>569</v>
      </c>
      <c r="G118" s="35" t="s">
        <v>570</v>
      </c>
      <c r="H118" s="35" t="s">
        <v>571</v>
      </c>
      <c r="I118" s="35">
        <v>30097446</v>
      </c>
      <c r="J118" s="35" t="s">
        <v>572</v>
      </c>
      <c r="K118" s="34"/>
      <c r="L118" s="34"/>
      <c r="M118" s="36"/>
      <c r="N118" s="36"/>
      <c r="O118" s="37" t="s">
        <v>32</v>
      </c>
      <c r="P118" s="38" t="str">
        <f t="shared" si="2"/>
        <v>MAURICIO ARATT    JACINTO    QUIROZ</v>
      </c>
      <c r="Q118" s="35" t="s">
        <v>572</v>
      </c>
      <c r="R118" s="39" t="str">
        <f t="shared" si="4"/>
        <v/>
      </c>
      <c r="S118" s="40"/>
      <c r="T118" s="40"/>
      <c r="U118" s="40"/>
      <c r="V118" s="40"/>
      <c r="W118" s="40"/>
    </row>
    <row r="119" spans="1:23" x14ac:dyDescent="0.25">
      <c r="A119" s="34">
        <v>74</v>
      </c>
      <c r="B119" s="35">
        <v>10003656</v>
      </c>
      <c r="C119" s="35" t="s">
        <v>133</v>
      </c>
      <c r="D119" s="35">
        <v>10003656</v>
      </c>
      <c r="E119" s="35" t="s">
        <v>573</v>
      </c>
      <c r="F119" s="35" t="s">
        <v>574</v>
      </c>
      <c r="G119" s="35" t="s">
        <v>575</v>
      </c>
      <c r="H119" s="35" t="s">
        <v>576</v>
      </c>
      <c r="I119" s="35">
        <v>30098085</v>
      </c>
      <c r="J119" s="35" t="s">
        <v>191</v>
      </c>
      <c r="K119" s="34"/>
      <c r="L119" s="34"/>
      <c r="M119" s="36"/>
      <c r="N119" s="36"/>
      <c r="O119" s="37" t="s">
        <v>32</v>
      </c>
      <c r="P119" s="38" t="str">
        <f t="shared" si="2"/>
        <v>TANIA MARIELA    LUNA    CHAGOYA</v>
      </c>
      <c r="Q119" s="35" t="s">
        <v>191</v>
      </c>
      <c r="R119" s="39" t="str">
        <f t="shared" si="4"/>
        <v/>
      </c>
      <c r="S119" s="40"/>
      <c r="T119" s="40"/>
      <c r="U119" s="40"/>
      <c r="V119" s="40"/>
      <c r="W119" s="40"/>
    </row>
    <row r="120" spans="1:23" x14ac:dyDescent="0.25">
      <c r="A120" s="34">
        <v>75</v>
      </c>
      <c r="B120" s="35">
        <v>10003655</v>
      </c>
      <c r="C120" s="35" t="s">
        <v>220</v>
      </c>
      <c r="D120" s="35">
        <v>10003655</v>
      </c>
      <c r="E120" s="35" t="s">
        <v>577</v>
      </c>
      <c r="F120" s="35" t="s">
        <v>578</v>
      </c>
      <c r="G120" s="35" t="s">
        <v>117</v>
      </c>
      <c r="H120" s="35" t="s">
        <v>579</v>
      </c>
      <c r="I120" s="35">
        <v>30098089</v>
      </c>
      <c r="J120" s="35" t="s">
        <v>580</v>
      </c>
      <c r="K120" s="34"/>
      <c r="L120" s="34"/>
      <c r="M120" s="36"/>
      <c r="N120" s="36"/>
      <c r="O120" s="37" t="s">
        <v>32</v>
      </c>
      <c r="P120" s="38" t="str">
        <f t="shared" si="2"/>
        <v>ATENEA    MORALES    MENDOZA</v>
      </c>
      <c r="Q120" s="35" t="s">
        <v>580</v>
      </c>
      <c r="R120" s="39" t="str">
        <f t="shared" si="4"/>
        <v/>
      </c>
      <c r="S120" s="40"/>
      <c r="T120" s="40"/>
      <c r="U120" s="40"/>
      <c r="V120" s="40"/>
      <c r="W120" s="40"/>
    </row>
    <row r="121" spans="1:23" x14ac:dyDescent="0.25">
      <c r="A121" s="34">
        <v>76</v>
      </c>
      <c r="B121" s="35">
        <v>10003655</v>
      </c>
      <c r="C121" s="35" t="s">
        <v>220</v>
      </c>
      <c r="D121" s="35">
        <v>10003655</v>
      </c>
      <c r="E121" s="35" t="s">
        <v>581</v>
      </c>
      <c r="F121" s="35" t="s">
        <v>424</v>
      </c>
      <c r="G121" s="35" t="s">
        <v>117</v>
      </c>
      <c r="H121" s="35" t="s">
        <v>582</v>
      </c>
      <c r="I121" s="35">
        <v>30098090</v>
      </c>
      <c r="J121" s="35" t="s">
        <v>583</v>
      </c>
      <c r="K121" s="34"/>
      <c r="L121" s="34"/>
      <c r="M121" s="36"/>
      <c r="N121" s="36"/>
      <c r="O121" s="37" t="s">
        <v>32</v>
      </c>
      <c r="P121" s="38" t="str">
        <f t="shared" si="2"/>
        <v>LESLIE ANDREA    RAMIREZ    MENDOZA</v>
      </c>
      <c r="Q121" s="35" t="s">
        <v>583</v>
      </c>
      <c r="R121" s="39" t="str">
        <f t="shared" si="4"/>
        <v/>
      </c>
      <c r="S121" s="40"/>
      <c r="T121" s="40"/>
      <c r="U121" s="40"/>
      <c r="V121" s="40"/>
      <c r="W121" s="40"/>
    </row>
    <row r="122" spans="1:23" x14ac:dyDescent="0.25">
      <c r="A122" s="34">
        <v>77</v>
      </c>
      <c r="B122" s="35">
        <v>10003661</v>
      </c>
      <c r="C122" s="35" t="s">
        <v>68</v>
      </c>
      <c r="D122" s="35">
        <v>10003661</v>
      </c>
      <c r="E122" s="35" t="s">
        <v>584</v>
      </c>
      <c r="F122" s="35" t="s">
        <v>585</v>
      </c>
      <c r="G122" s="35" t="s">
        <v>368</v>
      </c>
      <c r="H122" s="35" t="s">
        <v>586</v>
      </c>
      <c r="I122" s="35">
        <v>30098092</v>
      </c>
      <c r="J122" s="35" t="s">
        <v>587</v>
      </c>
      <c r="K122" s="34"/>
      <c r="L122" s="34"/>
      <c r="M122" s="36"/>
      <c r="N122" s="36"/>
      <c r="O122" s="37" t="s">
        <v>32</v>
      </c>
      <c r="P122" s="38" t="str">
        <f t="shared" si="2"/>
        <v>ANA RUTH    ANGEL    ROMERO</v>
      </c>
      <c r="Q122" s="35" t="s">
        <v>587</v>
      </c>
      <c r="R122" s="39" t="str">
        <f t="shared" si="4"/>
        <v/>
      </c>
      <c r="S122" s="40"/>
      <c r="T122" s="40"/>
      <c r="U122" s="40"/>
      <c r="V122" s="40"/>
      <c r="W122" s="40"/>
    </row>
    <row r="123" spans="1:23" x14ac:dyDescent="0.25">
      <c r="A123" s="34">
        <v>78</v>
      </c>
      <c r="B123" s="35">
        <v>10003659</v>
      </c>
      <c r="C123" s="35" t="s">
        <v>22</v>
      </c>
      <c r="D123" s="35">
        <v>10003659</v>
      </c>
      <c r="E123" s="35" t="s">
        <v>588</v>
      </c>
      <c r="F123" s="35" t="s">
        <v>64</v>
      </c>
      <c r="G123" s="35" t="s">
        <v>589</v>
      </c>
      <c r="H123" s="35" t="s">
        <v>590</v>
      </c>
      <c r="I123" s="35">
        <v>30098557</v>
      </c>
      <c r="J123" s="35" t="s">
        <v>591</v>
      </c>
      <c r="K123" s="34"/>
      <c r="L123" s="34"/>
      <c r="M123" s="36"/>
      <c r="N123" s="36"/>
      <c r="O123" s="37" t="s">
        <v>32</v>
      </c>
      <c r="P123" s="38" t="str">
        <f t="shared" si="2"/>
        <v>ESTEFANIA    LOPEZ    ARREOLA</v>
      </c>
      <c r="Q123" s="35" t="s">
        <v>591</v>
      </c>
      <c r="R123" s="39" t="str">
        <f t="shared" si="4"/>
        <v/>
      </c>
      <c r="S123" s="40"/>
      <c r="T123" s="40"/>
      <c r="U123" s="40"/>
      <c r="V123" s="40"/>
      <c r="W123" s="40"/>
    </row>
    <row r="124" spans="1:23" x14ac:dyDescent="0.25">
      <c r="A124" s="34">
        <v>79</v>
      </c>
      <c r="B124" s="35">
        <v>10003656</v>
      </c>
      <c r="C124" s="35" t="s">
        <v>133</v>
      </c>
      <c r="D124" s="35">
        <v>10003656</v>
      </c>
      <c r="E124" s="35" t="s">
        <v>592</v>
      </c>
      <c r="F124" s="35" t="s">
        <v>397</v>
      </c>
      <c r="G124" s="35" t="s">
        <v>593</v>
      </c>
      <c r="H124" s="35" t="s">
        <v>594</v>
      </c>
      <c r="I124" s="35">
        <v>30098586</v>
      </c>
      <c r="J124" s="35" t="s">
        <v>191</v>
      </c>
      <c r="K124" s="34"/>
      <c r="L124" s="34"/>
      <c r="M124" s="36"/>
      <c r="N124" s="36"/>
      <c r="O124" s="37" t="s">
        <v>32</v>
      </c>
      <c r="P124" s="38" t="str">
        <f t="shared" si="2"/>
        <v>ANDREA DASHA    ZUÑIGA    EMBRIZ</v>
      </c>
      <c r="Q124" s="35" t="s">
        <v>191</v>
      </c>
      <c r="R124" s="39" t="str">
        <f t="shared" si="4"/>
        <v/>
      </c>
      <c r="S124" s="40"/>
      <c r="T124" s="40"/>
      <c r="U124" s="40"/>
      <c r="V124" s="40"/>
      <c r="W124" s="40"/>
    </row>
    <row r="125" spans="1:23" x14ac:dyDescent="0.25">
      <c r="A125" s="34">
        <v>80</v>
      </c>
      <c r="B125" s="35">
        <v>10003663</v>
      </c>
      <c r="C125" s="35" t="s">
        <v>224</v>
      </c>
      <c r="D125" s="35">
        <v>10003663</v>
      </c>
      <c r="E125" s="35" t="s">
        <v>595</v>
      </c>
      <c r="F125" s="35" t="s">
        <v>596</v>
      </c>
      <c r="G125" s="35" t="s">
        <v>189</v>
      </c>
      <c r="H125" s="35" t="s">
        <v>597</v>
      </c>
      <c r="I125" s="35">
        <v>30098841</v>
      </c>
      <c r="J125" s="35" t="s">
        <v>598</v>
      </c>
      <c r="K125" s="34"/>
      <c r="L125" s="34"/>
      <c r="M125" s="36"/>
      <c r="N125" s="36"/>
      <c r="O125" s="37" t="s">
        <v>32</v>
      </c>
      <c r="P125" s="38" t="str">
        <f t="shared" si="2"/>
        <v>CHRISTIAN ANGELICA ADELA    PORRAS    AVILA</v>
      </c>
      <c r="Q125" s="35" t="s">
        <v>598</v>
      </c>
      <c r="R125" s="39" t="str">
        <f t="shared" si="4"/>
        <v/>
      </c>
      <c r="S125" s="40"/>
      <c r="T125" s="40"/>
      <c r="U125" s="40"/>
      <c r="V125" s="40"/>
      <c r="W125" s="40"/>
    </row>
    <row r="126" spans="1:23" x14ac:dyDescent="0.25">
      <c r="A126" s="34">
        <v>81</v>
      </c>
      <c r="B126" s="35">
        <v>10003660</v>
      </c>
      <c r="C126" s="35" t="s">
        <v>95</v>
      </c>
      <c r="D126" s="35">
        <v>10003660</v>
      </c>
      <c r="E126" s="35" t="s">
        <v>599</v>
      </c>
      <c r="F126" s="35" t="s">
        <v>578</v>
      </c>
      <c r="G126" s="35" t="s">
        <v>107</v>
      </c>
      <c r="H126" s="35" t="s">
        <v>600</v>
      </c>
      <c r="I126" s="35">
        <v>30101680</v>
      </c>
      <c r="J126" s="35" t="s">
        <v>601</v>
      </c>
      <c r="K126" s="34"/>
      <c r="L126" s="34"/>
      <c r="M126" s="36"/>
      <c r="N126" s="36"/>
      <c r="O126" s="37" t="s">
        <v>32</v>
      </c>
      <c r="P126" s="38" t="str">
        <f t="shared" si="2"/>
        <v>ILEANA    MORALES    GONZALEZ</v>
      </c>
      <c r="Q126" s="35" t="s">
        <v>601</v>
      </c>
      <c r="R126" s="39" t="str">
        <f t="shared" si="4"/>
        <v/>
      </c>
      <c r="S126" s="40"/>
      <c r="T126" s="40"/>
      <c r="U126" s="40"/>
      <c r="V126" s="40"/>
      <c r="W126" s="40"/>
    </row>
    <row r="127" spans="1:23" x14ac:dyDescent="0.25">
      <c r="A127" s="34">
        <v>82</v>
      </c>
      <c r="B127" s="35">
        <v>10003660</v>
      </c>
      <c r="C127" s="35" t="s">
        <v>95</v>
      </c>
      <c r="D127" s="35">
        <v>10003660</v>
      </c>
      <c r="E127" s="35" t="s">
        <v>602</v>
      </c>
      <c r="F127" s="35" t="s">
        <v>215</v>
      </c>
      <c r="G127" s="35" t="s">
        <v>377</v>
      </c>
      <c r="H127" s="35" t="s">
        <v>603</v>
      </c>
      <c r="I127" s="35">
        <v>30101681</v>
      </c>
      <c r="J127" s="35" t="s">
        <v>604</v>
      </c>
      <c r="K127" s="34"/>
      <c r="L127" s="34"/>
      <c r="M127" s="36"/>
      <c r="N127" s="36"/>
      <c r="O127" s="37" t="s">
        <v>32</v>
      </c>
      <c r="P127" s="38" t="str">
        <f t="shared" si="2"/>
        <v>JULIO CESAR    AGUILAR    JIMENEZ</v>
      </c>
      <c r="Q127" s="35" t="s">
        <v>604</v>
      </c>
      <c r="R127" s="39" t="str">
        <f t="shared" si="4"/>
        <v/>
      </c>
      <c r="S127" s="40"/>
      <c r="T127" s="40"/>
      <c r="U127" s="40"/>
      <c r="V127" s="40"/>
      <c r="W127" s="40"/>
    </row>
    <row r="128" spans="1:23" x14ac:dyDescent="0.25">
      <c r="A128" s="34">
        <v>83</v>
      </c>
      <c r="B128" s="35">
        <v>10003660</v>
      </c>
      <c r="C128" s="35" t="s">
        <v>95</v>
      </c>
      <c r="D128" s="35">
        <v>10003660</v>
      </c>
      <c r="E128" s="35" t="s">
        <v>605</v>
      </c>
      <c r="F128" s="35" t="s">
        <v>606</v>
      </c>
      <c r="G128" s="35" t="s">
        <v>607</v>
      </c>
      <c r="H128" s="35" t="s">
        <v>608</v>
      </c>
      <c r="I128" s="35">
        <v>30101682</v>
      </c>
      <c r="J128" s="35" t="s">
        <v>609</v>
      </c>
      <c r="K128" s="34"/>
      <c r="L128" s="34"/>
      <c r="M128" s="36"/>
      <c r="N128" s="36"/>
      <c r="O128" s="37" t="s">
        <v>32</v>
      </c>
      <c r="P128" s="38" t="str">
        <f t="shared" si="2"/>
        <v>MIGUEL ANGEL    PRO    BUZ</v>
      </c>
      <c r="Q128" s="35" t="s">
        <v>609</v>
      </c>
      <c r="R128" s="39" t="str">
        <f t="shared" si="4"/>
        <v/>
      </c>
      <c r="S128" s="40"/>
      <c r="T128" s="40"/>
      <c r="U128" s="40"/>
      <c r="V128" s="40"/>
      <c r="W128" s="40"/>
    </row>
    <row r="129" spans="1:23" x14ac:dyDescent="0.25">
      <c r="A129" s="34">
        <v>84</v>
      </c>
      <c r="B129" s="35">
        <v>10003660</v>
      </c>
      <c r="C129" s="35" t="s">
        <v>95</v>
      </c>
      <c r="D129" s="35">
        <v>10003660</v>
      </c>
      <c r="E129" s="35" t="s">
        <v>610</v>
      </c>
      <c r="F129" s="35" t="s">
        <v>50</v>
      </c>
      <c r="G129" s="35" t="s">
        <v>235</v>
      </c>
      <c r="H129" s="35" t="s">
        <v>611</v>
      </c>
      <c r="I129" s="35">
        <v>30101683</v>
      </c>
      <c r="J129" s="35" t="s">
        <v>612</v>
      </c>
      <c r="K129" s="34"/>
      <c r="L129" s="34"/>
      <c r="M129" s="36"/>
      <c r="N129" s="36"/>
      <c r="O129" s="37" t="s">
        <v>32</v>
      </c>
      <c r="P129" s="38" t="str">
        <f t="shared" si="2"/>
        <v>KAREN SARAHÍ    MARTINEZ    HERNANDEZ</v>
      </c>
      <c r="Q129" s="35" t="s">
        <v>612</v>
      </c>
      <c r="R129" s="39" t="str">
        <f t="shared" si="4"/>
        <v/>
      </c>
      <c r="S129" s="40"/>
      <c r="T129" s="40"/>
      <c r="U129" s="40"/>
      <c r="V129" s="40"/>
      <c r="W129" s="40"/>
    </row>
    <row r="130" spans="1:23" x14ac:dyDescent="0.25">
      <c r="A130" s="40"/>
      <c r="B130" s="35">
        <v>10003657</v>
      </c>
      <c r="C130" s="35" t="s">
        <v>213</v>
      </c>
      <c r="D130" s="35">
        <v>10003657</v>
      </c>
      <c r="E130" s="35" t="s">
        <v>613</v>
      </c>
      <c r="F130" s="35" t="s">
        <v>614</v>
      </c>
      <c r="G130" s="35" t="s">
        <v>615</v>
      </c>
      <c r="H130" s="35" t="s">
        <v>616</v>
      </c>
      <c r="I130" s="35">
        <v>30104981</v>
      </c>
      <c r="J130" s="35" t="s">
        <v>617</v>
      </c>
      <c r="K130" s="40"/>
      <c r="L130" s="40"/>
      <c r="M130" s="36"/>
      <c r="N130" s="36"/>
      <c r="O130" s="37" t="s">
        <v>32</v>
      </c>
      <c r="P130" s="38" t="str">
        <f t="shared" si="2"/>
        <v>PAULO    YAÑEZ    QUINTERO</v>
      </c>
      <c r="Q130" s="35" t="s">
        <v>617</v>
      </c>
      <c r="R130" s="40"/>
      <c r="S130" s="40"/>
      <c r="T130" s="40"/>
      <c r="U130" s="40"/>
      <c r="V130" s="40"/>
      <c r="W130" s="40"/>
    </row>
    <row r="131" spans="1:23" x14ac:dyDescent="0.25">
      <c r="A131" s="40"/>
      <c r="B131" s="35">
        <v>10003653</v>
      </c>
      <c r="C131" s="35" t="s">
        <v>61</v>
      </c>
      <c r="D131" s="35">
        <v>10003653</v>
      </c>
      <c r="E131" s="35" t="s">
        <v>89</v>
      </c>
      <c r="F131" s="35" t="s">
        <v>618</v>
      </c>
      <c r="G131" s="35" t="s">
        <v>167</v>
      </c>
      <c r="H131" s="35" t="s">
        <v>619</v>
      </c>
      <c r="I131" s="35">
        <v>30104982</v>
      </c>
      <c r="J131" s="35" t="s">
        <v>620</v>
      </c>
      <c r="K131" s="40"/>
      <c r="L131" s="40"/>
      <c r="M131" s="36"/>
      <c r="N131" s="36"/>
      <c r="O131" s="37" t="s">
        <v>32</v>
      </c>
      <c r="P131" s="38" t="str">
        <f t="shared" ref="P131:P137" si="5">CONCATENATE(E131,"    ",F131,"    ",G131)</f>
        <v>ADRIANA    RUIZ    RIVERA</v>
      </c>
      <c r="Q131" s="35" t="s">
        <v>620</v>
      </c>
      <c r="R131" s="40"/>
      <c r="S131" s="40"/>
      <c r="T131" s="40"/>
      <c r="U131" s="40"/>
      <c r="V131" s="40"/>
      <c r="W131" s="40"/>
    </row>
    <row r="132" spans="1:23" x14ac:dyDescent="0.25">
      <c r="A132" s="40"/>
      <c r="B132" s="35">
        <v>10003660</v>
      </c>
      <c r="C132" s="35" t="s">
        <v>95</v>
      </c>
      <c r="D132" s="35">
        <v>10003660</v>
      </c>
      <c r="E132" s="35" t="s">
        <v>497</v>
      </c>
      <c r="F132" s="35" t="s">
        <v>621</v>
      </c>
      <c r="G132" s="35" t="s">
        <v>622</v>
      </c>
      <c r="H132" s="35" t="s">
        <v>623</v>
      </c>
      <c r="I132" s="35">
        <v>30104983</v>
      </c>
      <c r="J132" s="35" t="s">
        <v>624</v>
      </c>
      <c r="K132" s="40"/>
      <c r="L132" s="40"/>
      <c r="M132" s="36"/>
      <c r="N132" s="40"/>
      <c r="O132" s="37" t="s">
        <v>32</v>
      </c>
      <c r="P132" s="38" t="str">
        <f t="shared" si="5"/>
        <v>JUAN CARLOS    RUIZ SANTOSCOY    ZAMORA</v>
      </c>
      <c r="Q132" s="35" t="s">
        <v>624</v>
      </c>
      <c r="R132" s="40"/>
      <c r="S132" s="40"/>
      <c r="T132" s="40"/>
      <c r="U132" s="40"/>
      <c r="V132" s="40"/>
      <c r="W132" s="40"/>
    </row>
    <row r="133" spans="1:23" x14ac:dyDescent="0.25">
      <c r="A133" s="40"/>
      <c r="B133" s="35">
        <v>10003659</v>
      </c>
      <c r="C133" s="35" t="s">
        <v>22</v>
      </c>
      <c r="D133" s="35">
        <v>10003659</v>
      </c>
      <c r="E133" s="35" t="s">
        <v>625</v>
      </c>
      <c r="F133" s="35" t="s">
        <v>626</v>
      </c>
      <c r="G133" s="35" t="s">
        <v>235</v>
      </c>
      <c r="H133" s="35" t="s">
        <v>627</v>
      </c>
      <c r="I133" s="35">
        <v>30105037</v>
      </c>
      <c r="J133" s="35" t="s">
        <v>628</v>
      </c>
      <c r="K133" s="40"/>
      <c r="L133" s="40"/>
      <c r="M133" s="36"/>
      <c r="N133" s="40"/>
      <c r="O133" s="37" t="s">
        <v>32</v>
      </c>
      <c r="P133" s="38" t="str">
        <f t="shared" si="5"/>
        <v>LORENZO EDSON    BUENO    HERNANDEZ</v>
      </c>
      <c r="Q133" s="35" t="s">
        <v>628</v>
      </c>
      <c r="R133" s="40"/>
      <c r="S133" s="40"/>
      <c r="T133" s="40"/>
      <c r="U133" s="40"/>
      <c r="V133" s="40"/>
      <c r="W133" s="40"/>
    </row>
    <row r="134" spans="1:23" x14ac:dyDescent="0.25">
      <c r="A134" s="40"/>
      <c r="B134" s="35">
        <v>10003653</v>
      </c>
      <c r="C134" s="35" t="s">
        <v>61</v>
      </c>
      <c r="D134" s="35">
        <v>10003653</v>
      </c>
      <c r="E134" s="35" t="s">
        <v>629</v>
      </c>
      <c r="F134" s="35" t="s">
        <v>262</v>
      </c>
      <c r="G134" s="35" t="s">
        <v>42</v>
      </c>
      <c r="H134" s="35" t="s">
        <v>630</v>
      </c>
      <c r="I134" s="35">
        <v>30105116</v>
      </c>
      <c r="J134" s="35" t="s">
        <v>631</v>
      </c>
      <c r="K134" s="40"/>
      <c r="L134" s="40"/>
      <c r="M134" s="36"/>
      <c r="N134" s="40"/>
      <c r="O134" s="37" t="s">
        <v>32</v>
      </c>
      <c r="P134" s="38" t="str">
        <f t="shared" si="5"/>
        <v>ALEJANDRO    ALVAREZ    GARCIA</v>
      </c>
      <c r="Q134" s="35" t="s">
        <v>631</v>
      </c>
      <c r="R134" s="40"/>
      <c r="S134" s="40"/>
      <c r="T134" s="40"/>
      <c r="U134" s="40"/>
      <c r="V134" s="40"/>
      <c r="W134" s="40"/>
    </row>
    <row r="135" spans="1:23" x14ac:dyDescent="0.25">
      <c r="A135" s="40"/>
      <c r="B135" s="35">
        <v>10003660</v>
      </c>
      <c r="C135" s="35" t="s">
        <v>95</v>
      </c>
      <c r="D135" s="35">
        <v>10003660</v>
      </c>
      <c r="E135" s="35" t="s">
        <v>629</v>
      </c>
      <c r="F135" s="35" t="s">
        <v>632</v>
      </c>
      <c r="G135" s="35" t="s">
        <v>633</v>
      </c>
      <c r="H135" s="35" t="s">
        <v>634</v>
      </c>
      <c r="I135" s="35">
        <v>30105117</v>
      </c>
      <c r="J135" s="35" t="s">
        <v>635</v>
      </c>
      <c r="K135" s="40"/>
      <c r="L135" s="40"/>
      <c r="M135" s="36"/>
      <c r="N135" s="40"/>
      <c r="O135" s="37" t="s">
        <v>32</v>
      </c>
      <c r="P135" s="38" t="str">
        <f t="shared" si="5"/>
        <v>ALEJANDRO    AYALA    SERRATO</v>
      </c>
      <c r="Q135" s="35" t="s">
        <v>635</v>
      </c>
      <c r="R135" s="40"/>
      <c r="S135" s="40"/>
      <c r="T135" s="40"/>
      <c r="U135" s="40"/>
      <c r="V135" s="40"/>
      <c r="W135" s="40"/>
    </row>
    <row r="136" spans="1:23" x14ac:dyDescent="0.25">
      <c r="A136" s="40"/>
      <c r="B136" s="35">
        <v>10003662</v>
      </c>
      <c r="C136" s="35" t="s">
        <v>88</v>
      </c>
      <c r="D136" s="35">
        <v>10003662</v>
      </c>
      <c r="E136" s="35" t="s">
        <v>636</v>
      </c>
      <c r="F136" s="35" t="s">
        <v>637</v>
      </c>
      <c r="G136" s="35" t="s">
        <v>235</v>
      </c>
      <c r="H136" s="35" t="s">
        <v>638</v>
      </c>
      <c r="I136" s="35">
        <v>30106227</v>
      </c>
      <c r="J136" s="35" t="s">
        <v>452</v>
      </c>
      <c r="K136" s="40"/>
      <c r="L136" s="40"/>
      <c r="M136" s="36"/>
      <c r="N136" s="40"/>
      <c r="O136" s="37" t="s">
        <v>32</v>
      </c>
      <c r="P136" s="38" t="str">
        <f t="shared" si="5"/>
        <v>MARIA DEL PILAR    CARRILLO    HERNANDEZ</v>
      </c>
      <c r="Q136" s="35" t="s">
        <v>452</v>
      </c>
      <c r="R136" s="40"/>
      <c r="S136" s="40"/>
      <c r="T136" s="40"/>
      <c r="U136" s="40"/>
      <c r="V136" s="40"/>
      <c r="W136" s="40"/>
    </row>
    <row r="137" spans="1:23" x14ac:dyDescent="0.25">
      <c r="A137" s="40"/>
      <c r="B137" s="35">
        <v>10003655</v>
      </c>
      <c r="C137" s="35" t="s">
        <v>220</v>
      </c>
      <c r="D137" s="35">
        <v>10003655</v>
      </c>
      <c r="E137" s="35" t="s">
        <v>639</v>
      </c>
      <c r="F137" s="35" t="s">
        <v>107</v>
      </c>
      <c r="G137" s="35" t="s">
        <v>640</v>
      </c>
      <c r="H137" s="35" t="s">
        <v>641</v>
      </c>
      <c r="I137" s="35">
        <v>30106793</v>
      </c>
      <c r="J137" s="35" t="s">
        <v>642</v>
      </c>
      <c r="K137" s="40"/>
      <c r="L137" s="40"/>
      <c r="M137" s="40"/>
      <c r="N137" s="40"/>
      <c r="O137" s="37" t="s">
        <v>32</v>
      </c>
      <c r="P137" s="38" t="str">
        <f t="shared" si="5"/>
        <v>SUSANA PATRICIA    GONZALEZ    AVIÑA</v>
      </c>
      <c r="Q137" s="35" t="s">
        <v>642</v>
      </c>
      <c r="R137" s="40"/>
      <c r="S137" s="40"/>
      <c r="T137" s="40"/>
      <c r="U137" s="40"/>
      <c r="V137" s="40"/>
      <c r="W137" s="40"/>
    </row>
  </sheetData>
  <mergeCells count="1">
    <mergeCell ref="E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308"/>
  <sheetViews>
    <sheetView topLeftCell="A2" zoomScale="80" zoomScaleNormal="80" workbookViewId="0">
      <selection activeCell="A2" sqref="A1:A1048576"/>
    </sheetView>
  </sheetViews>
  <sheetFormatPr baseColWidth="10" defaultColWidth="11.42578125" defaultRowHeight="26.25" x14ac:dyDescent="0.4"/>
  <cols>
    <col min="1" max="1" width="75.7109375" style="42" customWidth="1"/>
    <col min="2" max="2" width="8.85546875" style="1" bestFit="1" customWidth="1"/>
    <col min="3" max="3" width="128.140625" style="1" bestFit="1" customWidth="1"/>
    <col min="4" max="16384" width="11.42578125" style="1"/>
  </cols>
  <sheetData>
    <row r="1" spans="1:3" x14ac:dyDescent="0.4">
      <c r="B1" s="40" t="s">
        <v>643</v>
      </c>
      <c r="C1" s="40" t="s">
        <v>644</v>
      </c>
    </row>
    <row r="2" spans="1:3" x14ac:dyDescent="0.4">
      <c r="A2" s="42" t="s">
        <v>645</v>
      </c>
      <c r="B2" s="1">
        <f t="shared" ref="B2:B7" si="0">limpia(A2,1)</f>
        <v>2100</v>
      </c>
      <c r="C2" s="1" t="str">
        <f t="shared" ref="C2:C7" si="1">limpia(A2,2)</f>
        <v xml:space="preserve"> MATERIALES DE ADMINISTRACIÓN, EMISIÓN DE DOCUMENTOS Y ARTÍCULOS OFICIALES</v>
      </c>
    </row>
    <row r="3" spans="1:3" x14ac:dyDescent="0.4">
      <c r="A3" s="42" t="s">
        <v>646</v>
      </c>
      <c r="B3" s="1">
        <f t="shared" si="0"/>
        <v>2110</v>
      </c>
      <c r="C3" s="1" t="str">
        <f t="shared" si="1"/>
        <v xml:space="preserve"> Materiales, útiles y equipos menores de oficina</v>
      </c>
    </row>
    <row r="4" spans="1:3" x14ac:dyDescent="0.4">
      <c r="A4" s="42" t="s">
        <v>647</v>
      </c>
      <c r="B4" s="1">
        <f t="shared" si="0"/>
        <v>2120</v>
      </c>
      <c r="C4" s="1" t="str">
        <f t="shared" si="1"/>
        <v xml:space="preserve"> Materiales y útiles de impresión y reproducción</v>
      </c>
    </row>
    <row r="5" spans="1:3" x14ac:dyDescent="0.4">
      <c r="A5" s="42" t="s">
        <v>648</v>
      </c>
      <c r="B5" s="1">
        <f t="shared" si="0"/>
        <v>2130</v>
      </c>
      <c r="C5" s="1" t="str">
        <f t="shared" si="1"/>
        <v xml:space="preserve"> Material estadístico y geográfico</v>
      </c>
    </row>
    <row r="6" spans="1:3" x14ac:dyDescent="0.4">
      <c r="A6" s="42" t="s">
        <v>649</v>
      </c>
      <c r="B6" s="1">
        <f t="shared" si="0"/>
        <v>2140</v>
      </c>
      <c r="C6" s="1" t="str">
        <f t="shared" si="1"/>
        <v xml:space="preserve"> Materiales, útiles y equipos menores de tecnologías de la información y comunicaciones</v>
      </c>
    </row>
    <row r="7" spans="1:3" x14ac:dyDescent="0.4">
      <c r="A7" s="42" t="s">
        <v>650</v>
      </c>
      <c r="B7" s="1">
        <f t="shared" si="0"/>
        <v>2150</v>
      </c>
      <c r="C7" s="1" t="str">
        <f t="shared" si="1"/>
        <v xml:space="preserve"> Material impreso e información digital</v>
      </c>
    </row>
    <row r="8" spans="1:3" x14ac:dyDescent="0.4">
      <c r="A8" s="42" t="s">
        <v>651</v>
      </c>
      <c r="B8" s="1">
        <f t="shared" ref="B8:B62" si="2">limpia(A8,1)</f>
        <v>2160</v>
      </c>
      <c r="C8" s="1" t="str">
        <f t="shared" ref="C8:C62" si="3">limpia(A8,2)</f>
        <v xml:space="preserve"> Material de limpieza</v>
      </c>
    </row>
    <row r="9" spans="1:3" x14ac:dyDescent="0.4">
      <c r="A9" s="42" t="s">
        <v>652</v>
      </c>
      <c r="B9" s="1">
        <f t="shared" si="2"/>
        <v>2180</v>
      </c>
      <c r="C9" s="1" t="str">
        <f t="shared" si="3"/>
        <v xml:space="preserve"> Materiales para el registro e identificación de bienes y personas</v>
      </c>
    </row>
    <row r="10" spans="1:3" x14ac:dyDescent="0.4">
      <c r="A10" s="42" t="s">
        <v>653</v>
      </c>
      <c r="B10" s="1">
        <f t="shared" si="2"/>
        <v>2200</v>
      </c>
      <c r="C10" s="1" t="str">
        <f t="shared" si="3"/>
        <v xml:space="preserve"> ALIMENTOS Y UTENSILIOS</v>
      </c>
    </row>
    <row r="11" spans="1:3" x14ac:dyDescent="0.4">
      <c r="A11" s="42" t="s">
        <v>654</v>
      </c>
      <c r="B11" s="1">
        <f t="shared" si="2"/>
        <v>2210</v>
      </c>
      <c r="C11" s="1" t="str">
        <f t="shared" si="3"/>
        <v xml:space="preserve"> Productos alimenticios para personas</v>
      </c>
    </row>
    <row r="12" spans="1:3" x14ac:dyDescent="0.4">
      <c r="A12" s="42" t="s">
        <v>655</v>
      </c>
      <c r="B12" s="1">
        <f t="shared" si="2"/>
        <v>2220</v>
      </c>
      <c r="C12" s="1" t="str">
        <f t="shared" si="3"/>
        <v xml:space="preserve"> Productos alimenticios para animales</v>
      </c>
    </row>
    <row r="13" spans="1:3" x14ac:dyDescent="0.4">
      <c r="A13" s="42" t="s">
        <v>656</v>
      </c>
      <c r="B13" s="1">
        <f t="shared" si="2"/>
        <v>2230</v>
      </c>
      <c r="C13" s="1" t="str">
        <f t="shared" si="3"/>
        <v xml:space="preserve"> Utensilios para el servicio de alimentación</v>
      </c>
    </row>
    <row r="14" spans="1:3" x14ac:dyDescent="0.4">
      <c r="A14" s="42" t="s">
        <v>657</v>
      </c>
      <c r="B14" s="1">
        <f t="shared" si="2"/>
        <v>2300</v>
      </c>
      <c r="C14" s="1" t="str">
        <f t="shared" si="3"/>
        <v xml:space="preserve"> MATERIAS PRIMAS Y MATERIALES DE PRODUCCIÓN Y  COMERCIALIZACIÓN</v>
      </c>
    </row>
    <row r="15" spans="1:3" x14ac:dyDescent="0.4">
      <c r="A15" s="42" t="s">
        <v>658</v>
      </c>
      <c r="B15" s="1">
        <f t="shared" si="2"/>
        <v>2310</v>
      </c>
      <c r="C15" s="1" t="str">
        <f t="shared" si="3"/>
        <v xml:space="preserve"> Productos alimenticios, agropecuarios y forestales adquiridos como materia prima</v>
      </c>
    </row>
    <row r="16" spans="1:3" x14ac:dyDescent="0.4">
      <c r="A16" s="42" t="s">
        <v>659</v>
      </c>
      <c r="B16" s="1">
        <f t="shared" si="2"/>
        <v>2320</v>
      </c>
      <c r="C16" s="1" t="str">
        <f t="shared" si="3"/>
        <v xml:space="preserve"> Insumos textiles adquiridos como materia prima</v>
      </c>
    </row>
    <row r="17" spans="1:3" x14ac:dyDescent="0.4">
      <c r="A17" s="42" t="s">
        <v>660</v>
      </c>
      <c r="B17" s="1">
        <f t="shared" si="2"/>
        <v>2330</v>
      </c>
      <c r="C17" s="1" t="str">
        <f t="shared" si="3"/>
        <v xml:space="preserve"> Productos de papel, cartón e impresos adquiridos como materia prima</v>
      </c>
    </row>
    <row r="18" spans="1:3" x14ac:dyDescent="0.4">
      <c r="A18" s="42" t="s">
        <v>661</v>
      </c>
      <c r="B18" s="1">
        <f t="shared" si="2"/>
        <v>2340</v>
      </c>
      <c r="C18" s="1" t="str">
        <f t="shared" si="3"/>
        <v xml:space="preserve"> Combustibles, lubricantes, aditivos, carbón y sus derivados adquiridos como materia prima</v>
      </c>
    </row>
    <row r="19" spans="1:3" x14ac:dyDescent="0.4">
      <c r="A19" s="42" t="s">
        <v>662</v>
      </c>
      <c r="B19" s="1">
        <f t="shared" si="2"/>
        <v>2350</v>
      </c>
      <c r="C19" s="1" t="str">
        <f t="shared" si="3"/>
        <v xml:space="preserve"> Productos químicos, farmacéuticos y de laboratorio adquiridos como materia prima</v>
      </c>
    </row>
    <row r="20" spans="1:3" x14ac:dyDescent="0.4">
      <c r="A20" s="42" t="s">
        <v>663</v>
      </c>
      <c r="B20" s="1">
        <f t="shared" si="2"/>
        <v>2360</v>
      </c>
      <c r="C20" s="1" t="str">
        <f t="shared" si="3"/>
        <v xml:space="preserve"> Productos metálicos y a base de minerales no metálicos adquiridos como materia prima</v>
      </c>
    </row>
    <row r="21" spans="1:3" x14ac:dyDescent="0.4">
      <c r="A21" s="42" t="s">
        <v>664</v>
      </c>
      <c r="B21" s="1">
        <f t="shared" si="2"/>
        <v>2370</v>
      </c>
      <c r="C21" s="1" t="str">
        <f t="shared" si="3"/>
        <v xml:space="preserve"> Productos de cuero, piel, plástico y hule adquiridos como materia prima</v>
      </c>
    </row>
    <row r="22" spans="1:3" x14ac:dyDescent="0.4">
      <c r="A22" s="42" t="s">
        <v>665</v>
      </c>
      <c r="B22" s="1">
        <f t="shared" si="2"/>
        <v>2380</v>
      </c>
      <c r="C22" s="1" t="str">
        <f t="shared" si="3"/>
        <v xml:space="preserve"> Mercancías adquiridas para su comercialización</v>
      </c>
    </row>
    <row r="23" spans="1:3" x14ac:dyDescent="0.4">
      <c r="A23" s="42" t="s">
        <v>666</v>
      </c>
      <c r="B23" s="1">
        <f t="shared" si="2"/>
        <v>2390</v>
      </c>
      <c r="C23" s="1" t="str">
        <f t="shared" si="3"/>
        <v xml:space="preserve"> Otros productos adquiridos como materia prima</v>
      </c>
    </row>
    <row r="24" spans="1:3" x14ac:dyDescent="0.4">
      <c r="A24" s="42" t="s">
        <v>667</v>
      </c>
      <c r="B24" s="1">
        <f t="shared" si="2"/>
        <v>2400</v>
      </c>
      <c r="C24" s="1" t="str">
        <f t="shared" si="3"/>
        <v xml:space="preserve"> MATERIALES Y ARTÍCULOS DE CONSTRUCCIÓN Y DE REPARACIÓN</v>
      </c>
    </row>
    <row r="25" spans="1:3" x14ac:dyDescent="0.4">
      <c r="A25" s="42" t="s">
        <v>668</v>
      </c>
      <c r="B25" s="1">
        <f t="shared" si="2"/>
        <v>2410</v>
      </c>
      <c r="C25" s="1" t="str">
        <f t="shared" si="3"/>
        <v xml:space="preserve"> Productos minerales no metálicos</v>
      </c>
    </row>
    <row r="26" spans="1:3" x14ac:dyDescent="0.4">
      <c r="A26" s="42" t="s">
        <v>669</v>
      </c>
      <c r="B26" s="1">
        <f t="shared" si="2"/>
        <v>2420</v>
      </c>
      <c r="C26" s="1" t="str">
        <f t="shared" si="3"/>
        <v xml:space="preserve"> Cemento y productos de concreto</v>
      </c>
    </row>
    <row r="27" spans="1:3" x14ac:dyDescent="0.4">
      <c r="A27" s="42" t="s">
        <v>670</v>
      </c>
      <c r="B27" s="1">
        <f t="shared" si="2"/>
        <v>2430</v>
      </c>
      <c r="C27" s="1" t="str">
        <f t="shared" si="3"/>
        <v xml:space="preserve"> Cal, yeso y productos de yeso</v>
      </c>
    </row>
    <row r="28" spans="1:3" x14ac:dyDescent="0.4">
      <c r="A28" s="42" t="s">
        <v>671</v>
      </c>
      <c r="B28" s="1">
        <f t="shared" si="2"/>
        <v>2440</v>
      </c>
      <c r="C28" s="1" t="str">
        <f t="shared" si="3"/>
        <v xml:space="preserve"> Madera y productos de madera</v>
      </c>
    </row>
    <row r="29" spans="1:3" x14ac:dyDescent="0.4">
      <c r="A29" s="42" t="s">
        <v>672</v>
      </c>
      <c r="B29" s="1">
        <f t="shared" si="2"/>
        <v>2450</v>
      </c>
      <c r="C29" s="1" t="str">
        <f t="shared" si="3"/>
        <v xml:space="preserve"> Vidrio y productos de vidrio</v>
      </c>
    </row>
    <row r="30" spans="1:3" x14ac:dyDescent="0.4">
      <c r="A30" s="42" t="s">
        <v>673</v>
      </c>
      <c r="B30" s="1">
        <f t="shared" si="2"/>
        <v>2460</v>
      </c>
      <c r="C30" s="1" t="str">
        <f t="shared" si="3"/>
        <v xml:space="preserve"> Material eléctrico y electrónico</v>
      </c>
    </row>
    <row r="31" spans="1:3" x14ac:dyDescent="0.4">
      <c r="A31" s="42" t="s">
        <v>674</v>
      </c>
      <c r="B31" s="1">
        <f t="shared" si="2"/>
        <v>2470</v>
      </c>
      <c r="C31" s="1" t="str">
        <f t="shared" si="3"/>
        <v xml:space="preserve"> Artículos metálicos para la construcción</v>
      </c>
    </row>
    <row r="32" spans="1:3" x14ac:dyDescent="0.4">
      <c r="A32" s="42" t="s">
        <v>675</v>
      </c>
      <c r="B32" s="1">
        <f t="shared" si="2"/>
        <v>2480</v>
      </c>
      <c r="C32" s="1" t="str">
        <f t="shared" si="3"/>
        <v xml:space="preserve"> Materiales complementarios</v>
      </c>
    </row>
    <row r="33" spans="1:3" x14ac:dyDescent="0.4">
      <c r="A33" s="42" t="s">
        <v>676</v>
      </c>
      <c r="B33" s="1">
        <f t="shared" si="2"/>
        <v>2490</v>
      </c>
      <c r="C33" s="1" t="str">
        <f t="shared" si="3"/>
        <v xml:space="preserve"> Otros materiales y artículos de construcción y reparación</v>
      </c>
    </row>
    <row r="34" spans="1:3" x14ac:dyDescent="0.4">
      <c r="A34" s="42" t="s">
        <v>677</v>
      </c>
      <c r="B34" s="1">
        <f t="shared" si="2"/>
        <v>2500</v>
      </c>
      <c r="C34" s="1" t="str">
        <f t="shared" si="3"/>
        <v xml:space="preserve"> PRODUCTOS QUÍMICOS, FARMACÉUTICOS Y DE LABORATORIO</v>
      </c>
    </row>
    <row r="35" spans="1:3" x14ac:dyDescent="0.4">
      <c r="A35" s="42" t="s">
        <v>678</v>
      </c>
      <c r="B35" s="1">
        <f t="shared" si="2"/>
        <v>2510</v>
      </c>
      <c r="C35" s="1" t="str">
        <f t="shared" si="3"/>
        <v xml:space="preserve"> Productos químicos básicos</v>
      </c>
    </row>
    <row r="36" spans="1:3" x14ac:dyDescent="0.4">
      <c r="A36" s="42" t="s">
        <v>679</v>
      </c>
      <c r="B36" s="1">
        <f t="shared" si="2"/>
        <v>2520</v>
      </c>
      <c r="C36" s="1" t="str">
        <f t="shared" si="3"/>
        <v xml:space="preserve"> Fertilizantes, pesticidas y otros agroquímicos</v>
      </c>
    </row>
    <row r="37" spans="1:3" x14ac:dyDescent="0.4">
      <c r="A37" s="42" t="s">
        <v>680</v>
      </c>
      <c r="B37" s="1">
        <f t="shared" si="2"/>
        <v>2530</v>
      </c>
      <c r="C37" s="1" t="str">
        <f t="shared" si="3"/>
        <v xml:space="preserve"> Medicinas y productos farmacéuticos</v>
      </c>
    </row>
    <row r="38" spans="1:3" x14ac:dyDescent="0.4">
      <c r="A38" s="42" t="s">
        <v>681</v>
      </c>
      <c r="B38" s="1">
        <f t="shared" si="2"/>
        <v>2540</v>
      </c>
      <c r="C38" s="1" t="str">
        <f t="shared" si="3"/>
        <v xml:space="preserve"> Materiales, accesorios y suministros médicos</v>
      </c>
    </row>
    <row r="39" spans="1:3" x14ac:dyDescent="0.4">
      <c r="A39" s="42" t="s">
        <v>682</v>
      </c>
      <c r="B39" s="1">
        <f t="shared" si="2"/>
        <v>2550</v>
      </c>
      <c r="C39" s="1" t="str">
        <f t="shared" si="3"/>
        <v xml:space="preserve"> Materiales, accesorios y suministros de laboratorio</v>
      </c>
    </row>
    <row r="40" spans="1:3" x14ac:dyDescent="0.4">
      <c r="A40" s="42" t="s">
        <v>683</v>
      </c>
      <c r="B40" s="1">
        <f t="shared" si="2"/>
        <v>2560</v>
      </c>
      <c r="C40" s="1" t="str">
        <f t="shared" si="3"/>
        <v xml:space="preserve"> Fibras sintéticas, hules, plásticos y derivados</v>
      </c>
    </row>
    <row r="41" spans="1:3" x14ac:dyDescent="0.4">
      <c r="A41" s="42" t="s">
        <v>684</v>
      </c>
      <c r="B41" s="1">
        <f t="shared" si="2"/>
        <v>2590</v>
      </c>
      <c r="C41" s="1" t="str">
        <f t="shared" si="3"/>
        <v xml:space="preserve"> Otros productos químicos</v>
      </c>
    </row>
    <row r="42" spans="1:3" x14ac:dyDescent="0.4">
      <c r="A42" s="42" t="s">
        <v>685</v>
      </c>
      <c r="B42" s="1">
        <f t="shared" si="2"/>
        <v>2600</v>
      </c>
      <c r="C42" s="1" t="str">
        <f t="shared" si="3"/>
        <v xml:space="preserve"> COMBUSTIBLES, LUBRICANTES Y ADITIVOS</v>
      </c>
    </row>
    <row r="43" spans="1:3" x14ac:dyDescent="0.4">
      <c r="A43" s="42" t="s">
        <v>686</v>
      </c>
      <c r="B43" s="1">
        <f t="shared" si="2"/>
        <v>2610</v>
      </c>
      <c r="C43" s="1" t="str">
        <f t="shared" si="3"/>
        <v xml:space="preserve"> Combustibles, lubricantes y aditivos</v>
      </c>
    </row>
    <row r="44" spans="1:3" x14ac:dyDescent="0.4">
      <c r="A44" s="42" t="s">
        <v>687</v>
      </c>
      <c r="B44" s="1">
        <f t="shared" si="2"/>
        <v>2620</v>
      </c>
      <c r="C44" s="1" t="str">
        <f t="shared" si="3"/>
        <v xml:space="preserve"> Carbón y sus derivados</v>
      </c>
    </row>
    <row r="45" spans="1:3" x14ac:dyDescent="0.4">
      <c r="A45" s="42" t="s">
        <v>688</v>
      </c>
      <c r="B45" s="1">
        <f t="shared" si="2"/>
        <v>2700</v>
      </c>
      <c r="C45" s="1" t="str">
        <f t="shared" si="3"/>
        <v xml:space="preserve"> VESTUARIO, BLANCOS, PRENDAS DE PROTECCIÓN Y ARTÍCULOS </v>
      </c>
    </row>
    <row r="46" spans="1:3" x14ac:dyDescent="0.4">
      <c r="A46" s="42" t="s">
        <v>689</v>
      </c>
      <c r="B46" s="1">
        <f t="shared" si="2"/>
        <v>2710</v>
      </c>
      <c r="C46" s="1" t="str">
        <f t="shared" si="3"/>
        <v xml:space="preserve"> Vestuario y uniformes</v>
      </c>
    </row>
    <row r="47" spans="1:3" x14ac:dyDescent="0.4">
      <c r="A47" s="42" t="s">
        <v>690</v>
      </c>
      <c r="B47" s="1">
        <f t="shared" si="2"/>
        <v>2720</v>
      </c>
      <c r="C47" s="1" t="str">
        <f t="shared" si="3"/>
        <v xml:space="preserve"> Prendas de seguridad y protección personal</v>
      </c>
    </row>
    <row r="48" spans="1:3" x14ac:dyDescent="0.4">
      <c r="A48" s="42" t="s">
        <v>691</v>
      </c>
      <c r="B48" s="1">
        <f t="shared" si="2"/>
        <v>2730</v>
      </c>
      <c r="C48" s="1" t="str">
        <f t="shared" si="3"/>
        <v xml:space="preserve"> Artículos deportivos</v>
      </c>
    </row>
    <row r="49" spans="1:3" x14ac:dyDescent="0.4">
      <c r="A49" s="42" t="s">
        <v>692</v>
      </c>
      <c r="B49" s="1">
        <f t="shared" si="2"/>
        <v>2740</v>
      </c>
      <c r="C49" s="1" t="str">
        <f t="shared" si="3"/>
        <v xml:space="preserve"> Productos textiles</v>
      </c>
    </row>
    <row r="50" spans="1:3" x14ac:dyDescent="0.4">
      <c r="A50" s="42" t="s">
        <v>693</v>
      </c>
      <c r="B50" s="1">
        <f t="shared" si="2"/>
        <v>2750</v>
      </c>
      <c r="C50" s="1" t="str">
        <f t="shared" si="3"/>
        <v xml:space="preserve"> Blancos y otros productos textiles, excepto prendas de vestir</v>
      </c>
    </row>
    <row r="51" spans="1:3" x14ac:dyDescent="0.4">
      <c r="A51" s="42" t="s">
        <v>694</v>
      </c>
      <c r="B51" s="1">
        <f t="shared" si="2"/>
        <v>2800</v>
      </c>
      <c r="C51" s="1" t="str">
        <f t="shared" si="3"/>
        <v xml:space="preserve"> MATERIALES Y SUMINISTROS PARA SEGURIDAD</v>
      </c>
    </row>
    <row r="52" spans="1:3" x14ac:dyDescent="0.4">
      <c r="A52" s="42" t="s">
        <v>695</v>
      </c>
      <c r="B52" s="1">
        <f t="shared" si="2"/>
        <v>2810</v>
      </c>
      <c r="C52" s="1" t="str">
        <f t="shared" si="3"/>
        <v xml:space="preserve"> Sustancias y materiales explosivos</v>
      </c>
    </row>
    <row r="53" spans="1:3" x14ac:dyDescent="0.4">
      <c r="A53" s="42" t="s">
        <v>696</v>
      </c>
      <c r="B53" s="1">
        <f t="shared" si="2"/>
        <v>2820</v>
      </c>
      <c r="C53" s="1" t="str">
        <f t="shared" si="3"/>
        <v xml:space="preserve"> Materiales de seguridad pública</v>
      </c>
    </row>
    <row r="54" spans="1:3" x14ac:dyDescent="0.4">
      <c r="A54" s="42" t="s">
        <v>697</v>
      </c>
      <c r="B54" s="1">
        <f t="shared" si="2"/>
        <v>2830</v>
      </c>
      <c r="C54" s="1" t="str">
        <f t="shared" si="3"/>
        <v xml:space="preserve"> Prendas de protección para seguridad pública y nacional</v>
      </c>
    </row>
    <row r="55" spans="1:3" x14ac:dyDescent="0.4">
      <c r="A55" s="42" t="s">
        <v>698</v>
      </c>
      <c r="B55" s="1">
        <f t="shared" si="2"/>
        <v>2900</v>
      </c>
      <c r="C55" s="1" t="str">
        <f t="shared" si="3"/>
        <v xml:space="preserve"> HERRAMIENTAS, REFACCIONES Y ACCESORIOS MENORES</v>
      </c>
    </row>
    <row r="56" spans="1:3" x14ac:dyDescent="0.4">
      <c r="A56" s="42" t="s">
        <v>699</v>
      </c>
      <c r="B56" s="1">
        <f t="shared" si="2"/>
        <v>2910</v>
      </c>
      <c r="C56" s="1" t="str">
        <f t="shared" si="3"/>
        <v xml:space="preserve"> Herramientas menores</v>
      </c>
    </row>
    <row r="57" spans="1:3" x14ac:dyDescent="0.4">
      <c r="A57" s="42" t="s">
        <v>700</v>
      </c>
      <c r="B57" s="1">
        <f t="shared" si="2"/>
        <v>2920</v>
      </c>
      <c r="C57" s="1" t="str">
        <f t="shared" si="3"/>
        <v xml:space="preserve"> Refacciones y accesorios menores de edificios</v>
      </c>
    </row>
    <row r="58" spans="1:3" x14ac:dyDescent="0.4">
      <c r="A58" s="42" t="s">
        <v>701</v>
      </c>
      <c r="B58" s="1">
        <f t="shared" si="2"/>
        <v>2930</v>
      </c>
      <c r="C58" s="1" t="str">
        <f t="shared" si="3"/>
        <v xml:space="preserve"> Refacciones y accesorios menores de mobiliario y equipo de administración, educacional y recreativo</v>
      </c>
    </row>
    <row r="59" spans="1:3" x14ac:dyDescent="0.4">
      <c r="A59" s="42" t="s">
        <v>702</v>
      </c>
      <c r="B59" s="1">
        <f t="shared" si="2"/>
        <v>2940</v>
      </c>
      <c r="C59" s="1" t="str">
        <f t="shared" si="3"/>
        <v xml:space="preserve"> Refacciones y accesorios menores de equipo de cómputo y tecnologías de la información</v>
      </c>
    </row>
    <row r="60" spans="1:3" x14ac:dyDescent="0.4">
      <c r="A60" s="42" t="s">
        <v>703</v>
      </c>
      <c r="B60" s="1">
        <f t="shared" si="2"/>
        <v>2950</v>
      </c>
      <c r="C60" s="1" t="str">
        <f t="shared" si="3"/>
        <v xml:space="preserve"> Refacciones y accesorios menores de equipo e instrumental médico y de laboratorio</v>
      </c>
    </row>
    <row r="61" spans="1:3" x14ac:dyDescent="0.4">
      <c r="A61" s="42" t="s">
        <v>704</v>
      </c>
      <c r="B61" s="1">
        <f t="shared" si="2"/>
        <v>2960</v>
      </c>
      <c r="C61" s="1" t="str">
        <f t="shared" si="3"/>
        <v xml:space="preserve"> Refacciones y accesorios menores de equipo de transporte</v>
      </c>
    </row>
    <row r="62" spans="1:3" x14ac:dyDescent="0.4">
      <c r="A62" s="42" t="s">
        <v>705</v>
      </c>
      <c r="B62" s="1">
        <f t="shared" si="2"/>
        <v>2970</v>
      </c>
      <c r="C62" s="1" t="str">
        <f t="shared" si="3"/>
        <v xml:space="preserve"> Refacciones y accesorios menores de equipo de defensa y seguridad</v>
      </c>
    </row>
    <row r="63" spans="1:3" x14ac:dyDescent="0.4">
      <c r="A63" s="42" t="s">
        <v>706</v>
      </c>
      <c r="B63" s="1">
        <f t="shared" ref="B63:B117" si="4">limpia(A63,1)</f>
        <v>2980</v>
      </c>
      <c r="C63" s="1" t="str">
        <f t="shared" ref="C63:C117" si="5">limpia(A63,2)</f>
        <v xml:space="preserve"> Refacciones y accesorios menores de maquinaria y otros equipos</v>
      </c>
    </row>
    <row r="64" spans="1:3" x14ac:dyDescent="0.4">
      <c r="A64" s="42" t="s">
        <v>707</v>
      </c>
      <c r="B64" s="1">
        <f t="shared" si="4"/>
        <v>2990</v>
      </c>
      <c r="C64" s="1" t="str">
        <f t="shared" si="5"/>
        <v xml:space="preserve"> Refacciones y accesorios menores otros bienes muebles</v>
      </c>
    </row>
    <row r="65" spans="1:3" x14ac:dyDescent="0.4">
      <c r="A65" s="42" t="s">
        <v>708</v>
      </c>
      <c r="B65" s="1">
        <f t="shared" si="4"/>
        <v>3000</v>
      </c>
      <c r="C65" s="1" t="str">
        <f t="shared" si="5"/>
        <v xml:space="preserve"> SERVICIOS GENERALES</v>
      </c>
    </row>
    <row r="66" spans="1:3" x14ac:dyDescent="0.4">
      <c r="A66" s="42" t="s">
        <v>709</v>
      </c>
      <c r="B66" s="1">
        <f t="shared" si="4"/>
        <v>3100</v>
      </c>
      <c r="C66" s="1" t="str">
        <f t="shared" si="5"/>
        <v xml:space="preserve"> SERVICIOS BÁSICOS</v>
      </c>
    </row>
    <row r="67" spans="1:3" x14ac:dyDescent="0.4">
      <c r="A67" s="42" t="s">
        <v>710</v>
      </c>
      <c r="B67" s="1">
        <f t="shared" si="4"/>
        <v>3110</v>
      </c>
      <c r="C67" s="1" t="str">
        <f t="shared" si="5"/>
        <v xml:space="preserve"> Energía eléctrica</v>
      </c>
    </row>
    <row r="68" spans="1:3" x14ac:dyDescent="0.4">
      <c r="A68" s="42" t="s">
        <v>711</v>
      </c>
      <c r="B68" s="1">
        <f t="shared" si="4"/>
        <v>3120</v>
      </c>
      <c r="C68" s="1" t="str">
        <f t="shared" si="5"/>
        <v xml:space="preserve"> Gas</v>
      </c>
    </row>
    <row r="69" spans="1:3" x14ac:dyDescent="0.4">
      <c r="A69" s="42" t="s">
        <v>712</v>
      </c>
      <c r="B69" s="1">
        <f t="shared" si="4"/>
        <v>3130</v>
      </c>
      <c r="C69" s="1" t="str">
        <f t="shared" si="5"/>
        <v xml:space="preserve"> Agua</v>
      </c>
    </row>
    <row r="70" spans="1:3" x14ac:dyDescent="0.4">
      <c r="A70" s="42" t="s">
        <v>713</v>
      </c>
      <c r="B70" s="1">
        <f t="shared" si="4"/>
        <v>3140</v>
      </c>
      <c r="C70" s="1" t="str">
        <f t="shared" si="5"/>
        <v xml:space="preserve"> Telefonía tradicional</v>
      </c>
    </row>
    <row r="71" spans="1:3" x14ac:dyDescent="0.4">
      <c r="A71" s="42" t="s">
        <v>714</v>
      </c>
      <c r="B71" s="1">
        <f t="shared" si="4"/>
        <v>3150</v>
      </c>
      <c r="C71" s="1" t="str">
        <f t="shared" si="5"/>
        <v xml:space="preserve"> Telefonía celular</v>
      </c>
    </row>
    <row r="72" spans="1:3" x14ac:dyDescent="0.4">
      <c r="A72" s="42" t="s">
        <v>715</v>
      </c>
      <c r="B72" s="1">
        <f t="shared" si="4"/>
        <v>3160</v>
      </c>
      <c r="C72" s="1" t="str">
        <f t="shared" si="5"/>
        <v xml:space="preserve"> Servicios de telecomunicaciones y satélites</v>
      </c>
    </row>
    <row r="73" spans="1:3" x14ac:dyDescent="0.4">
      <c r="A73" s="42" t="s">
        <v>716</v>
      </c>
      <c r="B73" s="1">
        <f t="shared" si="4"/>
        <v>3170</v>
      </c>
      <c r="C73" s="1" t="str">
        <f t="shared" si="5"/>
        <v xml:space="preserve"> Servicios de acceso a Internet, redes y procesamiento de información</v>
      </c>
    </row>
    <row r="74" spans="1:3" x14ac:dyDescent="0.4">
      <c r="A74" s="42" t="s">
        <v>717</v>
      </c>
      <c r="B74" s="1">
        <f t="shared" si="4"/>
        <v>3180</v>
      </c>
      <c r="C74" s="1" t="str">
        <f t="shared" si="5"/>
        <v xml:space="preserve"> Servicios postales y telegráficos</v>
      </c>
    </row>
    <row r="75" spans="1:3" x14ac:dyDescent="0.4">
      <c r="A75" s="42" t="s">
        <v>718</v>
      </c>
      <c r="B75" s="1">
        <f t="shared" si="4"/>
        <v>3190</v>
      </c>
      <c r="C75" s="1" t="str">
        <f t="shared" si="5"/>
        <v xml:space="preserve"> Servicios integrales y otros servicios</v>
      </c>
    </row>
    <row r="76" spans="1:3" x14ac:dyDescent="0.4">
      <c r="A76" s="42" t="s">
        <v>719</v>
      </c>
      <c r="B76" s="1">
        <f t="shared" si="4"/>
        <v>3200</v>
      </c>
      <c r="C76" s="1" t="str">
        <f t="shared" si="5"/>
        <v xml:space="preserve"> SERVICIOS DE ARRENDAMIENTO</v>
      </c>
    </row>
    <row r="77" spans="1:3" x14ac:dyDescent="0.4">
      <c r="A77" s="42" t="s">
        <v>720</v>
      </c>
      <c r="B77" s="1">
        <f t="shared" si="4"/>
        <v>3210</v>
      </c>
      <c r="C77" s="1" t="str">
        <f t="shared" si="5"/>
        <v xml:space="preserve"> Arrendamiento de terrenos</v>
      </c>
    </row>
    <row r="78" spans="1:3" x14ac:dyDescent="0.4">
      <c r="A78" s="42" t="s">
        <v>721</v>
      </c>
      <c r="B78" s="1">
        <f t="shared" si="4"/>
        <v>3220</v>
      </c>
      <c r="C78" s="1" t="str">
        <f t="shared" si="5"/>
        <v xml:space="preserve"> Arrendamiento de edificios</v>
      </c>
    </row>
    <row r="79" spans="1:3" x14ac:dyDescent="0.4">
      <c r="A79" s="42" t="s">
        <v>722</v>
      </c>
      <c r="B79" s="1">
        <f t="shared" si="4"/>
        <v>3230</v>
      </c>
      <c r="C79" s="1" t="str">
        <f t="shared" si="5"/>
        <v xml:space="preserve"> Arrendamiento de mobiliario y equipo de administración, educacional y recreativo</v>
      </c>
    </row>
    <row r="80" spans="1:3" x14ac:dyDescent="0.4">
      <c r="A80" s="42" t="s">
        <v>723</v>
      </c>
      <c r="B80" s="1">
        <f t="shared" si="4"/>
        <v>3240</v>
      </c>
      <c r="C80" s="1" t="str">
        <f t="shared" si="5"/>
        <v xml:space="preserve"> Arrendamiento de equipo e instrumental médico y de laboratorio</v>
      </c>
    </row>
    <row r="81" spans="1:3" x14ac:dyDescent="0.4">
      <c r="A81" s="42" t="s">
        <v>724</v>
      </c>
      <c r="B81" s="1">
        <f t="shared" si="4"/>
        <v>3250</v>
      </c>
      <c r="C81" s="1" t="str">
        <f t="shared" si="5"/>
        <v xml:space="preserve"> Arrendamiento de equipo de transporte</v>
      </c>
    </row>
    <row r="82" spans="1:3" x14ac:dyDescent="0.4">
      <c r="A82" s="42" t="s">
        <v>725</v>
      </c>
      <c r="B82" s="1">
        <f t="shared" si="4"/>
        <v>3260</v>
      </c>
      <c r="C82" s="1" t="str">
        <f t="shared" si="5"/>
        <v xml:space="preserve"> Arrendamiento de maquinaria, otros equipos y herramientas</v>
      </c>
    </row>
    <row r="83" spans="1:3" x14ac:dyDescent="0.4">
      <c r="A83" s="42" t="s">
        <v>726</v>
      </c>
      <c r="B83" s="1">
        <f t="shared" si="4"/>
        <v>3270</v>
      </c>
      <c r="C83" s="1" t="str">
        <f t="shared" si="5"/>
        <v xml:space="preserve"> Arrendamiento de activos intangibles</v>
      </c>
    </row>
    <row r="84" spans="1:3" x14ac:dyDescent="0.4">
      <c r="A84" s="42" t="s">
        <v>727</v>
      </c>
      <c r="B84" s="1">
        <f t="shared" si="4"/>
        <v>3280</v>
      </c>
      <c r="C84" s="1" t="str">
        <f t="shared" si="5"/>
        <v xml:space="preserve"> Arrendamiento financiero</v>
      </c>
    </row>
    <row r="85" spans="1:3" x14ac:dyDescent="0.4">
      <c r="A85" s="42" t="s">
        <v>728</v>
      </c>
      <c r="B85" s="1">
        <f t="shared" si="4"/>
        <v>3290</v>
      </c>
      <c r="C85" s="1" t="str">
        <f t="shared" si="5"/>
        <v xml:space="preserve"> Otros arrendamientos</v>
      </c>
    </row>
    <row r="86" spans="1:3" x14ac:dyDescent="0.4">
      <c r="A86" s="42" t="s">
        <v>729</v>
      </c>
      <c r="B86" s="1">
        <f t="shared" si="4"/>
        <v>3300</v>
      </c>
      <c r="C86" s="1" t="str">
        <f t="shared" si="5"/>
        <v xml:space="preserve"> SERVICIOS PROFESIONALES, CIENTÍFICOS, TÉCNICOS Y OTROS SERVICIOS</v>
      </c>
    </row>
    <row r="87" spans="1:3" x14ac:dyDescent="0.4">
      <c r="A87" s="42" t="s">
        <v>730</v>
      </c>
      <c r="B87" s="1">
        <f t="shared" si="4"/>
        <v>3310</v>
      </c>
      <c r="C87" s="1" t="str">
        <f t="shared" si="5"/>
        <v xml:space="preserve"> Servicios legales, de contabilidad, auditoría y relacionados</v>
      </c>
    </row>
    <row r="88" spans="1:3" x14ac:dyDescent="0.4">
      <c r="A88" s="42" t="s">
        <v>731</v>
      </c>
      <c r="B88" s="1">
        <f t="shared" si="4"/>
        <v>3320</v>
      </c>
      <c r="C88" s="1" t="str">
        <f t="shared" si="5"/>
        <v xml:space="preserve"> Servicios de diseño, arquitectura, ingeniería y actividades relacionadas</v>
      </c>
    </row>
    <row r="89" spans="1:3" x14ac:dyDescent="0.4">
      <c r="A89" s="42" t="s">
        <v>732</v>
      </c>
      <c r="B89" s="1">
        <f t="shared" si="4"/>
        <v>3330</v>
      </c>
      <c r="C89" s="1" t="str">
        <f t="shared" si="5"/>
        <v xml:space="preserve"> Servicios de consultoría administrativa, procesos, técnica y en tecnologías de la información</v>
      </c>
    </row>
    <row r="90" spans="1:3" x14ac:dyDescent="0.4">
      <c r="A90" s="42" t="s">
        <v>733</v>
      </c>
      <c r="B90" s="1">
        <f t="shared" si="4"/>
        <v>3340</v>
      </c>
      <c r="C90" s="1" t="str">
        <f t="shared" si="5"/>
        <v xml:space="preserve"> Servicios de capacitación</v>
      </c>
    </row>
    <row r="91" spans="1:3" x14ac:dyDescent="0.4">
      <c r="A91" s="42" t="s">
        <v>734</v>
      </c>
      <c r="B91" s="1">
        <f t="shared" si="4"/>
        <v>3350</v>
      </c>
      <c r="C91" s="1" t="str">
        <f t="shared" si="5"/>
        <v xml:space="preserve"> Servicios de investigación científica y desarrollo</v>
      </c>
    </row>
    <row r="92" spans="1:3" x14ac:dyDescent="0.4">
      <c r="A92" s="42" t="s">
        <v>735</v>
      </c>
      <c r="B92" s="1">
        <f t="shared" si="4"/>
        <v>3360</v>
      </c>
      <c r="C92" s="1" t="str">
        <f t="shared" si="5"/>
        <v xml:space="preserve"> Servicios de apoyo administrativo, traducción, fotocopiado e impresión</v>
      </c>
    </row>
    <row r="93" spans="1:3" x14ac:dyDescent="0.4">
      <c r="A93" s="42" t="s">
        <v>736</v>
      </c>
      <c r="B93" s="1">
        <f t="shared" si="4"/>
        <v>3370</v>
      </c>
      <c r="C93" s="1" t="str">
        <f t="shared" si="5"/>
        <v xml:space="preserve"> Servicios de protección y seguridad</v>
      </c>
    </row>
    <row r="94" spans="1:3" x14ac:dyDescent="0.4">
      <c r="A94" s="42" t="s">
        <v>737</v>
      </c>
      <c r="B94" s="1">
        <f t="shared" si="4"/>
        <v>3380</v>
      </c>
      <c r="C94" s="1" t="str">
        <f t="shared" si="5"/>
        <v xml:space="preserve"> Servicios de vigilancia</v>
      </c>
    </row>
    <row r="95" spans="1:3" x14ac:dyDescent="0.4">
      <c r="A95" s="42" t="s">
        <v>738</v>
      </c>
      <c r="B95" s="1">
        <f t="shared" si="4"/>
        <v>3390</v>
      </c>
      <c r="C95" s="1" t="str">
        <f t="shared" si="5"/>
        <v xml:space="preserve"> Servicios profesionales, científicos y técnicos integrales</v>
      </c>
    </row>
    <row r="96" spans="1:3" x14ac:dyDescent="0.4">
      <c r="A96" s="42" t="s">
        <v>739</v>
      </c>
      <c r="B96" s="1">
        <f t="shared" si="4"/>
        <v>3400</v>
      </c>
      <c r="C96" s="1" t="str">
        <f t="shared" si="5"/>
        <v xml:space="preserve"> SERVICIOS FINANCIEROS, BANCARIOS Y COMERCIALES</v>
      </c>
    </row>
    <row r="97" spans="1:3" x14ac:dyDescent="0.4">
      <c r="A97" s="42" t="s">
        <v>740</v>
      </c>
      <c r="B97" s="1">
        <f t="shared" si="4"/>
        <v>3410</v>
      </c>
      <c r="C97" s="1" t="str">
        <f t="shared" si="5"/>
        <v xml:space="preserve"> Servicios financieros y bancarios</v>
      </c>
    </row>
    <row r="98" spans="1:3" x14ac:dyDescent="0.4">
      <c r="A98" s="42" t="s">
        <v>741</v>
      </c>
      <c r="B98" s="1">
        <f t="shared" si="4"/>
        <v>3420</v>
      </c>
      <c r="C98" s="1" t="str">
        <f t="shared" si="5"/>
        <v xml:space="preserve"> Servicios de cobranza, investigación crediticia y similar</v>
      </c>
    </row>
    <row r="99" spans="1:3" x14ac:dyDescent="0.4">
      <c r="A99" s="42" t="s">
        <v>742</v>
      </c>
      <c r="B99" s="1">
        <f t="shared" si="4"/>
        <v>3430</v>
      </c>
      <c r="C99" s="1" t="str">
        <f t="shared" si="5"/>
        <v xml:space="preserve"> Servicios de recaudación, traslado y custodia de valores</v>
      </c>
    </row>
    <row r="100" spans="1:3" x14ac:dyDescent="0.4">
      <c r="A100" s="42" t="s">
        <v>743</v>
      </c>
      <c r="B100" s="1">
        <f t="shared" si="4"/>
        <v>3440</v>
      </c>
      <c r="C100" s="1" t="str">
        <f t="shared" si="5"/>
        <v xml:space="preserve"> Seguros de responsabilidad patrimonial y fianzas</v>
      </c>
    </row>
    <row r="101" spans="1:3" x14ac:dyDescent="0.4">
      <c r="A101" s="42" t="s">
        <v>744</v>
      </c>
      <c r="B101" s="1">
        <f t="shared" si="4"/>
        <v>3450</v>
      </c>
      <c r="C101" s="1" t="str">
        <f t="shared" si="5"/>
        <v xml:space="preserve"> Seguros de bienes patrimoniales</v>
      </c>
    </row>
    <row r="102" spans="1:3" x14ac:dyDescent="0.4">
      <c r="A102" s="42" t="s">
        <v>745</v>
      </c>
      <c r="B102" s="1">
        <f t="shared" si="4"/>
        <v>3460</v>
      </c>
      <c r="C102" s="1" t="str">
        <f t="shared" si="5"/>
        <v xml:space="preserve"> Almacenaje, envase y embalaje</v>
      </c>
    </row>
    <row r="103" spans="1:3" x14ac:dyDescent="0.4">
      <c r="A103" s="42" t="s">
        <v>746</v>
      </c>
      <c r="B103" s="1">
        <f t="shared" si="4"/>
        <v>3470</v>
      </c>
      <c r="C103" s="1" t="str">
        <f t="shared" si="5"/>
        <v xml:space="preserve"> Fletes y maniobras</v>
      </c>
    </row>
    <row r="104" spans="1:3" x14ac:dyDescent="0.4">
      <c r="A104" s="42" t="s">
        <v>747</v>
      </c>
      <c r="B104" s="1">
        <f t="shared" si="4"/>
        <v>3480</v>
      </c>
      <c r="C104" s="1" t="str">
        <f t="shared" si="5"/>
        <v xml:space="preserve"> Comisiones por ventas</v>
      </c>
    </row>
    <row r="105" spans="1:3" x14ac:dyDescent="0.4">
      <c r="A105" s="42" t="s">
        <v>748</v>
      </c>
      <c r="B105" s="1">
        <f t="shared" si="4"/>
        <v>3490</v>
      </c>
      <c r="C105" s="1" t="str">
        <f t="shared" si="5"/>
        <v xml:space="preserve"> Servicios financieros, bancarios y comerciales integrales</v>
      </c>
    </row>
    <row r="106" spans="1:3" x14ac:dyDescent="0.4">
      <c r="A106" s="42" t="s">
        <v>749</v>
      </c>
      <c r="B106" s="1">
        <f t="shared" si="4"/>
        <v>3500</v>
      </c>
      <c r="C106" s="1" t="str">
        <f t="shared" si="5"/>
        <v xml:space="preserve"> SERVICIOS DE INSTALACIÓN, REPARACIÓN, MANTENIMIENTO Y CONSERVACIÓN</v>
      </c>
    </row>
    <row r="107" spans="1:3" x14ac:dyDescent="0.4">
      <c r="A107" s="42" t="s">
        <v>750</v>
      </c>
      <c r="B107" s="1">
        <f t="shared" si="4"/>
        <v>3510</v>
      </c>
      <c r="C107" s="1" t="str">
        <f t="shared" si="5"/>
        <v xml:space="preserve"> Conservación y mantenimiento menor de inmuebles</v>
      </c>
    </row>
    <row r="108" spans="1:3" x14ac:dyDescent="0.4">
      <c r="A108" s="42" t="s">
        <v>751</v>
      </c>
      <c r="B108" s="1">
        <f t="shared" si="4"/>
        <v>3520</v>
      </c>
      <c r="C108" s="1" t="str">
        <f t="shared" si="5"/>
        <v xml:space="preserve"> Instalación, reparación y mantenimiento de mobiliario y equipo de administración, educacional y recreativo</v>
      </c>
    </row>
    <row r="109" spans="1:3" x14ac:dyDescent="0.4">
      <c r="A109" s="42" t="s">
        <v>752</v>
      </c>
      <c r="B109" s="1">
        <f t="shared" si="4"/>
        <v>3530</v>
      </c>
      <c r="C109" s="1" t="str">
        <f t="shared" si="5"/>
        <v xml:space="preserve"> Instalación, reparación y mantenimiento de equipo de cómputo y tecnologías de la información</v>
      </c>
    </row>
    <row r="110" spans="1:3" x14ac:dyDescent="0.4">
      <c r="A110" s="42" t="s">
        <v>753</v>
      </c>
      <c r="B110" s="1">
        <f t="shared" si="4"/>
        <v>3540</v>
      </c>
      <c r="C110" s="1" t="str">
        <f t="shared" si="5"/>
        <v xml:space="preserve"> Instalación, reparación y mantenimiento de equipo e instrumental médico y de laboratorio</v>
      </c>
    </row>
    <row r="111" spans="1:3" x14ac:dyDescent="0.4">
      <c r="A111" s="42" t="s">
        <v>754</v>
      </c>
      <c r="B111" s="1">
        <f t="shared" si="4"/>
        <v>3550</v>
      </c>
      <c r="C111" s="1" t="str">
        <f t="shared" si="5"/>
        <v xml:space="preserve"> Reparación y mantenimiento de equipo de transporte</v>
      </c>
    </row>
    <row r="112" spans="1:3" x14ac:dyDescent="0.4">
      <c r="A112" s="42" t="s">
        <v>755</v>
      </c>
      <c r="B112" s="1">
        <f t="shared" si="4"/>
        <v>3560</v>
      </c>
      <c r="C112" s="1" t="str">
        <f t="shared" si="5"/>
        <v xml:space="preserve"> Reparación y mantenimiento de equipo de defensa y seguridad</v>
      </c>
    </row>
    <row r="113" spans="1:3" x14ac:dyDescent="0.4">
      <c r="A113" s="42" t="s">
        <v>756</v>
      </c>
      <c r="B113" s="1">
        <f t="shared" si="4"/>
        <v>3570</v>
      </c>
      <c r="C113" s="1" t="str">
        <f t="shared" si="5"/>
        <v xml:space="preserve"> Instalación, reparación y mantenimiento de maquinaria, otros equipos y herramienta</v>
      </c>
    </row>
    <row r="114" spans="1:3" x14ac:dyDescent="0.4">
      <c r="A114" s="42" t="s">
        <v>757</v>
      </c>
      <c r="B114" s="1">
        <f t="shared" si="4"/>
        <v>3580</v>
      </c>
      <c r="C114" s="1" t="str">
        <f t="shared" si="5"/>
        <v xml:space="preserve"> Servicios de limpieza y manejo de desechos</v>
      </c>
    </row>
    <row r="115" spans="1:3" x14ac:dyDescent="0.4">
      <c r="A115" s="42" t="s">
        <v>758</v>
      </c>
      <c r="B115" s="1">
        <f t="shared" si="4"/>
        <v>3590</v>
      </c>
      <c r="C115" s="1" t="str">
        <f t="shared" si="5"/>
        <v xml:space="preserve"> Servicios de jardinería y fumigación</v>
      </c>
    </row>
    <row r="116" spans="1:3" x14ac:dyDescent="0.4">
      <c r="A116" s="42" t="s">
        <v>759</v>
      </c>
      <c r="B116" s="1">
        <f t="shared" si="4"/>
        <v>3600</v>
      </c>
      <c r="C116" s="1" t="str">
        <f t="shared" si="5"/>
        <v xml:space="preserve"> SERVICIOS DE COMUNICACIÓN SOCIAL Y PUBLICIDAD</v>
      </c>
    </row>
    <row r="117" spans="1:3" x14ac:dyDescent="0.4">
      <c r="A117" s="42" t="s">
        <v>760</v>
      </c>
      <c r="B117" s="1">
        <f t="shared" si="4"/>
        <v>3611</v>
      </c>
      <c r="C117" s="1" t="str">
        <f t="shared" si="5"/>
        <v xml:space="preserve"> Difusión por radio, televisión y prensa sobre programas y actividades gubernamentales</v>
      </c>
    </row>
    <row r="118" spans="1:3" x14ac:dyDescent="0.4">
      <c r="A118" s="42" t="s">
        <v>761</v>
      </c>
      <c r="B118" s="1">
        <f t="shared" ref="B118:B168" si="6">limpia(A118,1)</f>
        <v>3612</v>
      </c>
      <c r="C118" s="1" t="str">
        <f t="shared" ref="C118:C168" si="7">limpia(A118,2)</f>
        <v xml:space="preserve"> Difusión por medio alternativos sobre programas y actividades gubernamentales</v>
      </c>
    </row>
    <row r="119" spans="1:3" x14ac:dyDescent="0.4">
      <c r="A119" s="42" t="s">
        <v>762</v>
      </c>
      <c r="B119" s="1">
        <f t="shared" si="6"/>
        <v>3620</v>
      </c>
      <c r="C119" s="1" t="str">
        <f t="shared" si="7"/>
        <v xml:space="preserve"> Difusión por radio, televisión, y otros medios de mensajes comerciales para promover la venta de bienes y servicios</v>
      </c>
    </row>
    <row r="120" spans="1:3" x14ac:dyDescent="0.4">
      <c r="A120" s="42" t="s">
        <v>763</v>
      </c>
      <c r="B120" s="1">
        <f t="shared" si="6"/>
        <v>3630</v>
      </c>
      <c r="C120" s="1" t="str">
        <f t="shared" si="7"/>
        <v xml:space="preserve"> Servicios de creatividad, preproducción y producción de publicidad, excepto Internet</v>
      </c>
    </row>
    <row r="121" spans="1:3" x14ac:dyDescent="0.4">
      <c r="A121" s="42" t="s">
        <v>764</v>
      </c>
      <c r="B121" s="1">
        <f t="shared" si="6"/>
        <v>3640</v>
      </c>
      <c r="C121" s="1" t="str">
        <f t="shared" si="7"/>
        <v xml:space="preserve"> Servicios de revelado de fotografías</v>
      </c>
    </row>
    <row r="122" spans="1:3" x14ac:dyDescent="0.4">
      <c r="A122" s="42" t="s">
        <v>765</v>
      </c>
      <c r="B122" s="1">
        <f t="shared" si="6"/>
        <v>3650</v>
      </c>
      <c r="C122" s="1" t="str">
        <f t="shared" si="7"/>
        <v xml:space="preserve"> Servicios de la industria fílmica, del sonido y del video</v>
      </c>
    </row>
    <row r="123" spans="1:3" x14ac:dyDescent="0.4">
      <c r="A123" s="42" t="s">
        <v>766</v>
      </c>
      <c r="B123" s="1">
        <f t="shared" si="6"/>
        <v>3660</v>
      </c>
      <c r="C123" s="1" t="str">
        <f t="shared" si="7"/>
        <v xml:space="preserve"> Servicio de creación y difusión de contenido exclusivamente a través de Internet</v>
      </c>
    </row>
    <row r="124" spans="1:3" x14ac:dyDescent="0.4">
      <c r="A124" s="42" t="s">
        <v>767</v>
      </c>
      <c r="B124" s="1">
        <f t="shared" si="6"/>
        <v>3690</v>
      </c>
      <c r="C124" s="1" t="str">
        <f t="shared" si="7"/>
        <v xml:space="preserve"> Otros servicios de información</v>
      </c>
    </row>
    <row r="125" spans="1:3" x14ac:dyDescent="0.4">
      <c r="A125" s="42" t="s">
        <v>768</v>
      </c>
      <c r="B125" s="1">
        <f t="shared" si="6"/>
        <v>3700</v>
      </c>
      <c r="C125" s="1" t="str">
        <f t="shared" si="7"/>
        <v xml:space="preserve"> SERVICIOS DE TRASLADO Y VIÁTICOS</v>
      </c>
    </row>
    <row r="126" spans="1:3" x14ac:dyDescent="0.4">
      <c r="A126" s="42" t="s">
        <v>769</v>
      </c>
      <c r="B126" s="1">
        <f t="shared" si="6"/>
        <v>3710</v>
      </c>
      <c r="C126" s="1" t="str">
        <f t="shared" si="7"/>
        <v xml:space="preserve"> Pasajes aéreos</v>
      </c>
    </row>
    <row r="127" spans="1:3" x14ac:dyDescent="0.4">
      <c r="A127" s="42" t="s">
        <v>770</v>
      </c>
      <c r="B127" s="1">
        <f t="shared" si="6"/>
        <v>3720</v>
      </c>
      <c r="C127" s="1" t="str">
        <f t="shared" si="7"/>
        <v xml:space="preserve"> Pasajes terrestres</v>
      </c>
    </row>
    <row r="128" spans="1:3" x14ac:dyDescent="0.4">
      <c r="A128" s="42" t="s">
        <v>771</v>
      </c>
      <c r="B128" s="1">
        <f t="shared" si="6"/>
        <v>3730</v>
      </c>
      <c r="C128" s="1" t="str">
        <f t="shared" si="7"/>
        <v xml:space="preserve"> Pasajes marítimos, lacustres y fluviales</v>
      </c>
    </row>
    <row r="129" spans="1:3" x14ac:dyDescent="0.4">
      <c r="A129" s="42" t="s">
        <v>772</v>
      </c>
      <c r="B129" s="1">
        <f t="shared" si="6"/>
        <v>3740</v>
      </c>
      <c r="C129" s="1" t="str">
        <f t="shared" si="7"/>
        <v xml:space="preserve"> Autotransporte</v>
      </c>
    </row>
    <row r="130" spans="1:3" x14ac:dyDescent="0.4">
      <c r="A130" s="42" t="s">
        <v>773</v>
      </c>
      <c r="B130" s="1">
        <f t="shared" si="6"/>
        <v>3750</v>
      </c>
      <c r="C130" s="1" t="str">
        <f t="shared" si="7"/>
        <v xml:space="preserve"> Viáticos en el país</v>
      </c>
    </row>
    <row r="131" spans="1:3" x14ac:dyDescent="0.4">
      <c r="A131" s="42" t="s">
        <v>774</v>
      </c>
      <c r="B131" s="1">
        <f t="shared" si="6"/>
        <v>3760</v>
      </c>
      <c r="C131" s="1" t="str">
        <f t="shared" si="7"/>
        <v xml:space="preserve"> Viáticos en el extranjero</v>
      </c>
    </row>
    <row r="132" spans="1:3" x14ac:dyDescent="0.4">
      <c r="A132" s="42" t="s">
        <v>775</v>
      </c>
      <c r="B132" s="1">
        <f t="shared" si="6"/>
        <v>3770</v>
      </c>
      <c r="C132" s="1" t="str">
        <f t="shared" si="7"/>
        <v xml:space="preserve"> Gastos de instalación y traslado de menaje</v>
      </c>
    </row>
    <row r="133" spans="1:3" x14ac:dyDescent="0.4">
      <c r="A133" s="42" t="s">
        <v>776</v>
      </c>
      <c r="B133" s="1">
        <f t="shared" si="6"/>
        <v>3780</v>
      </c>
      <c r="C133" s="1" t="str">
        <f t="shared" si="7"/>
        <v xml:space="preserve"> Servicios integrales de traslado y viáticos</v>
      </c>
    </row>
    <row r="134" spans="1:3" x14ac:dyDescent="0.4">
      <c r="A134" s="42" t="s">
        <v>777</v>
      </c>
      <c r="B134" s="1">
        <f t="shared" si="6"/>
        <v>3790</v>
      </c>
      <c r="C134" s="1" t="str">
        <f t="shared" si="7"/>
        <v xml:space="preserve"> Otros servicios de traslado y hospedaje</v>
      </c>
    </row>
    <row r="135" spans="1:3" x14ac:dyDescent="0.4">
      <c r="A135" s="42" t="s">
        <v>778</v>
      </c>
      <c r="B135" s="1">
        <f t="shared" si="6"/>
        <v>3800</v>
      </c>
      <c r="C135" s="1" t="str">
        <f t="shared" si="7"/>
        <v xml:space="preserve"> SERVICIOS OFICIALES</v>
      </c>
    </row>
    <row r="136" spans="1:3" x14ac:dyDescent="0.4">
      <c r="A136" s="42" t="s">
        <v>779</v>
      </c>
      <c r="B136" s="1">
        <f t="shared" si="6"/>
        <v>3810</v>
      </c>
      <c r="C136" s="1" t="str">
        <f t="shared" si="7"/>
        <v xml:space="preserve"> Gastos de ceremonial</v>
      </c>
    </row>
    <row r="137" spans="1:3" x14ac:dyDescent="0.4">
      <c r="A137" s="42" t="s">
        <v>780</v>
      </c>
      <c r="B137" s="1">
        <f t="shared" si="6"/>
        <v>3820</v>
      </c>
      <c r="C137" s="1" t="str">
        <f t="shared" si="7"/>
        <v xml:space="preserve"> Gastos de orden social y cultural</v>
      </c>
    </row>
    <row r="138" spans="1:3" x14ac:dyDescent="0.4">
      <c r="A138" s="42" t="s">
        <v>781</v>
      </c>
      <c r="B138" s="1">
        <f t="shared" si="6"/>
        <v>3830</v>
      </c>
      <c r="C138" s="1" t="str">
        <f t="shared" si="7"/>
        <v xml:space="preserve"> Congresos y convenciones</v>
      </c>
    </row>
    <row r="139" spans="1:3" x14ac:dyDescent="0.4">
      <c r="A139" s="42" t="s">
        <v>782</v>
      </c>
      <c r="B139" s="1">
        <f t="shared" si="6"/>
        <v>3840</v>
      </c>
      <c r="C139" s="1" t="str">
        <f t="shared" si="7"/>
        <v xml:space="preserve"> Exposiciones</v>
      </c>
    </row>
    <row r="140" spans="1:3" x14ac:dyDescent="0.4">
      <c r="A140" s="42" t="s">
        <v>783</v>
      </c>
      <c r="B140" s="1">
        <f t="shared" si="6"/>
        <v>3850</v>
      </c>
      <c r="C140" s="1" t="str">
        <f t="shared" si="7"/>
        <v xml:space="preserve"> Gastos de representación</v>
      </c>
    </row>
    <row r="141" spans="1:3" x14ac:dyDescent="0.4">
      <c r="A141" s="42" t="s">
        <v>784</v>
      </c>
      <c r="B141" s="1">
        <f t="shared" si="6"/>
        <v>3900</v>
      </c>
      <c r="C141" s="1" t="str">
        <f t="shared" si="7"/>
        <v xml:space="preserve"> OTROS SERVICIOS GENERALES</v>
      </c>
    </row>
    <row r="142" spans="1:3" x14ac:dyDescent="0.4">
      <c r="A142" s="42" t="s">
        <v>785</v>
      </c>
      <c r="B142" s="1">
        <f t="shared" si="6"/>
        <v>3910</v>
      </c>
      <c r="C142" s="1" t="str">
        <f t="shared" si="7"/>
        <v xml:space="preserve"> Servicios funerarios y de cementerios</v>
      </c>
    </row>
    <row r="143" spans="1:3" x14ac:dyDescent="0.4">
      <c r="A143" s="42" t="s">
        <v>786</v>
      </c>
      <c r="B143" s="1">
        <f t="shared" si="6"/>
        <v>3920</v>
      </c>
      <c r="C143" s="1" t="str">
        <f t="shared" si="7"/>
        <v xml:space="preserve"> Impuestos y derechos</v>
      </c>
    </row>
    <row r="144" spans="1:3" x14ac:dyDescent="0.4">
      <c r="A144" s="42" t="s">
        <v>787</v>
      </c>
      <c r="B144" s="1">
        <f t="shared" si="6"/>
        <v>3930</v>
      </c>
      <c r="C144" s="1" t="str">
        <f t="shared" si="7"/>
        <v xml:space="preserve"> Impuestos y derechos de importación</v>
      </c>
    </row>
    <row r="145" spans="1:3" x14ac:dyDescent="0.4">
      <c r="A145" s="42" t="s">
        <v>788</v>
      </c>
      <c r="B145" s="1">
        <f t="shared" si="6"/>
        <v>3940</v>
      </c>
      <c r="C145" s="1" t="str">
        <f t="shared" si="7"/>
        <v xml:space="preserve"> Sentencias y resoluciones judiciales</v>
      </c>
    </row>
    <row r="146" spans="1:3" x14ac:dyDescent="0.4">
      <c r="A146" s="42" t="s">
        <v>789</v>
      </c>
      <c r="B146" s="1">
        <f t="shared" si="6"/>
        <v>3950</v>
      </c>
      <c r="C146" s="1" t="str">
        <f t="shared" si="7"/>
        <v xml:space="preserve"> Penas, multas, accesorios y actualizaciones</v>
      </c>
    </row>
    <row r="147" spans="1:3" x14ac:dyDescent="0.4">
      <c r="A147" s="42" t="s">
        <v>790</v>
      </c>
      <c r="B147" s="1">
        <f t="shared" si="6"/>
        <v>3960</v>
      </c>
      <c r="C147" s="1" t="str">
        <f t="shared" si="7"/>
        <v xml:space="preserve"> Otros gastos por responsabilidades</v>
      </c>
    </row>
    <row r="148" spans="1:3" x14ac:dyDescent="0.4">
      <c r="A148" s="42" t="s">
        <v>791</v>
      </c>
      <c r="B148" s="1">
        <f t="shared" si="6"/>
        <v>3980</v>
      </c>
      <c r="C148" s="1" t="str">
        <f t="shared" si="7"/>
        <v xml:space="preserve"> Impuesto sobre nóminas y otros que se deriven de una relación laboral (Entra en</v>
      </c>
    </row>
    <row r="149" spans="1:3" x14ac:dyDescent="0.4">
      <c r="A149" s="42" t="s">
        <v>792</v>
      </c>
      <c r="B149" s="1">
        <f t="shared" si="6"/>
        <v>3990</v>
      </c>
      <c r="C149" s="1" t="str">
        <f t="shared" si="7"/>
        <v xml:space="preserve"> Otros servicios generales</v>
      </c>
    </row>
    <row r="150" spans="1:3" x14ac:dyDescent="0.4">
      <c r="A150" s="42" t="s">
        <v>793</v>
      </c>
      <c r="B150" s="1">
        <f t="shared" si="6"/>
        <v>4000</v>
      </c>
      <c r="C150" s="1" t="str">
        <f t="shared" si="7"/>
        <v xml:space="preserve"> TRANSFERENCIAS, ASIGNACIONES, SUBSIDIOS Y OTRAS AYUDAS</v>
      </c>
    </row>
    <row r="151" spans="1:3" x14ac:dyDescent="0.4">
      <c r="A151" s="42" t="s">
        <v>794</v>
      </c>
      <c r="B151" s="1">
        <f t="shared" si="6"/>
        <v>4100</v>
      </c>
      <c r="C151" s="1" t="str">
        <f t="shared" si="7"/>
        <v xml:space="preserve"> TRANSFERENCIAS INTERNAS Y ASIGNACIONES AL SECTOR PÚBLICO</v>
      </c>
    </row>
    <row r="152" spans="1:3" x14ac:dyDescent="0.4">
      <c r="A152" s="42" t="s">
        <v>795</v>
      </c>
      <c r="B152" s="1">
        <f t="shared" si="6"/>
        <v>4111</v>
      </c>
      <c r="C152" s="1" t="str">
        <f t="shared" si="7"/>
        <v xml:space="preserve"> Asignaciones presupuestarias al Poder Ejecutivo para servicios personales</v>
      </c>
    </row>
    <row r="153" spans="1:3" x14ac:dyDescent="0.4">
      <c r="A153" s="42" t="s">
        <v>796</v>
      </c>
      <c r="B153" s="1">
        <f t="shared" si="6"/>
        <v>4112</v>
      </c>
      <c r="C153" s="1" t="str">
        <f t="shared" si="7"/>
        <v xml:space="preserve"> Asignaciones presupuestarias al Poder Ejecutivo para materiales y suministros</v>
      </c>
    </row>
    <row r="154" spans="1:3" x14ac:dyDescent="0.4">
      <c r="A154" s="42" t="s">
        <v>797</v>
      </c>
      <c r="B154" s="1">
        <f t="shared" si="6"/>
        <v>4113</v>
      </c>
      <c r="C154" s="1" t="str">
        <f t="shared" si="7"/>
        <v xml:space="preserve"> Asignaciones presupuestarias al Poder Ejecutivo para servicios generales</v>
      </c>
    </row>
    <row r="155" spans="1:3" x14ac:dyDescent="0.4">
      <c r="A155" s="42" t="s">
        <v>798</v>
      </c>
      <c r="B155" s="1">
        <f t="shared" si="6"/>
        <v>4114</v>
      </c>
      <c r="C155" s="1" t="str">
        <f t="shared" si="7"/>
        <v xml:space="preserve"> Asignaciones presupuestarias al Poder Ejecutivo de gasto corriente para asignaciones, subsidios y otras ayudas</v>
      </c>
    </row>
    <row r="156" spans="1:3" x14ac:dyDescent="0.4">
      <c r="A156" s="42" t="s">
        <v>799</v>
      </c>
      <c r="B156" s="1">
        <f t="shared" si="6"/>
        <v>4115</v>
      </c>
      <c r="C156" s="1" t="str">
        <f t="shared" si="7"/>
        <v xml:space="preserve"> Asignaciones presupuestarias al Poder Ejecutivo para bienes muebles, inmuebles e intangibles</v>
      </c>
    </row>
    <row r="157" spans="1:3" x14ac:dyDescent="0.4">
      <c r="A157" s="42" t="s">
        <v>800</v>
      </c>
      <c r="B157" s="1">
        <f t="shared" si="6"/>
        <v>4116</v>
      </c>
      <c r="C157" s="1" t="str">
        <f t="shared" si="7"/>
        <v xml:space="preserve"> Asignaciones presupuestarias al Poder Ejecutivo para inversión pública</v>
      </c>
    </row>
    <row r="158" spans="1:3" x14ac:dyDescent="0.4">
      <c r="A158" s="42" t="s">
        <v>801</v>
      </c>
      <c r="B158" s="1">
        <f t="shared" si="6"/>
        <v>4117</v>
      </c>
      <c r="C158" s="1" t="str">
        <f t="shared" si="7"/>
        <v xml:space="preserve"> Asignaciones presupuestarias al Poder Ejecutivo de gasto corriente para inversiones financieras y otras provisiones</v>
      </c>
    </row>
    <row r="159" spans="1:3" x14ac:dyDescent="0.4">
      <c r="A159" s="42" t="s">
        <v>802</v>
      </c>
      <c r="B159" s="1">
        <f t="shared" si="6"/>
        <v>4118</v>
      </c>
      <c r="C159" s="1" t="str">
        <f t="shared" si="7"/>
        <v xml:space="preserve"> Asignaciones presupuestarias al Poder Ejecutivo de gasto de capital para asignaciones, subsidios y otras ayudas</v>
      </c>
    </row>
    <row r="160" spans="1:3" x14ac:dyDescent="0.4">
      <c r="A160" s="42" t="s">
        <v>803</v>
      </c>
      <c r="B160" s="1">
        <f t="shared" si="6"/>
        <v>4119</v>
      </c>
      <c r="C160" s="1" t="str">
        <f t="shared" si="7"/>
        <v xml:space="preserve"> Asignaciones presupuestarias al Poder Ejecutivo de gasto de capital para inversiones financieras y otras provisiones</v>
      </c>
    </row>
    <row r="161" spans="1:3" x14ac:dyDescent="0.4">
      <c r="A161" s="42" t="s">
        <v>804</v>
      </c>
      <c r="B161" s="1">
        <f t="shared" si="6"/>
        <v>4121</v>
      </c>
      <c r="C161" s="1" t="str">
        <f t="shared" si="7"/>
        <v xml:space="preserve"> Asignaciones presupuestarias al Poder Legislativo para servicios personales</v>
      </c>
    </row>
    <row r="162" spans="1:3" x14ac:dyDescent="0.4">
      <c r="A162" s="42" t="s">
        <v>805</v>
      </c>
      <c r="B162" s="1">
        <f t="shared" si="6"/>
        <v>4122</v>
      </c>
      <c r="C162" s="1" t="str">
        <f t="shared" si="7"/>
        <v xml:space="preserve"> Asignaciones presupuestarias al Poder Legislativo para materiales y suministros</v>
      </c>
    </row>
    <row r="163" spans="1:3" x14ac:dyDescent="0.4">
      <c r="A163" s="42" t="s">
        <v>806</v>
      </c>
      <c r="B163" s="1">
        <f t="shared" si="6"/>
        <v>4123</v>
      </c>
      <c r="C163" s="1" t="str">
        <f t="shared" si="7"/>
        <v xml:space="preserve"> Asignaciones presupuestarias al Poder Legislativo para servicios generales</v>
      </c>
    </row>
    <row r="164" spans="1:3" x14ac:dyDescent="0.4">
      <c r="A164" s="42" t="s">
        <v>807</v>
      </c>
      <c r="B164" s="1">
        <f t="shared" si="6"/>
        <v>4124</v>
      </c>
      <c r="C164" s="1" t="str">
        <f t="shared" si="7"/>
        <v xml:space="preserve"> Asignaciones presupuestarias al Poder Legislativo de gasto corriente para asignaciones, subsidios y otras ayudas</v>
      </c>
    </row>
    <row r="165" spans="1:3" x14ac:dyDescent="0.4">
      <c r="A165" s="42" t="s">
        <v>808</v>
      </c>
      <c r="B165" s="1">
        <f t="shared" si="6"/>
        <v>4125</v>
      </c>
      <c r="C165" s="1" t="str">
        <f t="shared" si="7"/>
        <v xml:space="preserve"> Asignaciones presupuestarias al Poder Legislativo para bienes muebles, inmuebles e intangibles</v>
      </c>
    </row>
    <row r="166" spans="1:3" x14ac:dyDescent="0.4">
      <c r="A166" s="42" t="s">
        <v>809</v>
      </c>
      <c r="B166" s="1">
        <f t="shared" si="6"/>
        <v>4126</v>
      </c>
      <c r="C166" s="1" t="str">
        <f t="shared" si="7"/>
        <v xml:space="preserve"> Asignaciones presupuestarias al Poder Legislativo para inversión pública</v>
      </c>
    </row>
    <row r="167" spans="1:3" x14ac:dyDescent="0.4">
      <c r="A167" s="42" t="s">
        <v>810</v>
      </c>
      <c r="B167" s="1">
        <f t="shared" si="6"/>
        <v>4127</v>
      </c>
      <c r="C167" s="1" t="str">
        <f t="shared" si="7"/>
        <v xml:space="preserve"> Asignaciones presupuestarias al Poder Legislativo de gasto corriente para inversiones financieras y otras provisiones</v>
      </c>
    </row>
    <row r="168" spans="1:3" x14ac:dyDescent="0.4">
      <c r="A168" s="42" t="s">
        <v>811</v>
      </c>
      <c r="B168" s="1">
        <f t="shared" si="6"/>
        <v>4128</v>
      </c>
      <c r="C168" s="1" t="str">
        <f t="shared" si="7"/>
        <v xml:space="preserve"> Asignaciones presupuestarias al Poder Legislativo de gasto de capital para asignaciones, subsidios y otras ayudas</v>
      </c>
    </row>
    <row r="169" spans="1:3" x14ac:dyDescent="0.4">
      <c r="A169" s="42" t="s">
        <v>812</v>
      </c>
      <c r="B169" s="1">
        <f t="shared" ref="B169:B206" si="8">limpia(A169,1)</f>
        <v>4129</v>
      </c>
      <c r="C169" s="1" t="str">
        <f t="shared" ref="C169:C206" si="9">limpia(A169,2)</f>
        <v xml:space="preserve"> Asignaciones presupuestarias al Poder Legislativo de gasto de capital para inversiones financieras y otras provisiones</v>
      </c>
    </row>
    <row r="170" spans="1:3" x14ac:dyDescent="0.4">
      <c r="A170" s="42" t="s">
        <v>813</v>
      </c>
      <c r="B170" s="1">
        <f t="shared" si="8"/>
        <v>4131</v>
      </c>
      <c r="C170" s="1" t="str">
        <f t="shared" si="9"/>
        <v xml:space="preserve"> Asignaciones presupuestarias al Poder Judicial para servicios personales</v>
      </c>
    </row>
    <row r="171" spans="1:3" x14ac:dyDescent="0.4">
      <c r="A171" s="42" t="s">
        <v>814</v>
      </c>
      <c r="B171" s="1">
        <f t="shared" si="8"/>
        <v>4132</v>
      </c>
      <c r="C171" s="1" t="str">
        <f t="shared" si="9"/>
        <v xml:space="preserve"> Asignaciones presupuestarias al Poder Judicial para materiales y suministros</v>
      </c>
    </row>
    <row r="172" spans="1:3" x14ac:dyDescent="0.4">
      <c r="A172" s="42" t="s">
        <v>815</v>
      </c>
      <c r="B172" s="1">
        <f t="shared" si="8"/>
        <v>4133</v>
      </c>
      <c r="C172" s="1" t="str">
        <f t="shared" si="9"/>
        <v xml:space="preserve"> Asignaciones presupuestarias al Poder Judicial para servicios generales</v>
      </c>
    </row>
    <row r="173" spans="1:3" x14ac:dyDescent="0.4">
      <c r="A173" s="42" t="s">
        <v>816</v>
      </c>
      <c r="B173" s="1">
        <f t="shared" si="8"/>
        <v>4134</v>
      </c>
      <c r="C173" s="1" t="str">
        <f t="shared" si="9"/>
        <v xml:space="preserve"> Asignaciones presupuestarias al Poder Judicial de gasto corriente para asignaciones, subsidios y otras ayudas</v>
      </c>
    </row>
    <row r="174" spans="1:3" x14ac:dyDescent="0.4">
      <c r="A174" s="42" t="s">
        <v>817</v>
      </c>
      <c r="B174" s="1">
        <f t="shared" si="8"/>
        <v>4135</v>
      </c>
      <c r="C174" s="1" t="str">
        <f t="shared" si="9"/>
        <v xml:space="preserve"> Asignaciones presupuestarias al Poder Judicial para bienes muebles, inmuebles e intangibles</v>
      </c>
    </row>
    <row r="175" spans="1:3" x14ac:dyDescent="0.4">
      <c r="A175" s="42" t="s">
        <v>818</v>
      </c>
      <c r="B175" s="1">
        <f t="shared" si="8"/>
        <v>4136</v>
      </c>
      <c r="C175" s="1" t="str">
        <f t="shared" si="9"/>
        <v xml:space="preserve"> Asignaciones presupuestarias al Poder Judicial para inversión pública</v>
      </c>
    </row>
    <row r="176" spans="1:3" x14ac:dyDescent="0.4">
      <c r="A176" s="42" t="s">
        <v>819</v>
      </c>
      <c r="B176" s="1">
        <f t="shared" si="8"/>
        <v>4137</v>
      </c>
      <c r="C176" s="1" t="str">
        <f t="shared" si="9"/>
        <v xml:space="preserve"> Asignaciones presupuestarias al Poder Judicial de gasto corriente para inversiones financieras y otras provisiones</v>
      </c>
    </row>
    <row r="177" spans="1:3" x14ac:dyDescent="0.4">
      <c r="A177" s="42" t="s">
        <v>820</v>
      </c>
      <c r="B177" s="1">
        <f t="shared" si="8"/>
        <v>4138</v>
      </c>
      <c r="C177" s="1" t="str">
        <f t="shared" si="9"/>
        <v xml:space="preserve"> Asignaciones presupuestarias al Poder Judicial de gasto de capital para asignaciones, subsidios y otras ayudas</v>
      </c>
    </row>
    <row r="178" spans="1:3" x14ac:dyDescent="0.4">
      <c r="A178" s="42" t="s">
        <v>821</v>
      </c>
      <c r="B178" s="1">
        <f t="shared" si="8"/>
        <v>4139</v>
      </c>
      <c r="C178" s="1" t="str">
        <f t="shared" si="9"/>
        <v xml:space="preserve"> Asignaciones presupuestarias al Poder Judicial de gasto de capital para inversiones financieras y otras provisiones</v>
      </c>
    </row>
    <row r="179" spans="1:3" x14ac:dyDescent="0.4">
      <c r="A179" s="42" t="s">
        <v>822</v>
      </c>
      <c r="B179" s="1">
        <f t="shared" si="8"/>
        <v>4141</v>
      </c>
      <c r="C179" s="1" t="str">
        <f t="shared" si="9"/>
        <v xml:space="preserve"> Asignaciones presupuestarias a Organismos Autónomos para servicios personales</v>
      </c>
    </row>
    <row r="180" spans="1:3" x14ac:dyDescent="0.4">
      <c r="A180" s="42" t="s">
        <v>823</v>
      </c>
      <c r="B180" s="1">
        <f t="shared" si="8"/>
        <v>4142</v>
      </c>
      <c r="C180" s="1" t="str">
        <f t="shared" si="9"/>
        <v xml:space="preserve"> Asignaciones presupuestarias a Organismos Autónomos para materiales y suministros</v>
      </c>
    </row>
    <row r="181" spans="1:3" x14ac:dyDescent="0.4">
      <c r="A181" s="42" t="s">
        <v>824</v>
      </c>
      <c r="B181" s="1">
        <f t="shared" si="8"/>
        <v>4143</v>
      </c>
      <c r="C181" s="1" t="str">
        <f t="shared" si="9"/>
        <v xml:space="preserve"> Asignaciones presupuestarias a Organismos Autónomos para servicios generales</v>
      </c>
    </row>
    <row r="182" spans="1:3" x14ac:dyDescent="0.4">
      <c r="A182" s="42" t="s">
        <v>825</v>
      </c>
      <c r="B182" s="1">
        <f t="shared" si="8"/>
        <v>4144</v>
      </c>
      <c r="C182" s="1" t="str">
        <f t="shared" si="9"/>
        <v xml:space="preserve"> Asignaciones presupuestarias a Organismos Autónomos de gasto corriente para asignaciones, subsidios y otras ayudas</v>
      </c>
    </row>
    <row r="183" spans="1:3" x14ac:dyDescent="0.4">
      <c r="A183" s="42" t="s">
        <v>826</v>
      </c>
      <c r="B183" s="1">
        <f t="shared" si="8"/>
        <v>4145</v>
      </c>
      <c r="C183" s="1" t="str">
        <f t="shared" si="9"/>
        <v xml:space="preserve"> Asignaciones presupuestarias a Organismos Autónomos para bienes muebles, inmuebles e intangibles</v>
      </c>
    </row>
    <row r="184" spans="1:3" x14ac:dyDescent="0.4">
      <c r="A184" s="42" t="s">
        <v>827</v>
      </c>
      <c r="B184" s="1">
        <f t="shared" si="8"/>
        <v>4146</v>
      </c>
      <c r="C184" s="1" t="str">
        <f t="shared" si="9"/>
        <v xml:space="preserve"> Asignaciones presupuestarias a Organismos Autónomos para inversión pública</v>
      </c>
    </row>
    <row r="185" spans="1:3" x14ac:dyDescent="0.4">
      <c r="A185" s="42" t="s">
        <v>828</v>
      </c>
      <c r="B185" s="1">
        <f t="shared" si="8"/>
        <v>4147</v>
      </c>
      <c r="C185" s="1" t="str">
        <f t="shared" si="9"/>
        <v xml:space="preserve"> Asignaciones presupuestarias a Organismos Autónomos de gasto corriente para inversiones financieras y otras provisiones</v>
      </c>
    </row>
    <row r="186" spans="1:3" x14ac:dyDescent="0.4">
      <c r="A186" s="42" t="s">
        <v>829</v>
      </c>
      <c r="B186" s="1">
        <f t="shared" si="8"/>
        <v>4148</v>
      </c>
      <c r="C186" s="1" t="str">
        <f t="shared" si="9"/>
        <v xml:space="preserve"> Asignaciones presupuestarias a Organismos Autónomos de gasto de capital para asignaciones, subsidios y otras ayudas</v>
      </c>
    </row>
    <row r="187" spans="1:3" x14ac:dyDescent="0.4">
      <c r="A187" s="42" t="s">
        <v>830</v>
      </c>
      <c r="B187" s="1">
        <f t="shared" si="8"/>
        <v>4149</v>
      </c>
      <c r="C187" s="1" t="str">
        <f t="shared" si="9"/>
        <v xml:space="preserve"> Asignaciones presupuestarias a Organismos Autónomos de gasto de capital para inversiones financieras y otras provisiones</v>
      </c>
    </row>
    <row r="188" spans="1:3" x14ac:dyDescent="0.4">
      <c r="A188" s="42" t="s">
        <v>831</v>
      </c>
      <c r="B188" s="1">
        <f t="shared" si="8"/>
        <v>4151</v>
      </c>
      <c r="C188" s="1" t="str">
        <f t="shared" si="9"/>
        <v xml:space="preserve"> Transferencias internas otorgadas a entidades paraestatales no empresariales y no financieras para servicios personales</v>
      </c>
    </row>
    <row r="189" spans="1:3" x14ac:dyDescent="0.4">
      <c r="A189" s="42" t="s">
        <v>832</v>
      </c>
      <c r="B189" s="1">
        <f t="shared" si="8"/>
        <v>4152</v>
      </c>
      <c r="C189" s="1" t="str">
        <f t="shared" si="9"/>
        <v xml:space="preserve"> Transferencias internas otorgadas a entidades paraestatales no empresariales y no financieras para materiales y suministros</v>
      </c>
    </row>
    <row r="190" spans="1:3" x14ac:dyDescent="0.4">
      <c r="A190" s="42" t="s">
        <v>833</v>
      </c>
      <c r="B190" s="1">
        <f t="shared" si="8"/>
        <v>4153</v>
      </c>
      <c r="C190" s="1" t="str">
        <f t="shared" si="9"/>
        <v xml:space="preserve"> Transferencias internas otorgadas a entidades paraestatales no empresariales y no financieras para servicios generales</v>
      </c>
    </row>
    <row r="191" spans="1:3" x14ac:dyDescent="0.4">
      <c r="A191" s="42" t="s">
        <v>834</v>
      </c>
      <c r="B191" s="1">
        <f t="shared" si="8"/>
        <v>4154</v>
      </c>
      <c r="C191" s="1" t="str">
        <f t="shared" si="9"/>
        <v xml:space="preserve"> Transferencias internas otorgadas a entidades paraestatales no empresariales y no financieras de gasto corriente para asignaciones, subsidios y otras ayudas</v>
      </c>
    </row>
    <row r="192" spans="1:3" x14ac:dyDescent="0.4">
      <c r="A192" s="42" t="s">
        <v>835</v>
      </c>
      <c r="B192" s="1">
        <f t="shared" si="8"/>
        <v>4155</v>
      </c>
      <c r="C192" s="1" t="str">
        <f t="shared" si="9"/>
        <v xml:space="preserve"> Transferencias internas otorgadas a entidades paraestatales no empresariales y no financieras para bienes muebles, inmuebles e intangibles</v>
      </c>
    </row>
    <row r="193" spans="1:3" x14ac:dyDescent="0.4">
      <c r="A193" s="42" t="s">
        <v>836</v>
      </c>
      <c r="B193" s="1">
        <f t="shared" si="8"/>
        <v>4156</v>
      </c>
      <c r="C193" s="1" t="str">
        <f t="shared" si="9"/>
        <v xml:space="preserve"> Transferencias internas otorgadas a entidades paraestatales no empresariales y no financieras para inversión pública</v>
      </c>
    </row>
    <row r="194" spans="1:3" x14ac:dyDescent="0.4">
      <c r="A194" s="42" t="s">
        <v>837</v>
      </c>
      <c r="B194" s="1">
        <f t="shared" si="8"/>
        <v>4157</v>
      </c>
      <c r="C194" s="1" t="str">
        <f t="shared" si="9"/>
        <v xml:space="preserve"> Transferencias internas otorgadas a entidades paraestatales no empresariales y no financieras de gasto corriente para inversiones financieras y otras provisiones</v>
      </c>
    </row>
    <row r="195" spans="1:3" x14ac:dyDescent="0.4">
      <c r="A195" s="42" t="s">
        <v>838</v>
      </c>
      <c r="B195" s="1">
        <f t="shared" si="8"/>
        <v>4158</v>
      </c>
      <c r="C195" s="1" t="str">
        <f t="shared" si="9"/>
        <v xml:space="preserve"> Transferencias internas otorgadas a entidades paraestatales no empresariales y no financieras de gasto de capital para asignaciones, subsidios y otras ayudas</v>
      </c>
    </row>
    <row r="196" spans="1:3" x14ac:dyDescent="0.4">
      <c r="A196" s="42" t="s">
        <v>839</v>
      </c>
      <c r="B196" s="1">
        <f t="shared" si="8"/>
        <v>4159</v>
      </c>
      <c r="C196" s="1" t="str">
        <f t="shared" si="9"/>
        <v xml:space="preserve"> Transferencias internas otorgadas a entidades paraestatales no empresariales y no financieras de gasto de capital para inversiones financieras y otras provisiones</v>
      </c>
    </row>
    <row r="197" spans="1:3" x14ac:dyDescent="0.4">
      <c r="A197" s="42" t="s">
        <v>840</v>
      </c>
      <c r="B197" s="1">
        <f t="shared" si="8"/>
        <v>4161</v>
      </c>
      <c r="C197" s="1" t="str">
        <f t="shared" si="9"/>
        <v xml:space="preserve"> Transferencias internas otorgadas a entidades paraestatales empresariales y no financieras para servicios personales</v>
      </c>
    </row>
    <row r="198" spans="1:3" x14ac:dyDescent="0.4">
      <c r="A198" s="42" t="s">
        <v>841</v>
      </c>
      <c r="B198" s="1">
        <f t="shared" si="8"/>
        <v>4162</v>
      </c>
      <c r="C198" s="1" t="str">
        <f t="shared" si="9"/>
        <v xml:space="preserve"> Transferencias internas otorgadas a entidades paraestatales empresariales y no financieras para materiales y suministros</v>
      </c>
    </row>
    <row r="199" spans="1:3" x14ac:dyDescent="0.4">
      <c r="A199" s="42" t="s">
        <v>842</v>
      </c>
      <c r="B199" s="1">
        <f t="shared" si="8"/>
        <v>4163</v>
      </c>
      <c r="C199" s="1" t="str">
        <f t="shared" si="9"/>
        <v xml:space="preserve"> Transferencias internas otorgadas a entidades paraestatales empresariales y no financieras para servicios generales</v>
      </c>
    </row>
    <row r="200" spans="1:3" x14ac:dyDescent="0.4">
      <c r="A200" s="42" t="s">
        <v>843</v>
      </c>
      <c r="B200" s="1">
        <f t="shared" si="8"/>
        <v>4164</v>
      </c>
      <c r="C200" s="1" t="str">
        <f t="shared" si="9"/>
        <v xml:space="preserve"> Transferencias internas otorgadas a entidades paraestatales empresariales y no financieras de gasto corriente para asignaciones, subsidios y otras ayudas</v>
      </c>
    </row>
    <row r="201" spans="1:3" x14ac:dyDescent="0.4">
      <c r="A201" s="42" t="s">
        <v>844</v>
      </c>
      <c r="B201" s="1">
        <f t="shared" si="8"/>
        <v>4165</v>
      </c>
      <c r="C201" s="1" t="str">
        <f t="shared" si="9"/>
        <v xml:space="preserve"> Transferencias internas otorgadas a entidades paraestatales empresariales y no financieras para bienes muebles, inmuebles e intangibles</v>
      </c>
    </row>
    <row r="202" spans="1:3" x14ac:dyDescent="0.4">
      <c r="A202" s="42" t="s">
        <v>845</v>
      </c>
      <c r="B202" s="1">
        <f t="shared" si="8"/>
        <v>4166</v>
      </c>
      <c r="C202" s="1" t="str">
        <f t="shared" si="9"/>
        <v xml:space="preserve"> Transferencias internas otorgadas a entidades paraestatales empresariales y no financieras para inversión pública</v>
      </c>
    </row>
    <row r="203" spans="1:3" x14ac:dyDescent="0.4">
      <c r="A203" s="42" t="s">
        <v>846</v>
      </c>
      <c r="B203" s="1">
        <f t="shared" si="8"/>
        <v>4167</v>
      </c>
      <c r="C203" s="1" t="str">
        <f t="shared" si="9"/>
        <v xml:space="preserve"> Transferencias internas otorgadas a entidades paraestatales empresariales y no financieras de gasto corriente para inversiones financieras y otras provisiones</v>
      </c>
    </row>
    <row r="204" spans="1:3" x14ac:dyDescent="0.4">
      <c r="A204" s="42" t="s">
        <v>847</v>
      </c>
      <c r="B204" s="1">
        <f t="shared" si="8"/>
        <v>4168</v>
      </c>
      <c r="C204" s="1" t="str">
        <f t="shared" si="9"/>
        <v xml:space="preserve"> Transferencias internas otorgadas a entidades paraestatales empresariales y no financieras de gasto de capital para asignaciones, subsidios y otras ayudas</v>
      </c>
    </row>
    <row r="205" spans="1:3" x14ac:dyDescent="0.4">
      <c r="A205" s="42" t="s">
        <v>848</v>
      </c>
      <c r="B205" s="1">
        <f t="shared" si="8"/>
        <v>4169</v>
      </c>
      <c r="C205" s="1" t="str">
        <f t="shared" si="9"/>
        <v xml:space="preserve"> Transferencias internas otorgadas a entidades paraestatales empresariales y no financieras de gasto de capital para inversiones financieras y otras provisiones</v>
      </c>
    </row>
    <row r="206" spans="1:3" x14ac:dyDescent="0.4">
      <c r="A206" s="42" t="s">
        <v>849</v>
      </c>
      <c r="B206" s="1">
        <f t="shared" si="8"/>
        <v>4170</v>
      </c>
      <c r="C206" s="1" t="str">
        <f t="shared" si="9"/>
        <v xml:space="preserve"> Transferencias internas otorgadas a fideicomisos públicos empresariales y no</v>
      </c>
    </row>
    <row r="207" spans="1:3" x14ac:dyDescent="0.4">
      <c r="A207" s="42" t="s">
        <v>850</v>
      </c>
      <c r="B207" s="1">
        <f t="shared" ref="B207:B249" si="10">limpia(A207,1)</f>
        <v>4180</v>
      </c>
      <c r="C207" s="1" t="str">
        <f t="shared" ref="C207:C249" si="11">limpia(A207,2)</f>
        <v xml:space="preserve"> Transferencias internas otorgadas a instituciones paraestatales públicas financieras</v>
      </c>
    </row>
    <row r="208" spans="1:3" x14ac:dyDescent="0.4">
      <c r="A208" s="42" t="s">
        <v>851</v>
      </c>
      <c r="B208" s="1">
        <f t="shared" si="10"/>
        <v>4190</v>
      </c>
      <c r="C208" s="1" t="str">
        <f t="shared" si="11"/>
        <v xml:space="preserve"> Transferencias internas otorgadas a fideicomisos públicos financieros</v>
      </c>
    </row>
    <row r="209" spans="1:3" x14ac:dyDescent="0.4">
      <c r="A209" s="42" t="s">
        <v>852</v>
      </c>
      <c r="B209" s="1">
        <f t="shared" si="10"/>
        <v>4200</v>
      </c>
      <c r="C209" s="1" t="str">
        <f t="shared" si="11"/>
        <v xml:space="preserve"> TRANSFERENCIAS AL RESTO DEL SECTOR PÚBLICO</v>
      </c>
    </row>
    <row r="210" spans="1:3" x14ac:dyDescent="0.4">
      <c r="A210" s="42" t="s">
        <v>853</v>
      </c>
      <c r="B210" s="1">
        <f t="shared" si="10"/>
        <v>4211</v>
      </c>
      <c r="C210" s="1" t="str">
        <f t="shared" si="11"/>
        <v xml:space="preserve"> Transferencias otorgadas a entidades paraestatales no empresariales y no financieras para gasto corriente</v>
      </c>
    </row>
    <row r="211" spans="1:3" x14ac:dyDescent="0.4">
      <c r="A211" s="42" t="s">
        <v>854</v>
      </c>
      <c r="B211" s="1">
        <f t="shared" si="10"/>
        <v>4212</v>
      </c>
      <c r="C211" s="1" t="str">
        <f t="shared" si="11"/>
        <v xml:space="preserve"> Transferencias otorgadas a entidades paraestatales no empresariales y no financieras para gasto de capital</v>
      </c>
    </row>
    <row r="212" spans="1:3" x14ac:dyDescent="0.4">
      <c r="A212" s="42" t="s">
        <v>855</v>
      </c>
      <c r="B212" s="1">
        <f t="shared" si="10"/>
        <v>4221</v>
      </c>
      <c r="C212" s="1" t="str">
        <f t="shared" si="11"/>
        <v xml:space="preserve"> Transferencias otorgadas a entidades paraestatales empresariales y no financieras para gasto corriente</v>
      </c>
    </row>
    <row r="213" spans="1:3" x14ac:dyDescent="0.4">
      <c r="A213" s="42" t="s">
        <v>856</v>
      </c>
      <c r="B213" s="1">
        <f t="shared" si="10"/>
        <v>4222</v>
      </c>
      <c r="C213" s="1" t="str">
        <f t="shared" si="11"/>
        <v xml:space="preserve"> Transferencias otorgadas a entidades paraestatales empresariales y no financieras para gasto de capital</v>
      </c>
    </row>
    <row r="214" spans="1:3" x14ac:dyDescent="0.4">
      <c r="A214" s="42" t="s">
        <v>857</v>
      </c>
      <c r="B214" s="1">
        <f t="shared" si="10"/>
        <v>4230</v>
      </c>
      <c r="C214" s="1" t="str">
        <f t="shared" si="11"/>
        <v xml:space="preserve"> Transferencias otorgadas a instituciones paraestatales públicas financieras</v>
      </c>
    </row>
    <row r="215" spans="1:3" x14ac:dyDescent="0.4">
      <c r="A215" s="42" t="s">
        <v>858</v>
      </c>
      <c r="B215" s="1">
        <f t="shared" si="10"/>
        <v>4241</v>
      </c>
      <c r="C215" s="1" t="str">
        <f t="shared" si="11"/>
        <v xml:space="preserve"> Transferencias otorgadas a entidades federativas y municipios para gasto corriente</v>
      </c>
    </row>
    <row r="216" spans="1:3" x14ac:dyDescent="0.4">
      <c r="A216" s="42" t="s">
        <v>859</v>
      </c>
      <c r="B216" s="1">
        <f t="shared" si="10"/>
        <v>4242</v>
      </c>
      <c r="C216" s="1" t="str">
        <f t="shared" si="11"/>
        <v xml:space="preserve"> Transferencias otorgadas a entidades federativas y municipios para gasto de capital</v>
      </c>
    </row>
    <row r="217" spans="1:3" x14ac:dyDescent="0.4">
      <c r="A217" s="42" t="s">
        <v>860</v>
      </c>
      <c r="B217" s="1">
        <f t="shared" si="10"/>
        <v>4250</v>
      </c>
      <c r="C217" s="1" t="str">
        <f t="shared" si="11"/>
        <v xml:space="preserve"> Transferencias a fideicomisos de entidades federativas y municipios</v>
      </c>
    </row>
    <row r="218" spans="1:3" x14ac:dyDescent="0.4">
      <c r="A218" s="42" t="s">
        <v>861</v>
      </c>
      <c r="B218" s="1">
        <f t="shared" si="10"/>
        <v>4300</v>
      </c>
      <c r="C218" s="1" t="str">
        <f t="shared" si="11"/>
        <v xml:space="preserve"> SUBSIDIOS Y SUBVENCIONES</v>
      </c>
    </row>
    <row r="219" spans="1:3" x14ac:dyDescent="0.4">
      <c r="A219" s="42" t="s">
        <v>862</v>
      </c>
      <c r="B219" s="1">
        <f t="shared" si="10"/>
        <v>4310</v>
      </c>
      <c r="C219" s="1" t="str">
        <f t="shared" si="11"/>
        <v xml:space="preserve"> Subsidios a la producción</v>
      </c>
    </row>
    <row r="220" spans="1:3" x14ac:dyDescent="0.4">
      <c r="A220" s="42" t="s">
        <v>863</v>
      </c>
      <c r="B220" s="1">
        <f t="shared" si="10"/>
        <v>4320</v>
      </c>
      <c r="C220" s="1" t="str">
        <f t="shared" si="11"/>
        <v xml:space="preserve"> Subsidios a la distribución</v>
      </c>
    </row>
    <row r="221" spans="1:3" x14ac:dyDescent="0.4">
      <c r="A221" s="42" t="s">
        <v>864</v>
      </c>
      <c r="B221" s="1">
        <f t="shared" si="10"/>
        <v>4330</v>
      </c>
      <c r="C221" s="1" t="str">
        <f t="shared" si="11"/>
        <v xml:space="preserve"> Subsidios a la inversión</v>
      </c>
    </row>
    <row r="222" spans="1:3" x14ac:dyDescent="0.4">
      <c r="A222" s="42" t="s">
        <v>865</v>
      </c>
      <c r="B222" s="1">
        <f t="shared" si="10"/>
        <v>4340</v>
      </c>
      <c r="C222" s="1" t="str">
        <f t="shared" si="11"/>
        <v xml:space="preserve"> Subsidios a la prestación de servicios públicos</v>
      </c>
    </row>
    <row r="223" spans="1:3" x14ac:dyDescent="0.4">
      <c r="A223" s="42" t="s">
        <v>866</v>
      </c>
      <c r="B223" s="1">
        <f t="shared" si="10"/>
        <v>4350</v>
      </c>
      <c r="C223" s="1" t="str">
        <f t="shared" si="11"/>
        <v xml:space="preserve"> Subsidios para cubrir diferenciales de tasas de interés</v>
      </c>
    </row>
    <row r="224" spans="1:3" x14ac:dyDescent="0.4">
      <c r="A224" s="42" t="s">
        <v>867</v>
      </c>
      <c r="B224" s="1">
        <f t="shared" si="10"/>
        <v>4360</v>
      </c>
      <c r="C224" s="1" t="str">
        <f t="shared" si="11"/>
        <v xml:space="preserve"> Subsidios a la vivienda</v>
      </c>
    </row>
    <row r="225" spans="1:3" x14ac:dyDescent="0.4">
      <c r="A225" s="42" t="s">
        <v>868</v>
      </c>
      <c r="B225" s="1">
        <f t="shared" si="10"/>
        <v>4370</v>
      </c>
      <c r="C225" s="1" t="str">
        <f t="shared" si="11"/>
        <v xml:space="preserve"> Subvenciones al consumo</v>
      </c>
    </row>
    <row r="226" spans="1:3" x14ac:dyDescent="0.4">
      <c r="A226" s="42" t="s">
        <v>869</v>
      </c>
      <c r="B226" s="1">
        <f t="shared" si="10"/>
        <v>4400</v>
      </c>
      <c r="C226" s="1" t="str">
        <f t="shared" si="11"/>
        <v xml:space="preserve"> AYUDAS SOCIALES</v>
      </c>
    </row>
    <row r="227" spans="1:3" x14ac:dyDescent="0.4">
      <c r="A227" s="42" t="s">
        <v>870</v>
      </c>
      <c r="B227" s="1">
        <f t="shared" si="10"/>
        <v>4410</v>
      </c>
      <c r="C227" s="1" t="str">
        <f t="shared" si="11"/>
        <v xml:space="preserve"> Ayudas sociales a personas</v>
      </c>
    </row>
    <row r="228" spans="1:3" x14ac:dyDescent="0.4">
      <c r="A228" s="42" t="s">
        <v>871</v>
      </c>
      <c r="B228" s="1">
        <f t="shared" si="10"/>
        <v>4420</v>
      </c>
      <c r="C228" s="1" t="str">
        <f t="shared" si="11"/>
        <v xml:space="preserve"> Becas y otras ayudas para programas de capacitación</v>
      </c>
    </row>
    <row r="229" spans="1:3" x14ac:dyDescent="0.4">
      <c r="A229" s="42" t="s">
        <v>872</v>
      </c>
      <c r="B229" s="1">
        <f t="shared" si="10"/>
        <v>4430</v>
      </c>
      <c r="C229" s="1" t="str">
        <f t="shared" si="11"/>
        <v xml:space="preserve"> Ayudas sociales a instituciones de enseñanza</v>
      </c>
    </row>
    <row r="230" spans="1:3" x14ac:dyDescent="0.4">
      <c r="A230" s="42" t="s">
        <v>873</v>
      </c>
      <c r="B230" s="1">
        <f t="shared" si="10"/>
        <v>4440</v>
      </c>
      <c r="C230" s="1" t="str">
        <f t="shared" si="11"/>
        <v xml:space="preserve"> Ayudas sociales a actividades científicas o académicas</v>
      </c>
    </row>
    <row r="231" spans="1:3" x14ac:dyDescent="0.4">
      <c r="A231" s="42" t="s">
        <v>874</v>
      </c>
      <c r="B231" s="1">
        <f t="shared" si="10"/>
        <v>4450</v>
      </c>
      <c r="C231" s="1" t="str">
        <f t="shared" si="11"/>
        <v xml:space="preserve"> Ayudas sociales a instituciones sin fines de lucro</v>
      </c>
    </row>
    <row r="232" spans="1:3" x14ac:dyDescent="0.4">
      <c r="A232" s="42" t="s">
        <v>875</v>
      </c>
      <c r="B232" s="1">
        <f t="shared" si="10"/>
        <v>4460</v>
      </c>
      <c r="C232" s="1" t="str">
        <f t="shared" si="11"/>
        <v xml:space="preserve"> Ayudas sociales a cooperativas</v>
      </c>
    </row>
    <row r="233" spans="1:3" x14ac:dyDescent="0.4">
      <c r="A233" s="42" t="s">
        <v>876</v>
      </c>
      <c r="B233" s="1">
        <f t="shared" si="10"/>
        <v>4470</v>
      </c>
      <c r="C233" s="1" t="str">
        <f t="shared" si="11"/>
        <v xml:space="preserve"> Ayudas sociales a entidades de interés público</v>
      </c>
    </row>
    <row r="234" spans="1:3" x14ac:dyDescent="0.4">
      <c r="A234" s="42" t="s">
        <v>877</v>
      </c>
      <c r="B234" s="1">
        <f t="shared" si="10"/>
        <v>4480</v>
      </c>
      <c r="C234" s="1" t="str">
        <f t="shared" si="11"/>
        <v xml:space="preserve"> Ayudas por desastres naturales y otros siniestros</v>
      </c>
    </row>
    <row r="235" spans="1:3" x14ac:dyDescent="0.4">
      <c r="A235" s="42" t="s">
        <v>878</v>
      </c>
      <c r="B235" s="1">
        <f t="shared" si="10"/>
        <v>4500</v>
      </c>
      <c r="C235" s="1" t="str">
        <f t="shared" si="11"/>
        <v xml:space="preserve"> PENSIONES Y JUBILACIONES</v>
      </c>
    </row>
    <row r="236" spans="1:3" x14ac:dyDescent="0.4">
      <c r="A236" s="42" t="s">
        <v>879</v>
      </c>
      <c r="B236" s="1">
        <f t="shared" si="10"/>
        <v>4510</v>
      </c>
      <c r="C236" s="1" t="str">
        <f t="shared" si="11"/>
        <v xml:space="preserve"> Pensiones</v>
      </c>
    </row>
    <row r="237" spans="1:3" x14ac:dyDescent="0.4">
      <c r="A237" s="42" t="s">
        <v>880</v>
      </c>
      <c r="B237" s="1">
        <f t="shared" si="10"/>
        <v>4520</v>
      </c>
      <c r="C237" s="1" t="str">
        <f t="shared" si="11"/>
        <v xml:space="preserve"> Jubilaciones</v>
      </c>
    </row>
    <row r="238" spans="1:3" x14ac:dyDescent="0.4">
      <c r="A238" s="42" t="s">
        <v>881</v>
      </c>
      <c r="B238" s="1">
        <f t="shared" si="10"/>
        <v>4590</v>
      </c>
      <c r="C238" s="1" t="str">
        <f t="shared" si="11"/>
        <v xml:space="preserve"> Otras pensiones y jubilaciones</v>
      </c>
    </row>
    <row r="239" spans="1:3" x14ac:dyDescent="0.4">
      <c r="A239" s="42" t="s">
        <v>882</v>
      </c>
      <c r="B239" s="1">
        <f t="shared" si="10"/>
        <v>4600</v>
      </c>
      <c r="C239" s="1" t="str">
        <f t="shared" si="11"/>
        <v xml:space="preserve"> TRANSFERENCIAS A FIDEICOMISOS, MANDATOS Y OTROS ANÁLOGOS</v>
      </c>
    </row>
    <row r="240" spans="1:3" x14ac:dyDescent="0.4">
      <c r="A240" s="42" t="s">
        <v>883</v>
      </c>
      <c r="B240" s="1">
        <f t="shared" si="10"/>
        <v>4610</v>
      </c>
      <c r="C240" s="1" t="str">
        <f t="shared" si="11"/>
        <v xml:space="preserve"> Transferencias a fideicomisos del Poder Ejecutivo</v>
      </c>
    </row>
    <row r="241" spans="1:3" x14ac:dyDescent="0.4">
      <c r="A241" s="42" t="s">
        <v>884</v>
      </c>
      <c r="B241" s="1">
        <f t="shared" si="10"/>
        <v>4620</v>
      </c>
      <c r="C241" s="1" t="str">
        <f t="shared" si="11"/>
        <v xml:space="preserve"> Transferencias a fideicomisos del Poder Legislativo</v>
      </c>
    </row>
    <row r="242" spans="1:3" x14ac:dyDescent="0.4">
      <c r="A242" s="42" t="s">
        <v>885</v>
      </c>
      <c r="B242" s="1">
        <f t="shared" si="10"/>
        <v>4630</v>
      </c>
      <c r="C242" s="1" t="str">
        <f t="shared" si="11"/>
        <v xml:space="preserve"> Transferencias a fideicomisos del Poder Judicial</v>
      </c>
    </row>
    <row r="243" spans="1:3" x14ac:dyDescent="0.4">
      <c r="A243" s="42" t="s">
        <v>886</v>
      </c>
      <c r="B243" s="1">
        <f t="shared" si="10"/>
        <v>4640</v>
      </c>
      <c r="C243" s="1" t="str">
        <f t="shared" si="11"/>
        <v xml:space="preserve"> Transferencias a fideicomisos públicos de entidades paraestatales no empresariales y no financieras</v>
      </c>
    </row>
    <row r="244" spans="1:3" x14ac:dyDescent="0.4">
      <c r="A244" s="42" t="s">
        <v>887</v>
      </c>
      <c r="B244" s="1">
        <f t="shared" si="10"/>
        <v>4650</v>
      </c>
      <c r="C244" s="1" t="str">
        <f t="shared" si="11"/>
        <v xml:space="preserve"> Transferencias a fideicomisos públicos de entidades paraestatales empresariales y no financieras</v>
      </c>
    </row>
    <row r="245" spans="1:3" x14ac:dyDescent="0.4">
      <c r="A245" s="42" t="s">
        <v>888</v>
      </c>
      <c r="B245" s="1">
        <f t="shared" si="10"/>
        <v>4660</v>
      </c>
      <c r="C245" s="1" t="str">
        <f t="shared" si="11"/>
        <v xml:space="preserve"> Transferencias a fideicomisos de instituciones públicas financieras</v>
      </c>
    </row>
    <row r="246" spans="1:3" x14ac:dyDescent="0.4">
      <c r="A246" s="42" t="s">
        <v>889</v>
      </c>
      <c r="B246" s="1">
        <f t="shared" si="10"/>
        <v>4900</v>
      </c>
      <c r="C246" s="1" t="str">
        <f t="shared" si="11"/>
        <v xml:space="preserve"> TRANSFERENCIAS AL EXTERIOR</v>
      </c>
    </row>
    <row r="247" spans="1:3" x14ac:dyDescent="0.4">
      <c r="A247" s="42" t="s">
        <v>890</v>
      </c>
      <c r="B247" s="1">
        <f t="shared" si="10"/>
        <v>4910</v>
      </c>
      <c r="C247" s="1" t="str">
        <f t="shared" si="11"/>
        <v xml:space="preserve"> Transferencias para gobiernos extranjeros</v>
      </c>
    </row>
    <row r="248" spans="1:3" x14ac:dyDescent="0.4">
      <c r="A248" s="42" t="s">
        <v>891</v>
      </c>
      <c r="B248" s="1">
        <f t="shared" si="10"/>
        <v>4920</v>
      </c>
      <c r="C248" s="1" t="str">
        <f t="shared" si="11"/>
        <v xml:space="preserve"> Transferencias para organismos internacionales</v>
      </c>
    </row>
    <row r="249" spans="1:3" x14ac:dyDescent="0.4">
      <c r="A249" s="42" t="s">
        <v>892</v>
      </c>
      <c r="B249" s="1">
        <f t="shared" si="10"/>
        <v>4930</v>
      </c>
      <c r="C249" s="1" t="str">
        <f t="shared" si="11"/>
        <v xml:space="preserve"> Transferencias para el sector privado externo</v>
      </c>
    </row>
    <row r="250" spans="1:3" x14ac:dyDescent="0.4">
      <c r="A250" s="42" t="s">
        <v>928</v>
      </c>
      <c r="B250" s="1">
        <f t="shared" ref="B250:B308" si="12">limpia(A250,1)</f>
        <v>5000</v>
      </c>
      <c r="C250" s="1" t="str">
        <f t="shared" ref="C250:C308" si="13">limpia(A250,2)</f>
        <v xml:space="preserve"> BIENES MUEBLES, INMUEBLES E INTANGIBLES</v>
      </c>
    </row>
    <row r="251" spans="1:3" x14ac:dyDescent="0.4">
      <c r="A251" s="42" t="s">
        <v>929</v>
      </c>
      <c r="B251" s="1">
        <f t="shared" si="12"/>
        <v>5100</v>
      </c>
      <c r="C251" s="1" t="str">
        <f t="shared" si="13"/>
        <v xml:space="preserve"> MOBILIARIO Y EQUIPO DE ADMINISTRACIÓN</v>
      </c>
    </row>
    <row r="252" spans="1:3" x14ac:dyDescent="0.4">
      <c r="A252" s="42" t="s">
        <v>930</v>
      </c>
      <c r="B252" s="1">
        <f t="shared" si="12"/>
        <v>5110</v>
      </c>
      <c r="C252" s="1" t="str">
        <f t="shared" si="13"/>
        <v xml:space="preserve"> Muebles de oficina y estantería</v>
      </c>
    </row>
    <row r="253" spans="1:3" x14ac:dyDescent="0.4">
      <c r="A253" s="42" t="s">
        <v>931</v>
      </c>
      <c r="B253" s="1">
        <f t="shared" si="12"/>
        <v>5120</v>
      </c>
      <c r="C253" s="1" t="str">
        <f t="shared" si="13"/>
        <v xml:space="preserve"> Muebles, excepto de oficina y estantería</v>
      </c>
    </row>
    <row r="254" spans="1:3" x14ac:dyDescent="0.4">
      <c r="A254" s="42" t="s">
        <v>932</v>
      </c>
      <c r="B254" s="1">
        <f t="shared" si="12"/>
        <v>5130</v>
      </c>
      <c r="C254" s="1" t="str">
        <f t="shared" si="13"/>
        <v xml:space="preserve"> Bienes artísticos, culturales y científicos</v>
      </c>
    </row>
    <row r="255" spans="1:3" x14ac:dyDescent="0.4">
      <c r="A255" s="42" t="s">
        <v>933</v>
      </c>
      <c r="B255" s="1">
        <f t="shared" si="12"/>
        <v>5140</v>
      </c>
      <c r="C255" s="1" t="str">
        <f t="shared" si="13"/>
        <v xml:space="preserve"> Objetos de valor</v>
      </c>
    </row>
    <row r="256" spans="1:3" x14ac:dyDescent="0.4">
      <c r="A256" s="42" t="s">
        <v>934</v>
      </c>
      <c r="B256" s="1">
        <f t="shared" si="12"/>
        <v>5150</v>
      </c>
      <c r="C256" s="1" t="str">
        <f t="shared" si="13"/>
        <v xml:space="preserve"> Equipo de cómputo y de tecnologías de la información</v>
      </c>
    </row>
    <row r="257" spans="1:3" x14ac:dyDescent="0.4">
      <c r="A257" s="42" t="s">
        <v>935</v>
      </c>
      <c r="B257" s="1">
        <f t="shared" si="12"/>
        <v>5190</v>
      </c>
      <c r="C257" s="1" t="str">
        <f t="shared" si="13"/>
        <v xml:space="preserve"> Otros mobiliarios y equipos de administración</v>
      </c>
    </row>
    <row r="258" spans="1:3" x14ac:dyDescent="0.4">
      <c r="A258" s="42" t="s">
        <v>936</v>
      </c>
      <c r="B258" s="1">
        <f t="shared" si="12"/>
        <v>5200</v>
      </c>
      <c r="C258" s="1" t="str">
        <f t="shared" si="13"/>
        <v xml:space="preserve"> MOBILIARIO YEQUIPO EDUCACIONAL Y RECREATIVO</v>
      </c>
    </row>
    <row r="259" spans="1:3" x14ac:dyDescent="0.4">
      <c r="A259" s="42" t="s">
        <v>937</v>
      </c>
      <c r="B259" s="1">
        <f t="shared" si="12"/>
        <v>5210</v>
      </c>
      <c r="C259" s="1" t="str">
        <f t="shared" si="13"/>
        <v xml:space="preserve"> Equipos y aparatos audiovisuales</v>
      </c>
    </row>
    <row r="260" spans="1:3" x14ac:dyDescent="0.4">
      <c r="A260" s="42" t="s">
        <v>938</v>
      </c>
      <c r="B260" s="1">
        <f t="shared" si="12"/>
        <v>5220</v>
      </c>
      <c r="C260" s="1" t="str">
        <f t="shared" si="13"/>
        <v xml:space="preserve"> Aparatos deportivos</v>
      </c>
    </row>
    <row r="261" spans="1:3" x14ac:dyDescent="0.4">
      <c r="A261" s="42" t="s">
        <v>939</v>
      </c>
      <c r="B261" s="1">
        <f t="shared" si="12"/>
        <v>5230</v>
      </c>
      <c r="C261" s="1" t="str">
        <f t="shared" si="13"/>
        <v xml:space="preserve"> Cámaras fotográficas y de video</v>
      </c>
    </row>
    <row r="262" spans="1:3" x14ac:dyDescent="0.4">
      <c r="A262" s="42" t="s">
        <v>940</v>
      </c>
      <c r="B262" s="1">
        <f t="shared" si="12"/>
        <v>5290</v>
      </c>
      <c r="C262" s="1" t="str">
        <f t="shared" si="13"/>
        <v xml:space="preserve"> Otro mobiliario y equipo educacional y recreativo</v>
      </c>
    </row>
    <row r="263" spans="1:3" x14ac:dyDescent="0.4">
      <c r="A263" s="42" t="s">
        <v>941</v>
      </c>
      <c r="B263" s="1">
        <f t="shared" si="12"/>
        <v>5300</v>
      </c>
      <c r="C263" s="1" t="str">
        <f t="shared" si="13"/>
        <v xml:space="preserve"> EQUIPO E INSTRUMENTAL MÉDICO Y DE LABORATORIO</v>
      </c>
    </row>
    <row r="264" spans="1:3" x14ac:dyDescent="0.4">
      <c r="A264" s="42" t="s">
        <v>942</v>
      </c>
      <c r="B264" s="1">
        <f t="shared" si="12"/>
        <v>5310</v>
      </c>
      <c r="C264" s="1" t="str">
        <f t="shared" si="13"/>
        <v xml:space="preserve"> Equipo médico y de laboratorio</v>
      </c>
    </row>
    <row r="265" spans="1:3" x14ac:dyDescent="0.4">
      <c r="A265" s="42" t="s">
        <v>943</v>
      </c>
      <c r="B265" s="1">
        <f t="shared" si="12"/>
        <v>5320</v>
      </c>
      <c r="C265" s="1" t="str">
        <f t="shared" si="13"/>
        <v xml:space="preserve"> Instrumental médico y de laboratorio</v>
      </c>
    </row>
    <row r="266" spans="1:3" x14ac:dyDescent="0.4">
      <c r="A266" s="42" t="s">
        <v>944</v>
      </c>
      <c r="B266" s="1">
        <f t="shared" si="12"/>
        <v>5400</v>
      </c>
      <c r="C266" s="1" t="str">
        <f t="shared" si="13"/>
        <v xml:space="preserve"> VEHÍCULOS Y EQUIPO DE TRANSPORTE</v>
      </c>
    </row>
    <row r="267" spans="1:3" x14ac:dyDescent="0.4">
      <c r="A267" s="42" t="s">
        <v>945</v>
      </c>
      <c r="B267" s="1">
        <f t="shared" si="12"/>
        <v>5410</v>
      </c>
      <c r="C267" s="1" t="str">
        <f t="shared" si="13"/>
        <v xml:space="preserve"> Automóviles y camiones</v>
      </c>
    </row>
    <row r="268" spans="1:3" x14ac:dyDescent="0.4">
      <c r="A268" s="42" t="s">
        <v>946</v>
      </c>
      <c r="B268" s="1">
        <f t="shared" si="12"/>
        <v>5420</v>
      </c>
      <c r="C268" s="1" t="str">
        <f t="shared" si="13"/>
        <v xml:space="preserve"> Carrocerías y remolques</v>
      </c>
    </row>
    <row r="269" spans="1:3" x14ac:dyDescent="0.4">
      <c r="A269" s="42" t="s">
        <v>947</v>
      </c>
      <c r="B269" s="1">
        <f t="shared" si="12"/>
        <v>5430</v>
      </c>
      <c r="C269" s="1" t="str">
        <f t="shared" si="13"/>
        <v xml:space="preserve"> Equipo aeroespacial</v>
      </c>
    </row>
    <row r="270" spans="1:3" x14ac:dyDescent="0.4">
      <c r="A270" s="42" t="s">
        <v>948</v>
      </c>
      <c r="B270" s="1">
        <f t="shared" si="12"/>
        <v>5440</v>
      </c>
      <c r="C270" s="1" t="str">
        <f t="shared" si="13"/>
        <v xml:space="preserve"> Equipo ferroviario</v>
      </c>
    </row>
    <row r="271" spans="1:3" x14ac:dyDescent="0.4">
      <c r="A271" s="42" t="s">
        <v>949</v>
      </c>
      <c r="B271" s="1">
        <f t="shared" si="12"/>
        <v>5450</v>
      </c>
      <c r="C271" s="1" t="str">
        <f t="shared" si="13"/>
        <v xml:space="preserve"> Embarcaciones</v>
      </c>
    </row>
    <row r="272" spans="1:3" x14ac:dyDescent="0.4">
      <c r="A272" s="42" t="s">
        <v>950</v>
      </c>
      <c r="B272" s="1">
        <f t="shared" si="12"/>
        <v>5490</v>
      </c>
      <c r="C272" s="1" t="str">
        <f t="shared" si="13"/>
        <v xml:space="preserve"> Otros equipos de transporte</v>
      </c>
    </row>
    <row r="273" spans="1:3" x14ac:dyDescent="0.4">
      <c r="A273" s="42" t="s">
        <v>951</v>
      </c>
      <c r="B273" s="1">
        <f t="shared" si="12"/>
        <v>5500</v>
      </c>
      <c r="C273" s="1" t="str">
        <f t="shared" si="13"/>
        <v xml:space="preserve"> EQUIPO DE DEFENSA Y SEGURIDAD</v>
      </c>
    </row>
    <row r="274" spans="1:3" x14ac:dyDescent="0.4">
      <c r="A274" s="42" t="s">
        <v>952</v>
      </c>
      <c r="B274" s="1">
        <f t="shared" si="12"/>
        <v>5510</v>
      </c>
      <c r="C274" s="1" t="str">
        <f t="shared" si="13"/>
        <v xml:space="preserve"> Equipo de defensa y seguridad</v>
      </c>
    </row>
    <row r="275" spans="1:3" x14ac:dyDescent="0.4">
      <c r="A275" s="42" t="s">
        <v>953</v>
      </c>
      <c r="B275" s="1">
        <f t="shared" si="12"/>
        <v>5600</v>
      </c>
      <c r="C275" s="1" t="str">
        <f t="shared" si="13"/>
        <v xml:space="preserve"> MAQUINARIA, OTROS EQUIPOS Y HERRAMIENTAS</v>
      </c>
    </row>
    <row r="276" spans="1:3" x14ac:dyDescent="0.4">
      <c r="A276" s="42" t="s">
        <v>954</v>
      </c>
      <c r="B276" s="1">
        <f t="shared" si="12"/>
        <v>5610</v>
      </c>
      <c r="C276" s="1" t="str">
        <f t="shared" si="13"/>
        <v xml:space="preserve"> Maquinaria y equipo agropecuario</v>
      </c>
    </row>
    <row r="277" spans="1:3" x14ac:dyDescent="0.4">
      <c r="A277" s="42" t="s">
        <v>955</v>
      </c>
      <c r="B277" s="1">
        <f t="shared" si="12"/>
        <v>5620</v>
      </c>
      <c r="C277" s="1" t="str">
        <f t="shared" si="13"/>
        <v xml:space="preserve"> Maquinaria y equipo industrial</v>
      </c>
    </row>
    <row r="278" spans="1:3" x14ac:dyDescent="0.4">
      <c r="A278" s="42" t="s">
        <v>956</v>
      </c>
      <c r="B278" s="1">
        <f t="shared" si="12"/>
        <v>5630</v>
      </c>
      <c r="C278" s="1" t="str">
        <f t="shared" si="13"/>
        <v xml:space="preserve"> Maquinaria y equipo de construcción</v>
      </c>
    </row>
    <row r="279" spans="1:3" x14ac:dyDescent="0.4">
      <c r="A279" s="42" t="s">
        <v>957</v>
      </c>
      <c r="B279" s="1">
        <f t="shared" si="12"/>
        <v>5640</v>
      </c>
      <c r="C279" s="1" t="str">
        <f t="shared" si="13"/>
        <v xml:space="preserve"> Sistemas de aire acondicionado, calefacción y de refrigeración industrial y</v>
      </c>
    </row>
    <row r="280" spans="1:3" x14ac:dyDescent="0.4">
      <c r="A280" s="42" t="s">
        <v>958</v>
      </c>
      <c r="B280" s="1">
        <f t="shared" si="12"/>
        <v>5650</v>
      </c>
      <c r="C280" s="1" t="str">
        <f t="shared" si="13"/>
        <v xml:space="preserve"> Equipo de comunicación y telecomunicación</v>
      </c>
    </row>
    <row r="281" spans="1:3" x14ac:dyDescent="0.4">
      <c r="A281" s="42" t="s">
        <v>959</v>
      </c>
      <c r="B281" s="1">
        <f t="shared" si="12"/>
        <v>5660</v>
      </c>
      <c r="C281" s="1" t="str">
        <f t="shared" si="13"/>
        <v xml:space="preserve"> Equipos de generación eléctrica, aparatos y accesorios eléctricos</v>
      </c>
    </row>
    <row r="282" spans="1:3" x14ac:dyDescent="0.4">
      <c r="A282" s="42" t="s">
        <v>960</v>
      </c>
      <c r="B282" s="1">
        <f t="shared" si="12"/>
        <v>5670</v>
      </c>
      <c r="C282" s="1" t="str">
        <f t="shared" si="13"/>
        <v xml:space="preserve"> Herramientas y máquinas - herramienta</v>
      </c>
    </row>
    <row r="283" spans="1:3" x14ac:dyDescent="0.4">
      <c r="A283" s="42" t="s">
        <v>961</v>
      </c>
      <c r="B283" s="1">
        <f t="shared" si="12"/>
        <v>5690</v>
      </c>
      <c r="C283" s="1" t="str">
        <f t="shared" si="13"/>
        <v xml:space="preserve"> Otros equipos</v>
      </c>
    </row>
    <row r="284" spans="1:3" x14ac:dyDescent="0.4">
      <c r="A284" s="42" t="s">
        <v>962</v>
      </c>
      <c r="B284" s="1">
        <f t="shared" si="12"/>
        <v>5700</v>
      </c>
      <c r="C284" s="1" t="str">
        <f t="shared" si="13"/>
        <v xml:space="preserve"> ACTIVOS BIOLÓGICOS</v>
      </c>
    </row>
    <row r="285" spans="1:3" x14ac:dyDescent="0.4">
      <c r="A285" s="42" t="s">
        <v>963</v>
      </c>
      <c r="B285" s="1">
        <f t="shared" si="12"/>
        <v>5710</v>
      </c>
      <c r="C285" s="1" t="str">
        <f t="shared" si="13"/>
        <v xml:space="preserve"> Bovinos</v>
      </c>
    </row>
    <row r="286" spans="1:3" x14ac:dyDescent="0.4">
      <c r="A286" s="42" t="s">
        <v>964</v>
      </c>
      <c r="B286" s="1">
        <f t="shared" si="12"/>
        <v>5720</v>
      </c>
      <c r="C286" s="1" t="str">
        <f t="shared" si="13"/>
        <v xml:space="preserve"> Porcinos</v>
      </c>
    </row>
    <row r="287" spans="1:3" x14ac:dyDescent="0.4">
      <c r="A287" s="42" t="s">
        <v>965</v>
      </c>
      <c r="B287" s="1">
        <f t="shared" si="12"/>
        <v>5730</v>
      </c>
      <c r="C287" s="1" t="str">
        <f t="shared" si="13"/>
        <v xml:space="preserve"> Aves</v>
      </c>
    </row>
    <row r="288" spans="1:3" x14ac:dyDescent="0.4">
      <c r="A288" s="42" t="s">
        <v>966</v>
      </c>
      <c r="B288" s="1">
        <f t="shared" si="12"/>
        <v>5740</v>
      </c>
      <c r="C288" s="1" t="str">
        <f t="shared" si="13"/>
        <v xml:space="preserve"> Ovinos y caprinos</v>
      </c>
    </row>
    <row r="289" spans="1:3" x14ac:dyDescent="0.4">
      <c r="A289" s="42" t="s">
        <v>967</v>
      </c>
      <c r="B289" s="1">
        <f t="shared" si="12"/>
        <v>5750</v>
      </c>
      <c r="C289" s="1" t="str">
        <f t="shared" si="13"/>
        <v xml:space="preserve"> Peces y acuicultura</v>
      </c>
    </row>
    <row r="290" spans="1:3" x14ac:dyDescent="0.4">
      <c r="A290" s="42" t="s">
        <v>968</v>
      </c>
      <c r="B290" s="1">
        <f t="shared" si="12"/>
        <v>5760</v>
      </c>
      <c r="C290" s="1" t="str">
        <f t="shared" si="13"/>
        <v xml:space="preserve"> Equinos</v>
      </c>
    </row>
    <row r="291" spans="1:3" x14ac:dyDescent="0.4">
      <c r="A291" s="42" t="s">
        <v>969</v>
      </c>
      <c r="B291" s="1">
        <f t="shared" si="12"/>
        <v>5770</v>
      </c>
      <c r="C291" s="1" t="str">
        <f t="shared" si="13"/>
        <v xml:space="preserve"> Especies menores y de zoológico</v>
      </c>
    </row>
    <row r="292" spans="1:3" x14ac:dyDescent="0.4">
      <c r="A292" s="42" t="s">
        <v>970</v>
      </c>
      <c r="B292" s="1">
        <f t="shared" si="12"/>
        <v>5780</v>
      </c>
      <c r="C292" s="1" t="str">
        <f t="shared" si="13"/>
        <v xml:space="preserve"> Árboles y plantas</v>
      </c>
    </row>
    <row r="293" spans="1:3" x14ac:dyDescent="0.4">
      <c r="A293" s="42" t="s">
        <v>971</v>
      </c>
      <c r="B293" s="1">
        <f t="shared" si="12"/>
        <v>5790</v>
      </c>
      <c r="C293" s="1" t="str">
        <f t="shared" si="13"/>
        <v xml:space="preserve"> Otros activos biológicos</v>
      </c>
    </row>
    <row r="294" spans="1:3" x14ac:dyDescent="0.4">
      <c r="A294" s="42" t="s">
        <v>972</v>
      </c>
      <c r="B294" s="1">
        <f t="shared" si="12"/>
        <v>5800</v>
      </c>
      <c r="C294" s="1" t="str">
        <f t="shared" si="13"/>
        <v xml:space="preserve"> BIENES INMUEBLES</v>
      </c>
    </row>
    <row r="295" spans="1:3" x14ac:dyDescent="0.4">
      <c r="A295" s="42" t="s">
        <v>973</v>
      </c>
      <c r="B295" s="1">
        <f t="shared" si="12"/>
        <v>5810</v>
      </c>
      <c r="C295" s="1" t="str">
        <f t="shared" si="13"/>
        <v xml:space="preserve"> Terrenos</v>
      </c>
    </row>
    <row r="296" spans="1:3" x14ac:dyDescent="0.4">
      <c r="A296" s="42" t="s">
        <v>974</v>
      </c>
      <c r="B296" s="1">
        <f t="shared" si="12"/>
        <v>5820</v>
      </c>
      <c r="C296" s="1" t="str">
        <f t="shared" si="13"/>
        <v xml:space="preserve"> Viviendas</v>
      </c>
    </row>
    <row r="297" spans="1:3" x14ac:dyDescent="0.4">
      <c r="A297" s="42" t="s">
        <v>975</v>
      </c>
      <c r="B297" s="1">
        <f t="shared" si="12"/>
        <v>5830</v>
      </c>
      <c r="C297" s="1" t="str">
        <f t="shared" si="13"/>
        <v xml:space="preserve"> Edificios no residenciales</v>
      </c>
    </row>
    <row r="298" spans="1:3" x14ac:dyDescent="0.4">
      <c r="A298" s="42" t="s">
        <v>976</v>
      </c>
      <c r="B298" s="1">
        <f t="shared" si="12"/>
        <v>5890</v>
      </c>
      <c r="C298" s="1" t="str">
        <f t="shared" si="13"/>
        <v xml:space="preserve"> Otros bienes inmuebles</v>
      </c>
    </row>
    <row r="299" spans="1:3" x14ac:dyDescent="0.4">
      <c r="A299" s="42" t="s">
        <v>977</v>
      </c>
      <c r="B299" s="1">
        <f t="shared" si="12"/>
        <v>5900</v>
      </c>
      <c r="C299" s="1" t="str">
        <f t="shared" si="13"/>
        <v xml:space="preserve"> ACTIVOS INTANGIBLES</v>
      </c>
    </row>
    <row r="300" spans="1:3" x14ac:dyDescent="0.4">
      <c r="A300" s="42" t="s">
        <v>978</v>
      </c>
      <c r="B300" s="1">
        <f t="shared" si="12"/>
        <v>5910</v>
      </c>
      <c r="C300" s="1" t="str">
        <f t="shared" si="13"/>
        <v xml:space="preserve"> Software</v>
      </c>
    </row>
    <row r="301" spans="1:3" x14ac:dyDescent="0.4">
      <c r="A301" s="42" t="s">
        <v>979</v>
      </c>
      <c r="B301" s="1">
        <f t="shared" si="12"/>
        <v>5920</v>
      </c>
      <c r="C301" s="1" t="str">
        <f t="shared" si="13"/>
        <v xml:space="preserve"> Patentes</v>
      </c>
    </row>
    <row r="302" spans="1:3" x14ac:dyDescent="0.4">
      <c r="A302" s="42" t="s">
        <v>980</v>
      </c>
      <c r="B302" s="1">
        <f t="shared" si="12"/>
        <v>5930</v>
      </c>
      <c r="C302" s="1" t="str">
        <f t="shared" si="13"/>
        <v xml:space="preserve"> Marcas</v>
      </c>
    </row>
    <row r="303" spans="1:3" x14ac:dyDescent="0.4">
      <c r="A303" s="42" t="s">
        <v>981</v>
      </c>
      <c r="B303" s="1">
        <f t="shared" si="12"/>
        <v>5940</v>
      </c>
      <c r="C303" s="1" t="str">
        <f t="shared" si="13"/>
        <v xml:space="preserve"> Derechos</v>
      </c>
    </row>
    <row r="304" spans="1:3" x14ac:dyDescent="0.4">
      <c r="A304" s="42" t="s">
        <v>982</v>
      </c>
      <c r="B304" s="1">
        <f t="shared" si="12"/>
        <v>5950</v>
      </c>
      <c r="C304" s="1" t="str">
        <f t="shared" si="13"/>
        <v xml:space="preserve"> Concesiones</v>
      </c>
    </row>
    <row r="305" spans="1:3" x14ac:dyDescent="0.4">
      <c r="A305" s="42" t="s">
        <v>983</v>
      </c>
      <c r="B305" s="1">
        <f t="shared" si="12"/>
        <v>5960</v>
      </c>
      <c r="C305" s="1" t="str">
        <f t="shared" si="13"/>
        <v xml:space="preserve"> Franquicias</v>
      </c>
    </row>
    <row r="306" spans="1:3" x14ac:dyDescent="0.4">
      <c r="A306" s="42" t="s">
        <v>984</v>
      </c>
      <c r="B306" s="1">
        <f t="shared" si="12"/>
        <v>5970</v>
      </c>
      <c r="C306" s="1" t="str">
        <f t="shared" si="13"/>
        <v xml:space="preserve"> Licencias informáticas e intelectuales</v>
      </c>
    </row>
    <row r="307" spans="1:3" x14ac:dyDescent="0.4">
      <c r="A307" s="42" t="s">
        <v>985</v>
      </c>
      <c r="B307" s="1">
        <f t="shared" si="12"/>
        <v>5980</v>
      </c>
      <c r="C307" s="1" t="str">
        <f t="shared" si="13"/>
        <v xml:space="preserve"> Licencias industriales, comerciales y otras</v>
      </c>
    </row>
    <row r="308" spans="1:3" x14ac:dyDescent="0.4">
      <c r="A308" s="42" t="s">
        <v>986</v>
      </c>
      <c r="B308" s="1">
        <f t="shared" si="12"/>
        <v>5990</v>
      </c>
      <c r="C308" s="1" t="str">
        <f t="shared" si="13"/>
        <v xml:space="preserve"> Otros activos intangibles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32"/>
  <sheetViews>
    <sheetView workbookViewId="0">
      <selection activeCell="B6" sqref="B6"/>
    </sheetView>
  </sheetViews>
  <sheetFormatPr baseColWidth="10" defaultColWidth="11.42578125" defaultRowHeight="15" x14ac:dyDescent="0.25"/>
  <cols>
    <col min="1" max="1" width="22.5703125" style="1" bestFit="1" customWidth="1"/>
    <col min="2" max="16384" width="11.42578125" style="1"/>
  </cols>
  <sheetData>
    <row r="1" spans="1:1" x14ac:dyDescent="0.25">
      <c r="A1" s="1" t="s">
        <v>893</v>
      </c>
    </row>
    <row r="2" spans="1:1" x14ac:dyDescent="0.25">
      <c r="A2" s="1" t="s">
        <v>894</v>
      </c>
    </row>
    <row r="3" spans="1:1" x14ac:dyDescent="0.25">
      <c r="A3" s="1" t="s">
        <v>895</v>
      </c>
    </row>
    <row r="4" spans="1:1" x14ac:dyDescent="0.25">
      <c r="A4" s="1" t="s">
        <v>896</v>
      </c>
    </row>
    <row r="5" spans="1:1" x14ac:dyDescent="0.25">
      <c r="A5" s="1" t="s">
        <v>897</v>
      </c>
    </row>
    <row r="6" spans="1:1" x14ac:dyDescent="0.25">
      <c r="A6" s="1" t="s">
        <v>898</v>
      </c>
    </row>
    <row r="7" spans="1:1" x14ac:dyDescent="0.25">
      <c r="A7" s="1" t="s">
        <v>899</v>
      </c>
    </row>
    <row r="8" spans="1:1" x14ac:dyDescent="0.25">
      <c r="A8" s="1" t="s">
        <v>900</v>
      </c>
    </row>
    <row r="9" spans="1:1" x14ac:dyDescent="0.25">
      <c r="A9" s="1" t="s">
        <v>901</v>
      </c>
    </row>
    <row r="10" spans="1:1" x14ac:dyDescent="0.25">
      <c r="A10" s="1" t="s">
        <v>902</v>
      </c>
    </row>
    <row r="11" spans="1:1" x14ac:dyDescent="0.25">
      <c r="A11" s="1" t="s">
        <v>903</v>
      </c>
    </row>
    <row r="12" spans="1:1" x14ac:dyDescent="0.25">
      <c r="A12" s="1" t="s">
        <v>904</v>
      </c>
    </row>
    <row r="13" spans="1:1" x14ac:dyDescent="0.25">
      <c r="A13" s="1" t="s">
        <v>905</v>
      </c>
    </row>
    <row r="14" spans="1:1" x14ac:dyDescent="0.25">
      <c r="A14" s="1" t="s">
        <v>906</v>
      </c>
    </row>
    <row r="15" spans="1:1" x14ac:dyDescent="0.25">
      <c r="A15" s="1" t="s">
        <v>907</v>
      </c>
    </row>
    <row r="16" spans="1:1" x14ac:dyDescent="0.25">
      <c r="A16" s="1" t="s">
        <v>908</v>
      </c>
    </row>
    <row r="17" spans="1:1" x14ac:dyDescent="0.25">
      <c r="A17" s="1" t="s">
        <v>909</v>
      </c>
    </row>
    <row r="18" spans="1:1" x14ac:dyDescent="0.25">
      <c r="A18" s="1" t="s">
        <v>910</v>
      </c>
    </row>
    <row r="19" spans="1:1" x14ac:dyDescent="0.25">
      <c r="A19" s="1" t="s">
        <v>911</v>
      </c>
    </row>
    <row r="20" spans="1:1" x14ac:dyDescent="0.25">
      <c r="A20" s="1" t="s">
        <v>912</v>
      </c>
    </row>
    <row r="21" spans="1:1" x14ac:dyDescent="0.25">
      <c r="A21" s="1" t="s">
        <v>913</v>
      </c>
    </row>
    <row r="22" spans="1:1" x14ac:dyDescent="0.25">
      <c r="A22" s="1" t="s">
        <v>914</v>
      </c>
    </row>
    <row r="23" spans="1:1" x14ac:dyDescent="0.25">
      <c r="A23" s="1" t="s">
        <v>915</v>
      </c>
    </row>
    <row r="24" spans="1:1" x14ac:dyDescent="0.25">
      <c r="A24" s="1" t="s">
        <v>916</v>
      </c>
    </row>
    <row r="25" spans="1:1" x14ac:dyDescent="0.25">
      <c r="A25" s="1" t="s">
        <v>917</v>
      </c>
    </row>
    <row r="26" spans="1:1" x14ac:dyDescent="0.25">
      <c r="A26" s="1" t="s">
        <v>918</v>
      </c>
    </row>
    <row r="27" spans="1:1" x14ac:dyDescent="0.25">
      <c r="A27" s="1" t="s">
        <v>919</v>
      </c>
    </row>
    <row r="28" spans="1:1" x14ac:dyDescent="0.25">
      <c r="A28" s="1" t="s">
        <v>920</v>
      </c>
    </row>
    <row r="29" spans="1:1" x14ac:dyDescent="0.25">
      <c r="A29" s="1" t="s">
        <v>921</v>
      </c>
    </row>
    <row r="30" spans="1:1" x14ac:dyDescent="0.25">
      <c r="A30" s="1" t="s">
        <v>922</v>
      </c>
    </row>
    <row r="31" spans="1:1" x14ac:dyDescent="0.25">
      <c r="A31" s="1" t="s">
        <v>923</v>
      </c>
    </row>
    <row r="32" spans="1:1" x14ac:dyDescent="0.25">
      <c r="A32" s="1" t="s">
        <v>924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texto factura</vt:lpstr>
      <vt:lpstr>Hoja1</vt:lpstr>
      <vt:lpstr>Hoja2</vt:lpstr>
      <vt:lpstr>Hoja3</vt:lpstr>
      <vt:lpstr>partida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Mendoza Torres</cp:lastModifiedBy>
  <cp:lastPrinted>2017-03-23T16:27:25Z</cp:lastPrinted>
  <dcterms:created xsi:type="dcterms:W3CDTF">2016-02-08T15:52:06Z</dcterms:created>
  <dcterms:modified xsi:type="dcterms:W3CDTF">2019-09-23T21:01:28Z</dcterms:modified>
</cp:coreProperties>
</file>