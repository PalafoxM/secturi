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DIGITAL\respaldo intranet\"/>
    </mc:Choice>
  </mc:AlternateContent>
  <xr:revisionPtr revIDLastSave="0" documentId="13_ncr:1_{3C0A7BA5-A6D5-4A82-8D3C-3A09F3C635D8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r:id="rId5"/>
  </sheets>
  <functionGroups builtInGroupCount="19"/>
  <definedNames>
    <definedName name="_xlnm._FilterDatabase" localSheetId="3" hidden="1">partida!$B$1:$C$1</definedName>
    <definedName name="_xlnm.Print_Area" localSheetId="1">VIÁTICOS!$A$1:$F$25</definedName>
    <definedName name="CONCEPTO">GRC!$B$49:$B$57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5" l="1"/>
  <c r="B21" i="25"/>
  <c r="C54" i="20" a="1"/>
  <c r="C53" i="20" a="1"/>
  <c r="C56" i="20" a="1"/>
  <c r="C52" i="20" a="1"/>
  <c r="C55" i="20" a="1"/>
  <c r="C51" i="20" a="1"/>
  <c r="C50" i="20" a="1"/>
  <c r="C49" i="20" a="1"/>
  <c r="C55" i="20" l="1"/>
  <c r="C53" i="20"/>
  <c r="C51" i="20"/>
  <c r="C56" i="20"/>
  <c r="C54" i="20"/>
  <c r="C52" i="20"/>
  <c r="C50" i="20"/>
  <c r="C49" i="20"/>
  <c r="C40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  <c r="D57" i="20" a="1"/>
  <c r="D57" i="20" l="1"/>
  <c r="B17" i="20"/>
  <c r="C17" i="20" a="1"/>
  <c r="C1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artur</author>
  </authors>
  <commentList>
    <comment ref="C3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<sst xmlns="http://schemas.openxmlformats.org/spreadsheetml/2006/main" count="2409" uniqueCount="1145">
  <si>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</si>
  <si>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</si>
  <si>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</si>
  <si>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</si>
  <si>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</si>
  <si>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</si>
  <si>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</si>
  <si>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</si>
  <si>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</si>
  <si>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</si>
  <si>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</si>
  <si>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</si>
  <si>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</si>
  <si>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</si>
  <si>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</si>
  <si>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</si>
  <si>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</si>
  <si>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</si>
  <si>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</si>
  <si>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</si>
  <si>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</si>
  <si>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</si>
  <si>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</si>
  <si>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</si>
  <si>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</si>
  <si>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</si>
  <si>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</si>
  <si>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</si>
  <si>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</si>
  <si>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</si>
  <si>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</si>
  <si>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</si>
  <si>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</si>
  <si>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</si>
  <si>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</si>
  <si>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</si>
  <si>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</si>
  <si>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</si>
  <si>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</si>
  <si>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</si>
  <si>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</si>
  <si>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</si>
  <si>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</si>
  <si>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</si>
  <si>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</si>
  <si>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</si>
  <si>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</si>
  <si>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</si>
  <si>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</si>
  <si>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</si>
  <si>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</si>
  <si>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</si>
  <si>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</si>
  <si>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</si>
  <si>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</si>
  <si>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</si>
  <si>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</si>
  <si>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</si>
  <si>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</si>
  <si>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</si>
  <si>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</si>
  <si>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</si>
  <si>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</si>
  <si>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</si>
  <si>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</si>
  <si>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</si>
  <si>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</si>
  <si>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</si>
  <si>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</si>
  <si>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</si>
  <si>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</si>
  <si>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</si>
  <si>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</si>
  <si>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</si>
  <si>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</si>
  <si>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</si>
  <si>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</si>
  <si>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</si>
  <si>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</si>
  <si>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</si>
  <si>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</si>
  <si>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</si>
  <si>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</si>
  <si>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</si>
  <si>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</si>
  <si>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</si>
  <si>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</si>
  <si>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</si>
  <si>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</si>
  <si>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</si>
  <si>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</si>
  <si>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</si>
  <si>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</si>
  <si>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</si>
  <si>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</si>
  <si>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</si>
  <si>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</si>
  <si>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</si>
  <si>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</si>
  <si>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</si>
  <si>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</si>
  <si>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</si>
  <si>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</si>
  <si>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</si>
  <si>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</si>
  <si>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</si>
  <si>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</si>
  <si>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</si>
  <si>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</si>
  <si>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</si>
  <si>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</si>
  <si>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</si>
  <si>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</si>
  <si>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</si>
  <si>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</si>
  <si>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</si>
  <si>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</si>
  <si>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</si>
  <si>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</si>
  <si>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</si>
  <si>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</si>
  <si>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</si>
  <si>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</si>
  <si>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</si>
  <si>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</si>
  <si>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</si>
  <si>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</si>
  <si>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</si>
  <si>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</si>
  <si>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</si>
  <si>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</si>
  <si>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</si>
  <si>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</si>
  <si>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</si>
  <si>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</si>
  <si>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</si>
  <si>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</si>
  <si>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</si>
  <si>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</si>
  <si>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</si>
  <si>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</si>
  <si>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</si>
  <si>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</si>
  <si>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</si>
  <si>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</si>
  <si>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</si>
  <si>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</si>
  <si>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</si>
  <si>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</si>
  <si>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</si>
  <si>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</si>
  <si>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</si>
  <si>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</si>
  <si>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</si>
  <si>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</si>
  <si>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</si>
  <si>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</si>
  <si>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</si>
  <si>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</si>
  <si>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</si>
  <si>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</si>
  <si>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</si>
  <si>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</si>
  <si>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</si>
  <si>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</si>
  <si>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</si>
  <si>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</si>
  <si>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</si>
  <si>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</si>
  <si>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</si>
  <si>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</si>
  <si>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</si>
  <si>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</si>
  <si>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</si>
  <si>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</si>
  <si>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</si>
  <si>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</si>
  <si>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</si>
  <si>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</si>
  <si>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</si>
  <si>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</si>
  <si>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</si>
  <si>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</si>
  <si>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</si>
  <si>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</si>
  <si>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</si>
  <si>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</si>
  <si>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</si>
  <si>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</si>
  <si>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</si>
  <si>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</si>
  <si>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</si>
  <si>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</si>
  <si>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</si>
  <si>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</si>
  <si>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</si>
  <si>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</si>
  <si>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</si>
  <si>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</si>
  <si>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</si>
  <si>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</si>
  <si>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</si>
  <si>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</si>
  <si>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</si>
  <si>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</si>
  <si>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</si>
  <si>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</si>
  <si>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</si>
  <si>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</si>
  <si>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</si>
  <si>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</si>
  <si>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</si>
  <si>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</si>
  <si>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</si>
  <si>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</si>
  <si>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</si>
  <si>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</si>
  <si>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</si>
  <si>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</si>
  <si>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</si>
  <si>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</si>
  <si>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</si>
  <si>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</si>
  <si>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</si>
  <si>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</si>
  <si>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</si>
  <si>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</si>
  <si>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</si>
  <si>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</si>
  <si>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</si>
  <si>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</si>
  <si>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</si>
  <si>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</si>
  <si>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</si>
  <si>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</si>
  <si>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</si>
  <si>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</si>
  <si>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</si>
  <si>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</si>
  <si>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</si>
  <si>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</si>
  <si>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</si>
  <si>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</si>
  <si>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</si>
  <si>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</si>
  <si>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</si>
  <si>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</si>
  <si>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</si>
  <si>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</si>
  <si>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</si>
  <si>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</si>
  <si>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</si>
  <si>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</si>
  <si>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</si>
  <si>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</si>
  <si>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</si>
  <si>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</si>
  <si>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</si>
  <si>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</si>
  <si>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</si>
  <si>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</si>
  <si>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</si>
  <si>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</si>
  <si>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</si>
  <si>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</si>
  <si>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</si>
  <si>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</si>
  <si>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</si>
  <si>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</si>
  <si>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</si>
  <si>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</si>
  <si>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</si>
  <si>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</si>
  <si>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</si>
  <si>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</si>
  <si>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</si>
  <si>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</si>
  <si>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</si>
  <si>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</si>
  <si>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</si>
  <si>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</si>
  <si>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</si>
  <si>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</si>
  <si>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</si>
  <si>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</si>
  <si>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</si>
  <si>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</si>
  <si>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</si>
  <si>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</si>
  <si>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</si>
  <si>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</si>
  <si>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</si>
  <si>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</si>
  <si>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</si>
  <si>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</si>
  <si>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</si>
  <si>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</si>
  <si>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</si>
  <si>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</si>
  <si>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</si>
  <si>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</si>
  <si>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</si>
  <si>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</si>
  <si>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</si>
  <si>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</si>
  <si>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</si>
  <si>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</si>
  <si>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</si>
  <si>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</si>
  <si>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</si>
  <si>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</si>
  <si>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</si>
  <si>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</si>
  <si>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</si>
  <si>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</si>
  <si>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</si>
  <si>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</si>
  <si>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</si>
  <si>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</si>
  <si>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</si>
  <si>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</si>
  <si>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</si>
  <si>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</si>
  <si>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</si>
  <si>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</si>
  <si>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</si>
  <si>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</si>
  <si>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</si>
  <si>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</si>
  <si>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</si>
  <si>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</si>
  <si>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</si>
  <si>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</si>
  <si>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</si>
  <si>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</si>
  <si>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</si>
  <si>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</si>
  <si>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</si>
  <si>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</si>
  <si>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</si>
  <si>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</si>
  <si>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</si>
  <si>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</si>
  <si>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</si>
  <si>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</si>
  <si>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</si>
  <si>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</si>
  <si>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</si>
  <si>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</si>
  <si>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</si>
  <si>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</si>
  <si>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</si>
  <si>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</si>
  <si>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</si>
  <si>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</si>
  <si>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</si>
  <si>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</si>
  <si>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</si>
  <si>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</si>
  <si>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</si>
  <si>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</si>
  <si>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</si>
  <si>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</si>
  <si>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</si>
  <si>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</si>
  <si>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</si>
  <si>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</si>
  <si>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</si>
  <si>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</si>
  <si>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</si>
  <si>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</si>
  <si>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</si>
  <si>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</si>
  <si>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</si>
  <si>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</si>
  <si>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</si>
  <si>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</si>
  <si>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</si>
  <si>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</si>
  <si>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</si>
  <si>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</si>
  <si>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</si>
  <si>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</si>
  <si>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</si>
  <si>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</si>
  <si>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</si>
  <si>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</si>
  <si>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</si>
  <si>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</si>
  <si>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</si>
  <si>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</si>
  <si>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</si>
  <si>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</si>
  <si>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</si>
  <si>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</si>
  <si>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</si>
  <si>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</si>
  <si>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</si>
  <si>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</si>
  <si>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</si>
  <si>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</si>
  <si>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</si>
  <si>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</si>
  <si>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</si>
  <si>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</si>
  <si>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</si>
  <si>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</si>
  <si>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</si>
  <si>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</si>
  <si>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</si>
  <si>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</si>
  <si>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</si>
  <si>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</si>
  <si>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</si>
  <si>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</si>
  <si>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</si>
  <si>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</si>
  <si>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</si>
  <si>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</si>
  <si>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</si>
  <si>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</si>
  <si>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</si>
  <si>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</si>
  <si>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</si>
  <si>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</si>
  <si>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</si>
  <si>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</si>
  <si>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</si>
  <si>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</si>
  <si>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</si>
  <si>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</si>
  <si>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</si>
  <si>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</si>
  <si>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</si>
  <si>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</si>
  <si>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</si>
  <si>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</si>
  <si>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</si>
  <si>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</si>
  <si>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</si>
  <si>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</si>
  <si>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</si>
  <si>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</si>
  <si>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</si>
  <si>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</si>
  <si>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</si>
  <si>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</si>
  <si>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</si>
  <si>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</si>
  <si>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</si>
  <si>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</si>
  <si>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</si>
  <si>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</si>
  <si>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</si>
  <si>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</si>
  <si>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</si>
  <si>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</si>
  <si>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</si>
  <si>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</si>
  <si>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</si>
  <si>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</si>
  <si>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</si>
  <si>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</si>
  <si>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</si>
  <si>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</si>
  <si>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</si>
  <si>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</si>
  <si>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</si>
  <si>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</si>
  <si>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</si>
  <si>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</si>
  <si>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</si>
  <si>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</si>
  <si>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</si>
  <si>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</si>
  <si>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</si>
  <si>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</si>
  <si>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</si>
  <si>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</si>
  <si>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</si>
  <si>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</si>
  <si>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</si>
  <si>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</si>
  <si>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</si>
  <si>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</si>
  <si>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</si>
  <si>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</si>
  <si>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</si>
  <si>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</si>
  <si>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</si>
  <si>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</si>
  <si>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</si>
  <si>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</si>
  <si>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</si>
  <si>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</si>
  <si>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</si>
  <si>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</si>
  <si>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</si>
  <si>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</si>
  <si>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</si>
  <si>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</si>
  <si>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</si>
  <si>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</si>
  <si>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</si>
  <si>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</si>
  <si>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</si>
  <si>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</si>
  <si>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</si>
  <si>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</si>
  <si>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</si>
  <si>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</si>
  <si>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</si>
  <si>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</si>
  <si>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</si>
  <si>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</si>
  <si>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</si>
  <si>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</si>
  <si>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</si>
  <si>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</si>
  <si>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</si>
  <si>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</si>
  <si>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</si>
  <si>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</si>
  <si>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</si>
  <si>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</si>
  <si>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</si>
  <si>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</si>
  <si>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</si>
  <si>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</si>
  <si>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</si>
  <si>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</si>
  <si>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</si>
  <si>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</si>
  <si>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</si>
  <si>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</si>
  <si>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</si>
  <si>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</si>
  <si>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</si>
  <si>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</si>
  <si>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</si>
  <si>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</si>
  <si>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</si>
  <si>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</si>
  <si>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</si>
  <si>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</si>
  <si>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</si>
  <si>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</si>
  <si>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</si>
  <si>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</si>
  <si>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</si>
  <si>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</si>
  <si>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</si>
  <si>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</si>
  <si>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</si>
  <si>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</si>
  <si>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</si>
  <si>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</si>
  <si>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</si>
  <si>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</si>
  <si>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</si>
  <si>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</si>
  <si>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</si>
  <si>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</si>
  <si>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</si>
  <si>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</si>
  <si>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</si>
  <si>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</si>
  <si>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</si>
  <si>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</si>
  <si>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</si>
  <si>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</si>
  <si>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</si>
  <si>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</si>
  <si>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</si>
  <si>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</si>
  <si>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</si>
  <si>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</si>
  <si>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</si>
  <si>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</si>
  <si>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</si>
  <si>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</si>
  <si>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</si>
  <si>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</si>
  <si>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</si>
  <si>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</si>
  <si>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</si>
  <si>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</si>
  <si>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</si>
  <si>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</si>
  <si>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</si>
  <si>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</si>
  <si>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</si>
  <si>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</si>
  <si>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</si>
  <si>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</si>
  <si>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</si>
  <si>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</si>
  <si>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</si>
  <si>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</si>
  <si>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</si>
  <si>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</si>
  <si>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</si>
  <si>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</si>
  <si>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</si>
  <si>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</si>
  <si>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</si>
  <si>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</si>
  <si>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</si>
  <si>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</si>
  <si>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</si>
  <si>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</si>
  <si>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</si>
  <si>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</si>
  <si>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</si>
  <si>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</si>
  <si>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</si>
  <si>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</si>
  <si>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</si>
  <si>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</si>
  <si>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</si>
  <si>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</si>
  <si>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</si>
  <si>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</si>
  <si>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</si>
  <si>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</si>
  <si>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</si>
  <si>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</si>
  <si>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</si>
  <si>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</si>
  <si>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</si>
  <si>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</si>
  <si>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</si>
  <si>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</si>
  <si>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</si>
  <si>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</si>
  <si>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</si>
  <si>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</si>
  <si>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</si>
  <si>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</si>
  <si>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</si>
  <si>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</si>
  <si>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</si>
  <si>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</si>
  <si>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</si>
  <si>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</si>
  <si>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</si>
  <si>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</si>
  <si>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</si>
  <si>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</si>
  <si>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</si>
  <si>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</si>
  <si>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</si>
  <si>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</si>
  <si>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</si>
  <si>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</si>
  <si>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</si>
  <si>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</si>
  <si>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</si>
  <si>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</si>
  <si>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</si>
  <si>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</si>
  <si>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</si>
  <si>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</si>
  <si>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</si>
  <si>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</si>
  <si>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</si>
  <si>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</si>
  <si>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</si>
  <si>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</si>
  <si>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</si>
  <si>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</si>
  <si>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</si>
  <si>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</si>
  <si>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</si>
  <si>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</si>
  <si>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</si>
  <si>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</si>
  <si>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</si>
  <si>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</si>
  <si>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</si>
  <si>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</si>
  <si>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</si>
  <si>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</si>
  <si>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</si>
  <si>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</si>
  <si>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</si>
  <si>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</si>
  <si>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</si>
  <si>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</si>
  <si>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</si>
  <si>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</si>
  <si>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</si>
  <si>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</si>
  <si>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</si>
  <si>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</si>
  <si>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</si>
  <si>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</si>
  <si>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</si>
  <si>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</si>
  <si>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</si>
  <si>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</si>
  <si>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</si>
  <si>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</si>
  <si>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</si>
  <si>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</si>
  <si>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</si>
  <si>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</si>
  <si>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</si>
  <si>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</si>
  <si>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</si>
  <si>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</si>
  <si>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</si>
  <si>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</si>
  <si>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</si>
  <si>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</si>
  <si>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</si>
  <si>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</si>
  <si>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</si>
  <si>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</si>
  <si>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</si>
  <si>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</si>
  <si>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</si>
  <si>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</si>
  <si>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</si>
  <si>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</si>
  <si>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</si>
  <si>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</si>
  <si>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</si>
  <si>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</si>
  <si>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</si>
  <si>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</si>
  <si>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</si>
  <si>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</si>
  <si>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</si>
  <si>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</si>
  <si>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</si>
  <si>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</si>
  <si>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</si>
  <si>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</si>
  <si>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</si>
  <si>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</si>
  <si>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</si>
  <si>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</si>
  <si>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</si>
  <si>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</si>
  <si>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</si>
  <si>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</si>
  <si>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</si>
  <si>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</si>
  <si>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</si>
  <si>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</si>
  <si>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</si>
  <si>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</si>
  <si>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</si>
  <si>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</si>
  <si>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</si>
  <si>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</si>
  <si>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</si>
  <si>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</si>
  <si>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</si>
  <si>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</si>
  <si>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</si>
  <si>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</si>
  <si>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</si>
  <si>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</si>
  <si>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</si>
  <si>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</si>
  <si>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</si>
  <si>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</si>
  <si>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</si>
  <si>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</si>
  <si>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</si>
  <si>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</si>
  <si>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</si>
  <si>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</si>
  <si>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</si>
  <si>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</si>
  <si>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</si>
  <si>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</si>
  <si>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</si>
  <si>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</si>
  <si>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</si>
  <si>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</si>
  <si>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</si>
  <si>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</si>
  <si>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</si>
  <si>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</si>
  <si>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</si>
  <si>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</si>
  <si>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</si>
  <si>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</si>
  <si>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</si>
  <si>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</si>
  <si>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</si>
  <si>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</si>
  <si>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</si>
  <si>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</si>
  <si>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</si>
  <si>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</si>
  <si>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</si>
  <si>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</si>
  <si>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</si>
  <si>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</si>
  <si>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</si>
  <si>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</si>
  <si>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</si>
  <si>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</si>
  <si>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</si>
  <si>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</si>
  <si>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</si>
  <si>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</si>
  <si>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</si>
  <si>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</si>
  <si>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</si>
  <si>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</si>
  <si>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</si>
  <si>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</si>
  <si>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</si>
  <si>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</si>
  <si>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</si>
  <si>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</si>
  <si>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</si>
  <si>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</si>
  <si>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</si>
  <si>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</si>
  <si>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</si>
  <si>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</si>
  <si>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</si>
  <si>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</si>
  <si>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</si>
  <si>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</si>
  <si>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</si>
  <si>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</si>
  <si>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</si>
  <si>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</si>
  <si>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</si>
  <si>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</si>
  <si>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</si>
  <si>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</si>
  <si>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</si>
  <si>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</si>
  <si>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</si>
  <si>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</si>
  <si>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</si>
  <si>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</si>
  <si>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</si>
  <si>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</si>
  <si>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</si>
  <si>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</si>
  <si>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</si>
  <si>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</si>
  <si>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</si>
  <si>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</si>
  <si>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</si>
  <si>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</si>
  <si>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</si>
  <si>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</si>
  <si>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</si>
  <si>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</si>
  <si>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</si>
  <si>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</si>
  <si>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</si>
  <si>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</si>
  <si>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</si>
  <si>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</si>
  <si>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</si>
  <si>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</si>
  <si>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</si>
  <si>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</si>
  <si>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</si>
  <si>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</si>
  <si>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</si>
  <si>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</si>
  <si>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</si>
  <si>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</si>
  <si>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</si>
  <si>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</si>
  <si>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</si>
  <si>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</si>
  <si>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</si>
  <si>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</si>
  <si>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</si>
  <si>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</si>
  <si>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</si>
  <si>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</si>
  <si>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</si>
  <si>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</si>
  <si>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</si>
  <si>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</si>
  <si>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</si>
  <si>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</si>
  <si>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</si>
  <si>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</si>
  <si>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</si>
  <si>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</si>
  <si>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</si>
  <si>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</si>
  <si>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</si>
  <si>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</si>
  <si>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</si>
  <si>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</si>
  <si>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</si>
  <si>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</si>
  <si>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</si>
  <si>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</si>
  <si>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</si>
  <si>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</si>
  <si>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</si>
  <si>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</si>
  <si>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</si>
  <si>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COMISION OFICIAL A LA CIUDAD DE MEXICO</t>
  </si>
  <si>
    <t>VIATICOS Y PASAJES POR COMISION</t>
  </si>
  <si>
    <t>MEXICO</t>
  </si>
  <si>
    <t>xxxx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</si>
  <si>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</si>
  <si>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</si>
  <si>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</si>
  <si>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</si>
  <si>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</si>
  <si>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</si>
  <si>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</si>
  <si>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</si>
  <si>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DEL 14 AL 15 DE JUNIO DE 20XX</t>
  </si>
  <si>
    <t>Silao, Gto., a ____30__ de ____Marzo_________ de 20XX.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</si>
  <si>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</si>
  <si>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</si>
  <si>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</si>
  <si>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</si>
  <si>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</si>
  <si>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</si>
  <si>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</si>
  <si>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</si>
  <si>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</si>
  <si>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</si>
  <si>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</si>
  <si>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</si>
  <si>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</si>
  <si>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</si>
  <si>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</si>
  <si>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</si>
  <si>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</si>
  <si>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</si>
  <si>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</si>
  <si>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</si>
  <si>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</si>
  <si>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</si>
  <si>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</si>
  <si>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</si>
  <si>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</si>
  <si>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</si>
  <si>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</si>
  <si>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</si>
  <si>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</si>
  <si>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</si>
  <si>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</si>
  <si>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</si>
  <si>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</si>
  <si>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</si>
  <si>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</si>
  <si>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</si>
  <si>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</si>
  <si>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</si>
  <si>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</si>
  <si>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</si>
  <si>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</si>
  <si>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</si>
  <si>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</si>
  <si>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</si>
  <si>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</si>
  <si>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</si>
  <si>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</si>
  <si>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</si>
  <si>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</si>
  <si>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</si>
  <si>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</si>
  <si>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</si>
  <si>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</si>
  <si>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</si>
  <si>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</si>
  <si>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</si>
  <si>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</si>
  <si>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</si>
  <si>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</si>
  <si>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</si>
  <si>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</si>
  <si>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</si>
  <si>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</si>
  <si>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</si>
  <si>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</si>
  <si>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</si>
  <si>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</si>
  <si>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</si>
  <si>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</si>
  <si>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</si>
  <si>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</si>
  <si>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</si>
  <si>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</si>
  <si>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</si>
  <si>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</si>
  <si>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</si>
  <si>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</si>
  <si>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</si>
  <si>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</si>
  <si>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</si>
  <si>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</si>
  <si>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</si>
  <si>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</si>
  <si>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</si>
  <si>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</si>
  <si>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</si>
  <si>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</si>
  <si>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</si>
  <si>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</si>
  <si>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</si>
  <si>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</si>
  <si>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</si>
  <si>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</si>
  <si>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</si>
  <si>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</si>
  <si>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</si>
  <si>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</si>
  <si>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</si>
  <si>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</si>
  <si>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</si>
  <si>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</si>
  <si>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</si>
  <si>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</si>
  <si>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</si>
  <si>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</si>
  <si>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</si>
  <si>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</si>
  <si>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</si>
  <si>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</si>
  <si>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</si>
  <si>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</si>
  <si>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</si>
  <si>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</si>
  <si>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</si>
  <si>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</si>
  <si>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</si>
  <si>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</si>
  <si>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</si>
  <si>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</si>
  <si>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</si>
  <si>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</si>
  <si>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</si>
  <si>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</si>
  <si>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</si>
  <si>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</si>
  <si>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</si>
  <si>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</si>
  <si>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</si>
  <si>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</si>
  <si>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</si>
  <si>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</si>
  <si>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</si>
  <si>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</si>
  <si>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</si>
  <si>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</si>
  <si>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</si>
  <si>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</si>
  <si>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</si>
  <si>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</si>
  <si>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</si>
  <si>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</si>
  <si>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</si>
  <si>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</si>
  <si>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</si>
  <si>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</si>
  <si>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</si>
  <si>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</si>
  <si>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</si>
  <si>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</si>
  <si>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</si>
  <si>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</si>
  <si>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</si>
  <si>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</si>
  <si>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</si>
  <si>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</si>
  <si>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</si>
  <si>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</si>
  <si>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E027PC3254</t>
  </si>
  <si>
    <t>E027QC03742401</t>
  </si>
  <si>
    <t>E027QC03772402</t>
  </si>
  <si>
    <t>E027QC03772403</t>
  </si>
  <si>
    <t>E027QC03792401</t>
  </si>
  <si>
    <t>E027QC03792402</t>
  </si>
  <si>
    <t>E027QC03802401</t>
  </si>
  <si>
    <t>E027QC03802402</t>
  </si>
  <si>
    <t>E027QC03802403</t>
  </si>
  <si>
    <t>E027QC03812401</t>
  </si>
  <si>
    <t>M005GA2061</t>
  </si>
  <si>
    <t>M006GB1400</t>
  </si>
  <si>
    <t>E027QC03742301</t>
  </si>
  <si>
    <t>E027QC03802302</t>
  </si>
  <si>
    <t>L.R.I. Rodrigo Gonzalez Guerrero</t>
  </si>
  <si>
    <t>L.R.I. Rodrigo González Guerrero</t>
  </si>
  <si>
    <t>DIRECTOR GENERAL ADMINISTRATIVO</t>
  </si>
  <si>
    <t>FORMATO GRC - 25</t>
  </si>
  <si>
    <t>E027PB02922399</t>
  </si>
  <si>
    <t>E027PC02932399</t>
  </si>
  <si>
    <t>E027QB15442405</t>
  </si>
  <si>
    <t>E027QC03402501</t>
  </si>
  <si>
    <t>E027QC03402502</t>
  </si>
  <si>
    <t>E027QC03422501</t>
  </si>
  <si>
    <t>E027QC03432401</t>
  </si>
  <si>
    <t>E027QC03432501</t>
  </si>
  <si>
    <t>E027QC03442501</t>
  </si>
  <si>
    <t>E027QC03442502</t>
  </si>
  <si>
    <t>E027QC03682501</t>
  </si>
  <si>
    <t>E027QC03682502</t>
  </si>
  <si>
    <t>E027QC03682503</t>
  </si>
  <si>
    <t>E027QC03682504</t>
  </si>
  <si>
    <t>E027QC03682505</t>
  </si>
  <si>
    <t>E027QC03732501</t>
  </si>
  <si>
    <t>E027QC03732502</t>
  </si>
  <si>
    <t>E027QC03742501</t>
  </si>
  <si>
    <t>E027QC03742502</t>
  </si>
  <si>
    <t>E027QC03752501</t>
  </si>
  <si>
    <t>E027QC03762401</t>
  </si>
  <si>
    <t>E027QC03762501</t>
  </si>
  <si>
    <t>E027QC03762502</t>
  </si>
  <si>
    <t>E027QC03772501</t>
  </si>
  <si>
    <t>E027QC03772502</t>
  </si>
  <si>
    <t>E027QC03772503</t>
  </si>
  <si>
    <t>E027QC03792501</t>
  </si>
  <si>
    <t>E027QC03792502</t>
  </si>
  <si>
    <t>E027QC03792503</t>
  </si>
  <si>
    <t>E027QC03802501</t>
  </si>
  <si>
    <t>E027QC03802502</t>
  </si>
  <si>
    <t>E027QC03802503</t>
  </si>
  <si>
    <t>E027QC03812501</t>
  </si>
  <si>
    <t>E027QC04182501</t>
  </si>
  <si>
    <t>E027QC06212501</t>
  </si>
  <si>
    <t>E027QC06222501</t>
  </si>
  <si>
    <t>E027QC06232501</t>
  </si>
  <si>
    <t>E027QC06242501</t>
  </si>
  <si>
    <t>E027QC32142501</t>
  </si>
  <si>
    <t>E027QC32142502</t>
  </si>
  <si>
    <t>E027QC32142503</t>
  </si>
  <si>
    <t>E027QC32142504</t>
  </si>
  <si>
    <t>E027QC32142505</t>
  </si>
  <si>
    <t>DATOS GENERALES DE SOLICITUD</t>
  </si>
  <si>
    <t>DATOS PRESUPUESTARIOS
PRESUPUESTO</t>
  </si>
  <si>
    <t>SECTURI/PRUEBA/001/20XX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</si>
</sst>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7">
    <xf numFmtId="0" fontId="0" fillId="0" borderId="0" xfId="0"/>
    <xf numFmtId="0" fontId="2" fillId="0" borderId="1" xfId="0" applyFont="1" applyBorder="1" applyAlignment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Border="1" applyAlignment="1">
      <alignment horizontal="center" wrapText="1"/>
    </xf>
    <xf numFmtId="0" fontId="8" fillId="0" borderId="0" xfId="0" applyFo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/>
    <xf numFmtId="0" fontId="8" fillId="3" borderId="24" xfId="0" applyFont="1" applyFill="1" applyBorder="1" applyAlignment="1">
      <alignment horizontal="center"/>
    </xf>
    <xf numFmtId="0" fontId="5" fillId="3" borderId="0" xfId="0" applyFont="1" applyFill="1"/>
    <xf numFmtId="0" fontId="0" fillId="0" borderId="24" xfId="0" applyBorder="1"/>
    <xf numFmtId="0" fontId="0" fillId="3" borderId="24" xfId="0" applyFill="1" applyBorder="1"/>
    <xf numFmtId="0" fontId="7" fillId="0" borderId="27" xfId="0" applyFont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Border="1" applyAlignment="1">
      <alignment horizontal="center" wrapText="1"/>
    </xf>
    <xf numFmtId="0" fontId="11" fillId="0" borderId="1" xfId="0" applyFont="1" applyBorder="1"/>
    <xf numFmtId="0" fontId="11" fillId="0" borderId="0" xfId="0" applyFont="1"/>
    <xf numFmtId="0" fontId="11" fillId="0" borderId="3" xfId="0" applyFont="1" applyBorder="1"/>
    <xf numFmtId="0" fontId="3" fillId="0" borderId="3" xfId="0" applyFont="1" applyBorder="1"/>
    <xf numFmtId="0" fontId="13" fillId="0" borderId="4" xfId="0" applyFont="1" applyBorder="1" applyAlignment="1" applyProtection="1">
      <alignment horizontal="center"/>
      <protection locked="0"/>
    </xf>
    <xf numFmtId="0" fontId="14" fillId="0" borderId="3" xfId="0" applyFont="1" applyBorder="1"/>
    <xf numFmtId="0" fontId="16" fillId="0" borderId="3" xfId="0" applyFont="1" applyBorder="1" applyAlignment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6" fillId="0" borderId="3" xfId="0" applyFont="1" applyBorder="1"/>
    <xf numFmtId="0" fontId="17" fillId="0" borderId="0" xfId="0" applyFont="1"/>
    <xf numFmtId="0" fontId="4" fillId="0" borderId="3" xfId="0" applyFont="1" applyBorder="1" applyAlignment="1">
      <alignment wrapText="1"/>
    </xf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/>
    <xf numFmtId="0" fontId="11" fillId="0" borderId="30" xfId="0" applyFont="1" applyBorder="1"/>
    <xf numFmtId="0" fontId="15" fillId="0" borderId="30" xfId="0" applyFont="1" applyBorder="1"/>
    <xf numFmtId="0" fontId="16" fillId="0" borderId="30" xfId="0" applyFont="1" applyBorder="1"/>
    <xf numFmtId="0" fontId="4" fillId="0" borderId="30" xfId="0" applyFont="1" applyBorder="1" applyAlignment="1" applyProtection="1">
      <alignment horizontal="center" vertical="center" wrapText="1"/>
      <protection locked="0"/>
    </xf>
    <xf numFmtId="0" fontId="16" fillId="0" borderId="30" xfId="0" applyFont="1" applyBorder="1" applyAlignment="1">
      <alignment vertical="center" wrapText="1"/>
    </xf>
    <xf numFmtId="0" fontId="16" fillId="0" borderId="30" xfId="0" applyFont="1" applyBorder="1" applyAlignment="1">
      <alignment vertical="center"/>
    </xf>
    <xf numFmtId="0" fontId="16" fillId="0" borderId="3" xfId="0" applyFont="1" applyBorder="1" applyAlignment="1">
      <alignment horizontal="center"/>
    </xf>
    <xf numFmtId="0" fontId="23" fillId="0" borderId="0" xfId="0" applyFont="1" applyAlignment="1">
      <alignment horizontal="left" indent="14"/>
    </xf>
    <xf numFmtId="0" fontId="24" fillId="0" borderId="0" xfId="0" applyFont="1" applyAlignment="1">
      <alignment horizontal="center" vertical="center"/>
    </xf>
    <xf numFmtId="4" fontId="20" fillId="0" borderId="21" xfId="0" applyNumberFormat="1" applyFont="1" applyBorder="1" applyAlignment="1" applyProtection="1">
      <alignment horizontal="center"/>
      <protection locked="0"/>
    </xf>
    <xf numFmtId="0" fontId="31" fillId="0" borderId="21" xfId="0" applyFont="1" applyBorder="1" applyAlignment="1">
      <alignment horizontal="center" wrapText="1"/>
    </xf>
    <xf numFmtId="0" fontId="33" fillId="0" borderId="0" xfId="0" applyFont="1"/>
    <xf numFmtId="0" fontId="33" fillId="0" borderId="0" xfId="0" applyFont="1" applyAlignment="1">
      <alignment horizontal="center"/>
    </xf>
    <xf numFmtId="44" fontId="20" fillId="0" borderId="21" xfId="1" applyFont="1" applyBorder="1" applyAlignment="1" applyProtection="1">
      <alignment horizontal="center"/>
      <protection locked="0"/>
    </xf>
    <xf numFmtId="0" fontId="26" fillId="4" borderId="41" xfId="0" applyFont="1" applyFill="1" applyBorder="1"/>
    <xf numFmtId="44" fontId="26" fillId="4" borderId="42" xfId="1" applyFont="1" applyFill="1" applyBorder="1"/>
    <xf numFmtId="0" fontId="4" fillId="0" borderId="30" xfId="0" applyFont="1" applyBorder="1" applyAlignment="1">
      <alignment horizontal="center"/>
    </xf>
    <xf numFmtId="0" fontId="11" fillId="0" borderId="11" xfId="0" applyFont="1" applyBorder="1"/>
    <xf numFmtId="0" fontId="16" fillId="0" borderId="29" xfId="0" applyFont="1" applyBorder="1"/>
    <xf numFmtId="0" fontId="16" fillId="0" borderId="1" xfId="0" applyFont="1" applyBorder="1"/>
    <xf numFmtId="0" fontId="11" fillId="0" borderId="2" xfId="0" applyFont="1" applyBorder="1"/>
    <xf numFmtId="0" fontId="11" fillId="0" borderId="28" xfId="0" applyFont="1" applyBorder="1"/>
    <xf numFmtId="0" fontId="11" fillId="0" borderId="12" xfId="0" applyFont="1" applyBorder="1"/>
    <xf numFmtId="0" fontId="36" fillId="0" borderId="0" xfId="0" applyFont="1"/>
    <xf numFmtId="0" fontId="0" fillId="0" borderId="0" xfId="0" applyAlignment="1">
      <alignment wrapText="1"/>
    </xf>
    <xf numFmtId="44" fontId="4" fillId="0" borderId="9" xfId="1" applyFont="1" applyBorder="1"/>
    <xf numFmtId="0" fontId="4" fillId="2" borderId="30" xfId="0" applyFont="1" applyFill="1" applyBorder="1" applyAlignment="1">
      <alignment horizontal="center" vertical="center" wrapText="1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30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29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6" fillId="0" borderId="30" xfId="0" applyFont="1" applyBorder="1" applyAlignment="1" applyProtection="1">
      <alignment horizontal="center" vertical="center" wrapText="1"/>
      <protection locked="0"/>
    </xf>
    <xf numFmtId="0" fontId="16" fillId="0" borderId="28" xfId="0" applyFont="1" applyBorder="1" applyAlignment="1" applyProtection="1">
      <alignment horizontal="center" vertical="center" wrapText="1"/>
      <protection locked="0"/>
    </xf>
    <xf numFmtId="0" fontId="16" fillId="0" borderId="11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19" fillId="0" borderId="33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6" fillId="0" borderId="30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30" xfId="0" applyFont="1" applyBorder="1" applyAlignment="1" applyProtection="1">
      <alignment horizontal="left" vertical="top" wrapText="1"/>
      <protection locked="0"/>
    </xf>
    <xf numFmtId="0" fontId="16" fillId="0" borderId="32" xfId="0" applyFont="1" applyBorder="1" applyAlignment="1" applyProtection="1">
      <alignment horizontal="left" vertical="top" wrapText="1"/>
      <protection locked="0"/>
    </xf>
    <xf numFmtId="0" fontId="16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3" fillId="0" borderId="3" xfId="0" applyFont="1" applyBorder="1" applyAlignment="1">
      <alignment horizontal="center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0" fillId="0" borderId="30" xfId="0" applyFont="1" applyBorder="1" applyAlignment="1">
      <alignment horizontal="left"/>
    </xf>
    <xf numFmtId="0" fontId="19" fillId="0" borderId="30" xfId="0" applyFont="1" applyBorder="1" applyAlignment="1">
      <alignment horizontal="left"/>
    </xf>
    <xf numFmtId="0" fontId="4" fillId="2" borderId="3" xfId="0" applyFont="1" applyFill="1" applyBorder="1" applyAlignment="1">
      <alignment horizontal="center" vertical="center" wrapText="1"/>
    </xf>
    <xf numFmtId="0" fontId="4" fillId="2" borderId="28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16" fillId="0" borderId="9" xfId="0" applyFont="1" applyBorder="1" applyAlignment="1">
      <alignment horizontal="center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16" fillId="0" borderId="5" xfId="0" applyFont="1" applyBorder="1" applyAlignment="1" applyProtection="1">
      <alignment horizontal="left" vertical="center" wrapText="1"/>
      <protection locked="0"/>
    </xf>
    <xf numFmtId="0" fontId="16" fillId="0" borderId="6" xfId="0" applyFont="1" applyBorder="1" applyAlignment="1" applyProtection="1">
      <alignment horizontal="left" vertical="center" wrapText="1"/>
      <protection locked="0"/>
    </xf>
    <xf numFmtId="0" fontId="16" fillId="0" borderId="7" xfId="0" applyFont="1" applyBorder="1" applyAlignment="1" applyProtection="1">
      <alignment horizontal="left" vertical="center" wrapText="1"/>
      <protection locked="0"/>
    </xf>
    <xf numFmtId="0" fontId="16" fillId="0" borderId="30" xfId="0" applyFont="1" applyBorder="1" applyAlignment="1">
      <alignment horizontal="justify" wrapText="1"/>
    </xf>
    <xf numFmtId="0" fontId="16" fillId="0" borderId="30" xfId="0" applyFont="1" applyBorder="1" applyAlignment="1">
      <alignment horizontal="left" wrapText="1"/>
    </xf>
    <xf numFmtId="0" fontId="16" fillId="0" borderId="3" xfId="0" applyFont="1" applyBorder="1" applyAlignment="1">
      <alignment horizontal="left" wrapText="1"/>
    </xf>
    <xf numFmtId="0" fontId="16" fillId="0" borderId="30" xfId="0" applyFont="1" applyBorder="1" applyAlignment="1">
      <alignment horizontal="center"/>
    </xf>
    <xf numFmtId="0" fontId="30" fillId="0" borderId="21" xfId="0" applyFont="1" applyBorder="1" applyAlignment="1" applyProtection="1">
      <alignment wrapText="1"/>
      <protection locked="0"/>
    </xf>
    <xf numFmtId="44" fontId="30" fillId="0" borderId="24" xfId="1" applyFont="1" applyBorder="1" applyAlignment="1" applyProtection="1">
      <alignment horizontal="center"/>
      <protection locked="0"/>
    </xf>
    <xf numFmtId="44" fontId="30" fillId="0" borderId="26" xfId="1" applyFont="1" applyBorder="1" applyAlignment="1" applyProtection="1">
      <alignment horizontal="center"/>
      <protection locked="0"/>
    </xf>
    <xf numFmtId="0" fontId="34" fillId="4" borderId="3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0" fontId="30" fillId="0" borderId="24" xfId="0" applyFont="1" applyBorder="1" applyAlignment="1" applyProtection="1">
      <alignment horizontal="center" wrapText="1"/>
      <protection locked="0"/>
    </xf>
    <xf numFmtId="0" fontId="30" fillId="0" borderId="26" xfId="0" applyFont="1" applyBorder="1" applyAlignment="1" applyProtection="1">
      <alignment horizontal="center" wrapText="1"/>
      <protection locked="0"/>
    </xf>
    <xf numFmtId="0" fontId="32" fillId="0" borderId="21" xfId="0" applyFont="1" applyBorder="1" applyAlignment="1">
      <alignment horizontal="center"/>
    </xf>
    <xf numFmtId="0" fontId="21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4" fillId="0" borderId="0" xfId="0" applyFont="1" applyAlignment="1" applyProtection="1">
      <alignment horizontal="left"/>
      <protection locked="0"/>
    </xf>
    <xf numFmtId="0" fontId="25" fillId="0" borderId="30" xfId="0" applyFont="1" applyBorder="1" applyAlignment="1">
      <alignment horizontal="center" vertical="top" wrapText="1"/>
    </xf>
    <xf numFmtId="0" fontId="22" fillId="0" borderId="3" xfId="0" applyFont="1" applyBorder="1" applyAlignment="1">
      <alignment horizontal="center"/>
    </xf>
    <xf numFmtId="0" fontId="26" fillId="4" borderId="30" xfId="0" applyFont="1" applyFill="1" applyBorder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6" fillId="4" borderId="34" xfId="0" applyFont="1" applyFill="1" applyBorder="1" applyAlignment="1">
      <alignment horizontal="center" vertical="center" wrapText="1"/>
    </xf>
    <xf numFmtId="0" fontId="26" fillId="4" borderId="38" xfId="0" applyFont="1" applyFill="1" applyBorder="1" applyAlignment="1">
      <alignment horizontal="center" vertical="center" wrapText="1"/>
    </xf>
    <xf numFmtId="0" fontId="27" fillId="4" borderId="35" xfId="0" applyFont="1" applyFill="1" applyBorder="1" applyAlignment="1">
      <alignment horizontal="center" vertical="center" wrapText="1"/>
    </xf>
    <xf numFmtId="0" fontId="29" fillId="4" borderId="39" xfId="0" applyFont="1" applyFill="1" applyBorder="1" applyAlignment="1">
      <alignment vertical="center" wrapText="1"/>
    </xf>
    <xf numFmtId="0" fontId="26" fillId="4" borderId="36" xfId="0" applyFont="1" applyFill="1" applyBorder="1" applyAlignment="1">
      <alignment horizontal="center" vertical="center" wrapText="1"/>
    </xf>
    <xf numFmtId="0" fontId="26" fillId="4" borderId="37" xfId="0" applyFont="1" applyFill="1" applyBorder="1" applyAlignment="1">
      <alignment horizontal="center" vertical="center" wrapText="1"/>
    </xf>
    <xf numFmtId="0" fontId="26" fillId="4" borderId="40" xfId="0" applyFont="1" applyFill="1" applyBorder="1" applyAlignment="1">
      <alignment horizontal="center" vertical="center" wrapText="1"/>
    </xf>
    <xf numFmtId="0" fontId="26" fillId="4" borderId="10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  <xf numFmtId="0" fontId="0" fillId="0" borderId="30" xfId="0" applyBorder="1"/>
    <xf numFmtId="0" fontId="11" fillId="0" borderId="0" xfId="0" applyFont="1" applyBorder="1"/>
    <xf numFmtId="0" fontId="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right"/>
    </xf>
    <xf numFmtId="0" fontId="4" fillId="2" borderId="0" xfId="0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left"/>
    </xf>
    <xf numFmtId="0" fontId="14" fillId="0" borderId="0" xfId="0" applyFont="1" applyBorder="1"/>
    <xf numFmtId="0" fontId="20" fillId="0" borderId="0" xfId="0" applyFont="1" applyBorder="1" applyAlignment="1">
      <alignment horizontal="left"/>
    </xf>
    <xf numFmtId="0" fontId="16" fillId="0" borderId="0" xfId="0" applyFont="1" applyBorder="1"/>
    <xf numFmtId="0" fontId="16" fillId="0" borderId="0" xfId="0" applyFont="1" applyBorder="1" applyAlignment="1">
      <alignment horizontal="center" vertical="center"/>
    </xf>
    <xf numFmtId="0" fontId="16" fillId="0" borderId="0" xfId="0" applyFont="1" applyBorder="1" applyAlignment="1" applyProtection="1">
      <alignment horizontal="left" vertical="top" wrapText="1"/>
      <protection locked="0"/>
    </xf>
    <xf numFmtId="0" fontId="4" fillId="0" borderId="0" xfId="0" applyFont="1" applyBorder="1" applyAlignment="1">
      <alignment horizontal="center"/>
    </xf>
    <xf numFmtId="0" fontId="16" fillId="0" borderId="0" xfId="0" applyFont="1" applyBorder="1" applyAlignment="1">
      <alignment horizontal="justify" wrapText="1"/>
    </xf>
    <xf numFmtId="0" fontId="16" fillId="0" borderId="0" xfId="0" applyFont="1" applyBorder="1" applyAlignment="1">
      <alignment horizontal="left" wrapText="1"/>
    </xf>
    <xf numFmtId="0" fontId="16" fillId="0" borderId="0" xfId="0" applyFont="1" applyBorder="1" applyAlignment="1">
      <alignment horizontal="center"/>
    </xf>
    <xf numFmtId="0" fontId="4" fillId="0" borderId="3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44" fontId="4" fillId="0" borderId="30" xfId="1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6" fillId="0" borderId="0" xfId="0" applyFont="1" applyBorder="1" applyAlignment="1" applyProtection="1">
      <alignment horizontal="center" vertical="center" wrapText="1"/>
      <protection locked="0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66675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A67ADA5D-1299-DF29-14C0-6526055B2A98}"/>
            </a:ext>
          </a:extLst>
        </xdr:cNvPr>
        <xdr:cNvSpPr>
          <a:spLocks noChangeAspect="1" noChangeArrowheads="1"/>
        </xdr:cNvSpPr>
      </xdr:nvSpPr>
      <xdr:spPr bwMode="auto">
        <a:xfrm>
          <a:off x="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114300</xdr:rowOff>
    </xdr:to>
    <xdr:sp macro="" textlink="">
      <xdr:nvSpPr>
        <xdr:cNvPr id="1028" name="AutoShape 4">
          <a:extLst>
            <a:ext uri="{FF2B5EF4-FFF2-40B4-BE49-F238E27FC236}">
              <a16:creationId xmlns:a16="http://schemas.microsoft.com/office/drawing/2014/main" id="{12A478B1-5A24-EF0B-69AA-EBC40CF676BC}"/>
            </a:ext>
          </a:extLst>
        </xdr:cNvPr>
        <xdr:cNvSpPr>
          <a:spLocks noChangeAspect="1" noChangeArrowheads="1"/>
        </xdr:cNvSpPr>
      </xdr:nvSpPr>
      <xdr:spPr bwMode="auto">
        <a:xfrm>
          <a:off x="0" y="2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295275</xdr:colOff>
      <xdr:row>1</xdr:row>
      <xdr:rowOff>16075</xdr:rowOff>
    </xdr:from>
    <xdr:to>
      <xdr:col>1</xdr:col>
      <xdr:colOff>114301</xdr:colOff>
      <xdr:row>7</xdr:row>
      <xdr:rowOff>135784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96F242B-2B07-F044-8B26-BFA801A7B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216100"/>
          <a:ext cx="1933576" cy="14151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6</xdr:row>
      <xdr:rowOff>19050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A725689-AEDF-4E66-988E-51174968C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57600" cy="1247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G102"/>
  <sheetViews>
    <sheetView tabSelected="1" workbookViewId="0">
      <selection activeCell="A11" sqref="A11:D11"/>
    </sheetView>
  </sheetViews>
  <sheetFormatPr baseColWidth="10" defaultColWidth="11.5703125" defaultRowHeight="15.75" x14ac:dyDescent="0.25"/>
  <cols>
    <col min="1" max="1" width="31.7109375" style="24" customWidth="1"/>
    <col min="2" max="2" width="35.28515625" style="24" customWidth="1"/>
    <col min="3" max="3" width="20.140625" style="24" customWidth="1"/>
    <col min="4" max="4" width="32.42578125" style="24" customWidth="1"/>
    <col min="5" max="5" width="46.140625" style="24" customWidth="1"/>
    <col min="6" max="6" width="8.28515625" style="24" customWidth="1"/>
    <col min="7" max="16384" width="11.5703125" style="24"/>
  </cols>
  <sheetData>
    <row r="1" spans="1:6" x14ac:dyDescent="0.25">
      <c r="A1" s="37"/>
      <c r="B1" s="23"/>
      <c r="C1" s="23"/>
      <c r="D1" s="23"/>
      <c r="E1" s="1" t="s">
        <v>1098</v>
      </c>
      <c r="F1" s="35"/>
    </row>
    <row r="2" spans="1:6" ht="15.6" customHeight="1" x14ac:dyDescent="0.25">
      <c r="A2" s="146"/>
      <c r="B2" s="147"/>
      <c r="C2" s="147"/>
      <c r="D2" s="147"/>
      <c r="E2" s="147"/>
      <c r="F2" s="25"/>
    </row>
    <row r="3" spans="1:6" x14ac:dyDescent="0.25">
      <c r="A3" s="38"/>
      <c r="B3" s="148" t="s">
        <v>0</v>
      </c>
      <c r="C3" s="148"/>
      <c r="D3" s="148"/>
      <c r="E3" s="148"/>
      <c r="F3" s="96"/>
    </row>
    <row r="4" spans="1:6" ht="18.75" customHeight="1" x14ac:dyDescent="0.25">
      <c r="A4" s="146"/>
      <c r="B4" s="148" t="s">
        <v>1</v>
      </c>
      <c r="C4" s="148"/>
      <c r="D4" s="148"/>
      <c r="E4" s="148"/>
      <c r="F4" s="26"/>
    </row>
    <row r="5" spans="1:6" ht="21" customHeight="1" x14ac:dyDescent="0.25">
      <c r="A5" s="38"/>
      <c r="B5" s="148" t="s">
        <v>2</v>
      </c>
      <c r="C5" s="148"/>
      <c r="D5" s="148"/>
      <c r="E5" s="148"/>
      <c r="F5" s="26"/>
    </row>
    <row r="6" spans="1:6" ht="16.149999999999999" thickBot="1" x14ac:dyDescent="0.35">
      <c r="A6" s="38"/>
      <c r="B6" s="147"/>
      <c r="C6" s="147"/>
      <c r="D6" s="147"/>
      <c r="E6" s="147"/>
      <c r="F6" s="25"/>
    </row>
    <row r="7" spans="1:6" ht="16.149999999999999" thickBot="1" x14ac:dyDescent="0.35">
      <c r="A7" s="38"/>
      <c r="B7" s="147"/>
      <c r="C7" s="147"/>
      <c r="D7" s="149" t="s">
        <v>3</v>
      </c>
      <c r="E7" s="27" t="s">
        <v>1144</v>
      </c>
      <c r="F7" s="25"/>
    </row>
    <row r="8" spans="1:6" x14ac:dyDescent="0.25">
      <c r="A8" s="38"/>
      <c r="B8" s="147"/>
      <c r="C8" s="147"/>
      <c r="D8" s="147"/>
      <c r="E8" s="147"/>
      <c r="F8" s="25"/>
    </row>
    <row r="9" spans="1:6" ht="22.5" customHeight="1" x14ac:dyDescent="0.25">
      <c r="A9" s="64">
        <v>1</v>
      </c>
      <c r="B9" s="150" t="s">
        <v>1142</v>
      </c>
      <c r="C9" s="150"/>
      <c r="D9" s="150"/>
      <c r="E9" s="150"/>
      <c r="F9" s="102"/>
    </row>
    <row r="10" spans="1:6" x14ac:dyDescent="0.25">
      <c r="A10" s="38"/>
      <c r="B10" s="147"/>
      <c r="C10" s="147"/>
      <c r="D10" s="147"/>
      <c r="E10" s="147"/>
      <c r="F10" s="25"/>
    </row>
    <row r="11" spans="1:6" x14ac:dyDescent="0.25">
      <c r="A11" s="101" t="s">
        <v>1095</v>
      </c>
      <c r="B11" s="151"/>
      <c r="C11" s="151"/>
      <c r="D11" s="151"/>
      <c r="E11" s="152"/>
      <c r="F11" s="28"/>
    </row>
    <row r="12" spans="1:6" ht="15.6" x14ac:dyDescent="0.3">
      <c r="A12" s="100" t="s">
        <v>1097</v>
      </c>
      <c r="B12" s="153"/>
      <c r="C12" s="153"/>
      <c r="D12" s="153"/>
      <c r="E12" s="152"/>
      <c r="F12" s="28"/>
    </row>
    <row r="13" spans="1:6" ht="9" customHeight="1" x14ac:dyDescent="0.3">
      <c r="A13" s="39"/>
      <c r="B13" s="152"/>
      <c r="C13" s="152"/>
      <c r="D13" s="152"/>
      <c r="E13" s="152"/>
      <c r="F13" s="28"/>
    </row>
    <row r="14" spans="1:6" x14ac:dyDescent="0.25">
      <c r="A14" s="40" t="s">
        <v>902</v>
      </c>
      <c r="B14" s="152"/>
      <c r="C14" s="152"/>
      <c r="D14" s="152"/>
      <c r="E14" s="152"/>
      <c r="F14" s="28"/>
    </row>
    <row r="15" spans="1:6" ht="21.75" customHeight="1" x14ac:dyDescent="0.25">
      <c r="A15" s="97"/>
      <c r="B15" s="98"/>
      <c r="C15" s="98"/>
      <c r="D15" s="98"/>
      <c r="E15" s="99"/>
      <c r="F15" s="29"/>
    </row>
    <row r="16" spans="1:6" ht="30.75" customHeight="1" x14ac:dyDescent="0.25">
      <c r="A16" s="42" t="s">
        <v>4</v>
      </c>
      <c r="B16" s="87"/>
      <c r="C16" s="88"/>
      <c r="D16" s="88"/>
      <c r="E16" s="89"/>
      <c r="F16" s="29"/>
    </row>
    <row r="17" spans="1:7" ht="31.15" customHeight="1" x14ac:dyDescent="0.25">
      <c r="A17" s="43" t="s">
        <v>5</v>
      </c>
      <c r="B17" s="30">
        <f>C57</f>
        <v>0</v>
      </c>
      <c r="C17" s="107" t="str" cm="1">
        <f t="array" ref="C17">Apalabra(B17)</f>
        <v/>
      </c>
      <c r="D17" s="108"/>
      <c r="E17" s="109"/>
      <c r="F17" s="31"/>
    </row>
    <row r="18" spans="1:7" ht="8.25" customHeight="1" x14ac:dyDescent="0.25">
      <c r="A18" s="40"/>
      <c r="B18" s="154"/>
      <c r="C18" s="154"/>
      <c r="D18" s="154"/>
      <c r="E18" s="154"/>
      <c r="F18" s="31"/>
      <c r="G18" s="32"/>
    </row>
    <row r="19" spans="1:7" ht="22.5" customHeight="1" x14ac:dyDescent="0.25">
      <c r="A19" s="90" t="s">
        <v>6</v>
      </c>
      <c r="B19" s="155"/>
      <c r="C19" s="155"/>
      <c r="D19" s="155"/>
      <c r="E19" s="155"/>
      <c r="F19" s="91"/>
      <c r="G19" s="32"/>
    </row>
    <row r="20" spans="1:7" ht="22.5" customHeight="1" x14ac:dyDescent="0.25">
      <c r="A20" s="92" t="s">
        <v>910</v>
      </c>
      <c r="B20" s="156"/>
      <c r="C20" s="156"/>
      <c r="D20" s="156"/>
      <c r="E20" s="156"/>
      <c r="F20" s="44"/>
      <c r="G20" s="32"/>
    </row>
    <row r="21" spans="1:7" ht="22.5" customHeight="1" x14ac:dyDescent="0.25">
      <c r="A21" s="92"/>
      <c r="B21" s="156"/>
      <c r="C21" s="156"/>
      <c r="D21" s="156"/>
      <c r="E21" s="156"/>
      <c r="F21" s="44"/>
      <c r="G21" s="32"/>
    </row>
    <row r="22" spans="1:7" ht="22.5" customHeight="1" x14ac:dyDescent="0.25">
      <c r="A22" s="92"/>
      <c r="B22" s="156"/>
      <c r="C22" s="156"/>
      <c r="D22" s="156"/>
      <c r="E22" s="156"/>
      <c r="F22" s="44"/>
      <c r="G22" s="32"/>
    </row>
    <row r="23" spans="1:7" ht="22.9" customHeight="1" x14ac:dyDescent="0.25">
      <c r="A23" s="93"/>
      <c r="B23" s="94"/>
      <c r="C23" s="94"/>
      <c r="D23" s="94"/>
      <c r="E23" s="94"/>
      <c r="F23" s="33"/>
      <c r="G23" s="32"/>
    </row>
    <row r="24" spans="1:7" ht="30" customHeight="1" x14ac:dyDescent="0.25">
      <c r="A24" s="43" t="s">
        <v>7</v>
      </c>
      <c r="B24" s="110" t="s">
        <v>911</v>
      </c>
      <c r="C24" s="111"/>
      <c r="D24" s="111"/>
      <c r="E24" s="112"/>
      <c r="F24" s="29"/>
      <c r="G24" s="32"/>
    </row>
    <row r="25" spans="1:7" ht="20.25" customHeight="1" x14ac:dyDescent="0.25">
      <c r="A25" s="43" t="s">
        <v>8</v>
      </c>
      <c r="B25" s="110" t="s">
        <v>912</v>
      </c>
      <c r="C25" s="111"/>
      <c r="D25" s="111"/>
      <c r="E25" s="112"/>
      <c r="F25" s="31"/>
      <c r="G25" s="32"/>
    </row>
    <row r="26" spans="1:7" ht="23.25" customHeight="1" x14ac:dyDescent="0.25">
      <c r="A26" s="43" t="s">
        <v>9</v>
      </c>
      <c r="B26" s="110" t="s">
        <v>922</v>
      </c>
      <c r="C26" s="111"/>
      <c r="D26" s="111"/>
      <c r="E26" s="112"/>
      <c r="F26" s="31"/>
      <c r="G26" s="32"/>
    </row>
    <row r="27" spans="1:7" x14ac:dyDescent="0.25">
      <c r="A27" s="40"/>
      <c r="B27" s="154"/>
      <c r="C27" s="154"/>
      <c r="D27" s="154"/>
      <c r="E27" s="154"/>
      <c r="F27" s="31"/>
      <c r="G27" s="32"/>
    </row>
    <row r="28" spans="1:7" x14ac:dyDescent="0.25">
      <c r="A28" s="66" t="s">
        <v>10</v>
      </c>
      <c r="B28" s="157"/>
      <c r="C28" s="157"/>
      <c r="D28" s="157"/>
      <c r="E28" s="157"/>
      <c r="F28" s="31"/>
      <c r="G28" s="32"/>
    </row>
    <row r="29" spans="1:7" ht="5.25" customHeight="1" x14ac:dyDescent="0.25">
      <c r="A29" s="40" t="s">
        <v>11</v>
      </c>
      <c r="B29" s="154"/>
      <c r="C29" s="154"/>
      <c r="D29" s="154"/>
      <c r="E29" s="154"/>
      <c r="F29" s="31"/>
      <c r="G29" s="32"/>
    </row>
    <row r="30" spans="1:7" ht="66" customHeight="1" x14ac:dyDescent="0.25">
      <c r="A30" s="113" t="s">
        <v>903</v>
      </c>
      <c r="B30" s="158"/>
      <c r="C30" s="158"/>
      <c r="D30" s="158"/>
      <c r="E30" s="158"/>
      <c r="F30" s="29"/>
      <c r="G30" s="32"/>
    </row>
    <row r="31" spans="1:7" ht="6.75" customHeight="1" x14ac:dyDescent="0.25">
      <c r="A31" s="40"/>
      <c r="B31" s="154"/>
      <c r="C31" s="154"/>
      <c r="D31" s="154"/>
      <c r="E31" s="154"/>
      <c r="F31" s="31"/>
      <c r="G31" s="32"/>
    </row>
    <row r="32" spans="1:7" ht="21" customHeight="1" x14ac:dyDescent="0.25">
      <c r="A32" s="114" t="s">
        <v>904</v>
      </c>
      <c r="B32" s="159"/>
      <c r="C32" s="159"/>
      <c r="D32" s="159"/>
      <c r="E32" s="159"/>
      <c r="F32" s="115"/>
      <c r="G32" s="32"/>
    </row>
    <row r="33" spans="1:7" x14ac:dyDescent="0.25">
      <c r="A33" s="40"/>
      <c r="B33" s="154"/>
      <c r="C33" s="154"/>
      <c r="D33" s="154"/>
      <c r="E33" s="154"/>
      <c r="F33" s="31"/>
      <c r="G33" s="32"/>
    </row>
    <row r="34" spans="1:7" ht="16.5" customHeight="1" x14ac:dyDescent="0.25">
      <c r="A34" s="114" t="s">
        <v>905</v>
      </c>
      <c r="B34" s="159"/>
      <c r="C34" s="159"/>
      <c r="D34" s="159"/>
      <c r="E34" s="159"/>
      <c r="F34" s="115"/>
      <c r="G34" s="32"/>
    </row>
    <row r="35" spans="1:7" x14ac:dyDescent="0.25">
      <c r="A35" s="40"/>
      <c r="B35" s="154"/>
      <c r="C35" s="154"/>
      <c r="D35" s="154"/>
      <c r="E35" s="154"/>
      <c r="F35" s="31"/>
      <c r="G35" s="32"/>
    </row>
    <row r="36" spans="1:7" ht="44.25" customHeight="1" x14ac:dyDescent="0.25">
      <c r="A36" s="113" t="s">
        <v>906</v>
      </c>
      <c r="B36" s="158"/>
      <c r="C36" s="158"/>
      <c r="D36" s="158"/>
      <c r="E36" s="158"/>
      <c r="F36" s="29"/>
      <c r="G36" s="32"/>
    </row>
    <row r="37" spans="1:7" x14ac:dyDescent="0.25">
      <c r="A37" s="40"/>
      <c r="B37" s="154"/>
      <c r="C37" s="154"/>
      <c r="D37" s="154"/>
      <c r="E37" s="154"/>
      <c r="F37" s="31"/>
      <c r="G37" s="32"/>
    </row>
    <row r="38" spans="1:7" x14ac:dyDescent="0.25">
      <c r="A38" s="116" t="s">
        <v>907</v>
      </c>
      <c r="B38" s="160"/>
      <c r="C38" s="95" t="s">
        <v>913</v>
      </c>
      <c r="D38" s="95"/>
      <c r="E38" s="95"/>
      <c r="F38" s="31"/>
      <c r="G38" s="32"/>
    </row>
    <row r="39" spans="1:7" x14ac:dyDescent="0.25">
      <c r="A39" s="40"/>
      <c r="B39" s="154"/>
      <c r="C39" s="154"/>
      <c r="D39" s="154"/>
      <c r="E39" s="154"/>
      <c r="F39" s="31"/>
      <c r="G39" s="32"/>
    </row>
    <row r="40" spans="1:7" x14ac:dyDescent="0.25">
      <c r="A40" s="40" t="s">
        <v>908</v>
      </c>
      <c r="B40" s="154"/>
      <c r="C40" s="106">
        <f>A15</f>
        <v>0</v>
      </c>
      <c r="D40" s="106"/>
      <c r="E40" s="106"/>
      <c r="F40" s="31"/>
      <c r="G40" s="32"/>
    </row>
    <row r="41" spans="1:7" x14ac:dyDescent="0.25">
      <c r="A41" s="40"/>
      <c r="B41" s="154"/>
      <c r="C41" s="154"/>
      <c r="D41" s="154"/>
      <c r="E41" s="154"/>
      <c r="F41" s="31"/>
      <c r="G41" s="32"/>
    </row>
    <row r="42" spans="1:7" x14ac:dyDescent="0.25">
      <c r="A42" s="40"/>
      <c r="B42" s="154"/>
      <c r="C42" s="154"/>
      <c r="D42" s="154"/>
      <c r="E42" s="154"/>
      <c r="F42" s="31"/>
      <c r="G42" s="32"/>
    </row>
    <row r="43" spans="1:7" x14ac:dyDescent="0.25">
      <c r="A43" s="40"/>
      <c r="B43" s="106"/>
      <c r="C43" s="106"/>
      <c r="D43" s="106"/>
      <c r="E43" s="154"/>
      <c r="F43" s="31"/>
      <c r="G43" s="32"/>
    </row>
    <row r="44" spans="1:7" x14ac:dyDescent="0.25">
      <c r="A44" s="40"/>
      <c r="B44" s="160" t="s">
        <v>12</v>
      </c>
      <c r="C44" s="160"/>
      <c r="D44" s="160"/>
      <c r="E44" s="154"/>
      <c r="F44" s="31"/>
      <c r="G44" s="32"/>
    </row>
    <row r="45" spans="1:7" x14ac:dyDescent="0.25">
      <c r="A45" s="40"/>
      <c r="B45" s="154"/>
      <c r="C45" s="154"/>
      <c r="D45" s="154"/>
      <c r="E45" s="154"/>
      <c r="F45" s="31"/>
      <c r="G45" s="32"/>
    </row>
    <row r="46" spans="1:7" ht="30.75" customHeight="1" thickBot="1" x14ac:dyDescent="0.3">
      <c r="A46" s="64">
        <v>2</v>
      </c>
      <c r="B46" s="103" t="s">
        <v>1143</v>
      </c>
      <c r="C46" s="104"/>
      <c r="D46" s="104"/>
      <c r="E46" s="104"/>
      <c r="F46" s="105"/>
    </row>
    <row r="47" spans="1:7" x14ac:dyDescent="0.25">
      <c r="A47" s="56"/>
      <c r="B47" s="57"/>
      <c r="C47" s="57"/>
      <c r="D47" s="57"/>
      <c r="E47" s="23"/>
      <c r="F47" s="58"/>
    </row>
    <row r="48" spans="1:7" x14ac:dyDescent="0.25">
      <c r="A48" s="161" t="s">
        <v>13</v>
      </c>
      <c r="B48" s="157" t="s">
        <v>909</v>
      </c>
      <c r="C48" s="157"/>
      <c r="D48" s="157"/>
      <c r="E48" s="162" t="s">
        <v>14</v>
      </c>
      <c r="F48" s="25"/>
      <c r="G48" s="54"/>
    </row>
    <row r="49" spans="1:7" s="36" customFormat="1" x14ac:dyDescent="0.25">
      <c r="A49" s="163"/>
      <c r="B49" s="34"/>
      <c r="C49" s="164" t="str" cm="1">
        <f t="array" ref="C49">Apalabra(B49)</f>
        <v/>
      </c>
      <c r="D49" s="164"/>
      <c r="E49" s="165"/>
      <c r="F49" s="65"/>
      <c r="G49" s="41"/>
    </row>
    <row r="50" spans="1:7" s="36" customFormat="1" x14ac:dyDescent="0.25">
      <c r="A50" s="163"/>
      <c r="B50" s="34"/>
      <c r="C50" s="164" t="str" cm="1">
        <f t="array" ref="C50">Apalabra(B50)</f>
        <v/>
      </c>
      <c r="D50" s="164"/>
      <c r="E50" s="165"/>
      <c r="F50" s="65"/>
      <c r="G50" s="41"/>
    </row>
    <row r="51" spans="1:7" s="36" customFormat="1" x14ac:dyDescent="0.25">
      <c r="A51" s="163"/>
      <c r="B51" s="34"/>
      <c r="C51" s="164" t="str" cm="1">
        <f t="array" ref="C51">Apalabra(B51)</f>
        <v/>
      </c>
      <c r="D51" s="164"/>
      <c r="E51" s="165"/>
      <c r="F51" s="65"/>
      <c r="G51" s="41"/>
    </row>
    <row r="52" spans="1:7" s="36" customFormat="1" x14ac:dyDescent="0.25">
      <c r="A52" s="163"/>
      <c r="B52" s="34"/>
      <c r="C52" s="164" t="str" cm="1">
        <f t="array" ref="C52">Apalabra(B52)</f>
        <v/>
      </c>
      <c r="D52" s="164"/>
      <c r="E52" s="165"/>
      <c r="F52" s="65"/>
      <c r="G52" s="41"/>
    </row>
    <row r="53" spans="1:7" s="36" customFormat="1" x14ac:dyDescent="0.25">
      <c r="A53" s="163"/>
      <c r="B53" s="34"/>
      <c r="C53" s="164" t="str" cm="1">
        <f t="array" ref="C53">Apalabra(B53)</f>
        <v/>
      </c>
      <c r="D53" s="164"/>
      <c r="E53" s="165"/>
      <c r="F53" s="65"/>
      <c r="G53" s="41"/>
    </row>
    <row r="54" spans="1:7" s="36" customFormat="1" x14ac:dyDescent="0.25">
      <c r="A54" s="163"/>
      <c r="B54" s="34"/>
      <c r="C54" s="164" t="str" cm="1">
        <f t="array" ref="C54">Apalabra(B54)</f>
        <v/>
      </c>
      <c r="D54" s="164"/>
      <c r="E54" s="165"/>
      <c r="F54" s="65"/>
      <c r="G54" s="41"/>
    </row>
    <row r="55" spans="1:7" s="36" customFormat="1" x14ac:dyDescent="0.25">
      <c r="A55" s="163"/>
      <c r="B55" s="34"/>
      <c r="C55" s="164" t="str" cm="1">
        <f t="array" ref="C55">Apalabra(B55)</f>
        <v/>
      </c>
      <c r="D55" s="164"/>
      <c r="E55" s="165"/>
      <c r="F55" s="65"/>
      <c r="G55" s="41"/>
    </row>
    <row r="56" spans="1:7" s="36" customFormat="1" x14ac:dyDescent="0.25">
      <c r="A56" s="163"/>
      <c r="B56" s="34"/>
      <c r="C56" s="164" t="str" cm="1">
        <f t="array" ref="C56">Apalabra(B56)</f>
        <v/>
      </c>
      <c r="D56" s="164"/>
      <c r="E56" s="165"/>
      <c r="F56" s="65"/>
      <c r="G56" s="41"/>
    </row>
    <row r="57" spans="1:7" ht="20.25" customHeight="1" x14ac:dyDescent="0.25">
      <c r="A57" s="66" t="s">
        <v>16</v>
      </c>
      <c r="B57" s="157"/>
      <c r="C57" s="63">
        <f>SUM(B49:B56)</f>
        <v>0</v>
      </c>
      <c r="D57" s="164" t="str" cm="1">
        <f t="array" ref="D57">Apalabra(C57)</f>
        <v/>
      </c>
      <c r="E57" s="164"/>
      <c r="F57" s="80"/>
      <c r="G57" s="32"/>
    </row>
    <row r="58" spans="1:7" ht="16.5" thickBot="1" x14ac:dyDescent="0.3">
      <c r="A58" s="59"/>
      <c r="B58" s="55"/>
      <c r="C58" s="55"/>
      <c r="D58" s="55"/>
      <c r="E58" s="55"/>
      <c r="F58" s="60"/>
    </row>
    <row r="59" spans="1:7" x14ac:dyDescent="0.25">
      <c r="A59" s="75" t="s">
        <v>923</v>
      </c>
      <c r="B59" s="76"/>
      <c r="C59" s="67"/>
      <c r="D59" s="68"/>
      <c r="E59" s="68"/>
      <c r="F59" s="69"/>
      <c r="G59" s="32"/>
    </row>
    <row r="60" spans="1:7" x14ac:dyDescent="0.25">
      <c r="A60" s="77"/>
      <c r="B60" s="166"/>
      <c r="C60" s="70"/>
      <c r="D60" s="160"/>
      <c r="E60" s="160"/>
      <c r="F60" s="71"/>
      <c r="G60" s="32"/>
    </row>
    <row r="61" spans="1:7" x14ac:dyDescent="0.25">
      <c r="A61" s="77"/>
      <c r="B61" s="166"/>
      <c r="C61" s="70"/>
      <c r="D61" s="160"/>
      <c r="E61" s="160"/>
      <c r="F61" s="71"/>
      <c r="G61" s="32"/>
    </row>
    <row r="62" spans="1:7" x14ac:dyDescent="0.25">
      <c r="A62" s="77"/>
      <c r="B62" s="166"/>
      <c r="C62" s="70"/>
      <c r="D62" s="160"/>
      <c r="E62" s="160"/>
      <c r="F62" s="71"/>
      <c r="G62" s="32"/>
    </row>
    <row r="63" spans="1:7" ht="16.5" thickBot="1" x14ac:dyDescent="0.3">
      <c r="A63" s="77"/>
      <c r="B63" s="166"/>
      <c r="C63" s="72"/>
      <c r="D63" s="73"/>
      <c r="E63" s="73"/>
      <c r="F63" s="74"/>
      <c r="G63" s="32"/>
    </row>
    <row r="64" spans="1:7" ht="84.75" customHeight="1" thickBot="1" x14ac:dyDescent="0.3">
      <c r="A64" s="77"/>
      <c r="B64" s="166"/>
      <c r="C64" s="81" t="s">
        <v>1096</v>
      </c>
      <c r="D64" s="82"/>
      <c r="E64" s="82"/>
      <c r="F64" s="83"/>
      <c r="G64" s="32"/>
    </row>
    <row r="65" spans="1:7" ht="16.5" thickBot="1" x14ac:dyDescent="0.3">
      <c r="A65" s="78"/>
      <c r="B65" s="79"/>
      <c r="C65" s="84" t="s">
        <v>1097</v>
      </c>
      <c r="D65" s="85"/>
      <c r="E65" s="85"/>
      <c r="F65" s="86"/>
      <c r="G65" s="32"/>
    </row>
    <row r="66" spans="1:7" x14ac:dyDescent="0.25">
      <c r="A66" s="32"/>
      <c r="B66" s="32"/>
      <c r="C66" s="32"/>
      <c r="D66" s="32"/>
      <c r="E66" s="32"/>
      <c r="F66" s="32"/>
      <c r="G66" s="32"/>
    </row>
    <row r="67" spans="1:7" x14ac:dyDescent="0.25">
      <c r="A67" s="32"/>
      <c r="B67" s="32"/>
      <c r="C67" s="32"/>
      <c r="D67" s="32"/>
      <c r="E67" s="32"/>
      <c r="F67" s="32"/>
      <c r="G67" s="32"/>
    </row>
    <row r="68" spans="1:7" x14ac:dyDescent="0.25">
      <c r="A68" s="32"/>
      <c r="B68" s="32"/>
      <c r="C68" s="32"/>
      <c r="D68" s="32"/>
      <c r="E68" s="32"/>
      <c r="F68" s="32"/>
      <c r="G68" s="32"/>
    </row>
    <row r="69" spans="1:7" x14ac:dyDescent="0.25">
      <c r="A69" s="32"/>
      <c r="B69" s="32"/>
      <c r="C69" s="32"/>
      <c r="D69" s="32"/>
      <c r="E69" s="32"/>
      <c r="F69" s="32"/>
      <c r="G69" s="32"/>
    </row>
    <row r="70" spans="1:7" x14ac:dyDescent="0.25">
      <c r="A70" s="32"/>
      <c r="B70" s="32"/>
      <c r="C70" s="32"/>
      <c r="D70" s="32"/>
      <c r="E70" s="32"/>
      <c r="F70" s="32"/>
      <c r="G70" s="32"/>
    </row>
    <row r="71" spans="1:7" x14ac:dyDescent="0.25">
      <c r="A71" s="32"/>
      <c r="B71" s="32"/>
      <c r="C71" s="32"/>
      <c r="D71" s="32"/>
      <c r="E71" s="32"/>
      <c r="F71" s="32"/>
      <c r="G71" s="32"/>
    </row>
    <row r="72" spans="1:7" x14ac:dyDescent="0.25">
      <c r="A72" s="32"/>
      <c r="B72" s="32"/>
      <c r="C72" s="32"/>
      <c r="D72" s="32"/>
      <c r="E72" s="32"/>
      <c r="F72" s="32"/>
      <c r="G72" s="32"/>
    </row>
    <row r="73" spans="1:7" x14ac:dyDescent="0.25">
      <c r="A73" s="32"/>
      <c r="B73" s="32"/>
      <c r="C73" s="32"/>
      <c r="D73" s="32"/>
      <c r="E73" s="32"/>
      <c r="F73" s="32"/>
      <c r="G73" s="32"/>
    </row>
    <row r="74" spans="1:7" x14ac:dyDescent="0.25">
      <c r="A74" s="32"/>
      <c r="B74" s="32"/>
      <c r="C74" s="32"/>
      <c r="D74" s="32"/>
      <c r="E74" s="32"/>
      <c r="F74" s="32"/>
      <c r="G74" s="32"/>
    </row>
    <row r="75" spans="1:7" x14ac:dyDescent="0.25">
      <c r="A75" s="32"/>
      <c r="B75" s="32"/>
      <c r="C75" s="32"/>
      <c r="D75" s="32"/>
      <c r="E75" s="32"/>
      <c r="F75" s="32"/>
      <c r="G75" s="32"/>
    </row>
    <row r="76" spans="1:7" x14ac:dyDescent="0.25">
      <c r="A76" s="32"/>
      <c r="B76" s="32"/>
      <c r="C76" s="32"/>
      <c r="D76" s="32"/>
      <c r="E76" s="32"/>
      <c r="F76" s="32"/>
      <c r="G76" s="32"/>
    </row>
    <row r="77" spans="1:7" x14ac:dyDescent="0.25">
      <c r="A77" s="32"/>
      <c r="B77" s="32"/>
      <c r="C77" s="32"/>
      <c r="D77" s="32"/>
      <c r="E77" s="32"/>
      <c r="F77" s="32"/>
      <c r="G77" s="32"/>
    </row>
    <row r="78" spans="1:7" x14ac:dyDescent="0.25">
      <c r="A78" s="32"/>
      <c r="B78" s="32"/>
      <c r="C78" s="32"/>
      <c r="D78" s="32"/>
      <c r="E78" s="32"/>
      <c r="F78" s="32"/>
      <c r="G78" s="32"/>
    </row>
    <row r="79" spans="1:7" x14ac:dyDescent="0.25">
      <c r="A79" s="32"/>
      <c r="B79" s="32"/>
      <c r="C79" s="32"/>
      <c r="D79" s="32"/>
      <c r="E79" s="32"/>
      <c r="F79" s="32"/>
      <c r="G79" s="32"/>
    </row>
    <row r="80" spans="1:7" x14ac:dyDescent="0.25">
      <c r="A80" s="32"/>
      <c r="B80" s="32"/>
      <c r="C80" s="32"/>
      <c r="D80" s="32"/>
      <c r="E80" s="32"/>
      <c r="F80" s="32"/>
      <c r="G80" s="32"/>
    </row>
    <row r="81" spans="1:7" x14ac:dyDescent="0.25">
      <c r="A81" s="32"/>
      <c r="B81" s="32"/>
      <c r="C81" s="32"/>
      <c r="D81" s="32"/>
      <c r="E81" s="32"/>
      <c r="F81" s="32"/>
      <c r="G81" s="32"/>
    </row>
    <row r="82" spans="1:7" x14ac:dyDescent="0.25">
      <c r="A82" s="32"/>
      <c r="B82" s="32"/>
      <c r="C82" s="32"/>
      <c r="D82" s="32"/>
      <c r="E82" s="32"/>
      <c r="F82" s="32"/>
      <c r="G82" s="32"/>
    </row>
    <row r="83" spans="1:7" x14ac:dyDescent="0.25">
      <c r="A83" s="32"/>
      <c r="B83" s="32"/>
      <c r="C83" s="32"/>
      <c r="D83" s="32"/>
      <c r="E83" s="32"/>
      <c r="F83" s="32"/>
      <c r="G83" s="32"/>
    </row>
    <row r="84" spans="1:7" x14ac:dyDescent="0.25">
      <c r="A84" s="32"/>
      <c r="B84" s="32"/>
      <c r="C84" s="32"/>
      <c r="D84" s="32"/>
      <c r="E84" s="32"/>
      <c r="F84" s="32"/>
      <c r="G84" s="32"/>
    </row>
    <row r="85" spans="1:7" x14ac:dyDescent="0.25">
      <c r="A85" s="32"/>
      <c r="B85" s="32"/>
      <c r="C85" s="32"/>
      <c r="D85" s="32"/>
      <c r="E85" s="32"/>
      <c r="F85" s="32"/>
      <c r="G85" s="32"/>
    </row>
    <row r="86" spans="1:7" x14ac:dyDescent="0.25">
      <c r="A86" s="32"/>
      <c r="B86" s="32"/>
      <c r="C86" s="32"/>
      <c r="D86" s="32"/>
      <c r="E86" s="32"/>
      <c r="F86" s="32"/>
      <c r="G86" s="32"/>
    </row>
    <row r="87" spans="1:7" x14ac:dyDescent="0.25">
      <c r="A87" s="32"/>
      <c r="B87" s="32"/>
      <c r="C87" s="32"/>
      <c r="D87" s="32"/>
      <c r="E87" s="32"/>
      <c r="F87" s="32"/>
      <c r="G87" s="32"/>
    </row>
    <row r="88" spans="1:7" x14ac:dyDescent="0.25">
      <c r="A88" s="32"/>
      <c r="B88" s="32"/>
      <c r="C88" s="32"/>
      <c r="D88" s="32"/>
      <c r="E88" s="32"/>
      <c r="F88" s="32"/>
      <c r="G88" s="32"/>
    </row>
    <row r="89" spans="1:7" x14ac:dyDescent="0.25">
      <c r="A89" s="32"/>
      <c r="B89" s="32"/>
      <c r="C89" s="32"/>
      <c r="D89" s="32"/>
      <c r="E89" s="32"/>
      <c r="F89" s="32"/>
      <c r="G89" s="32"/>
    </row>
    <row r="90" spans="1:7" x14ac:dyDescent="0.25">
      <c r="A90" s="32"/>
      <c r="B90" s="32"/>
      <c r="C90" s="32"/>
      <c r="D90" s="32"/>
      <c r="E90" s="32"/>
      <c r="F90" s="32"/>
      <c r="G90" s="32"/>
    </row>
    <row r="91" spans="1:7" x14ac:dyDescent="0.25">
      <c r="A91" s="32"/>
      <c r="B91" s="32"/>
      <c r="C91" s="32"/>
      <c r="D91" s="32"/>
      <c r="E91" s="32"/>
      <c r="F91" s="32"/>
      <c r="G91" s="32"/>
    </row>
    <row r="92" spans="1:7" x14ac:dyDescent="0.25">
      <c r="A92" s="32"/>
      <c r="B92" s="32"/>
      <c r="C92" s="32"/>
      <c r="D92" s="32"/>
      <c r="E92" s="32"/>
      <c r="F92" s="32"/>
      <c r="G92" s="32"/>
    </row>
    <row r="93" spans="1:7" x14ac:dyDescent="0.25">
      <c r="A93" s="32"/>
      <c r="B93" s="32"/>
      <c r="C93" s="32"/>
      <c r="D93" s="32"/>
      <c r="E93" s="32"/>
      <c r="F93" s="32"/>
      <c r="G93" s="32"/>
    </row>
    <row r="94" spans="1:7" x14ac:dyDescent="0.25">
      <c r="A94" s="32"/>
      <c r="B94" s="32"/>
      <c r="C94" s="32"/>
      <c r="D94" s="32"/>
      <c r="E94" s="32"/>
      <c r="F94" s="32"/>
      <c r="G94" s="32"/>
    </row>
    <row r="95" spans="1:7" x14ac:dyDescent="0.25">
      <c r="A95" s="32"/>
      <c r="B95" s="32"/>
      <c r="C95" s="32"/>
      <c r="D95" s="32"/>
      <c r="E95" s="32"/>
      <c r="F95" s="32"/>
      <c r="G95" s="32"/>
    </row>
    <row r="96" spans="1:7" x14ac:dyDescent="0.25">
      <c r="A96" s="32"/>
      <c r="B96" s="32"/>
      <c r="C96" s="32"/>
      <c r="D96" s="32"/>
      <c r="E96" s="32"/>
      <c r="F96" s="32"/>
      <c r="G96" s="32"/>
    </row>
    <row r="97" spans="1:7" x14ac:dyDescent="0.25">
      <c r="A97" s="32"/>
      <c r="B97" s="32"/>
      <c r="C97" s="32"/>
      <c r="D97" s="32"/>
      <c r="E97" s="32"/>
      <c r="F97" s="32"/>
      <c r="G97" s="32"/>
    </row>
    <row r="98" spans="1:7" x14ac:dyDescent="0.25">
      <c r="A98" s="32"/>
      <c r="B98" s="32"/>
      <c r="C98" s="32"/>
      <c r="D98" s="32"/>
      <c r="E98" s="32"/>
      <c r="F98" s="32"/>
      <c r="G98" s="32"/>
    </row>
    <row r="99" spans="1:7" x14ac:dyDescent="0.25">
      <c r="A99" s="32"/>
      <c r="B99" s="32"/>
      <c r="C99" s="32"/>
      <c r="D99" s="32"/>
      <c r="E99" s="32"/>
      <c r="F99" s="32"/>
      <c r="G99" s="32"/>
    </row>
    <row r="100" spans="1:7" x14ac:dyDescent="0.25">
      <c r="A100" s="32"/>
      <c r="B100" s="32"/>
      <c r="C100" s="32"/>
      <c r="D100" s="32"/>
      <c r="E100" s="32"/>
      <c r="F100" s="32"/>
      <c r="G100" s="32"/>
    </row>
    <row r="101" spans="1:7" x14ac:dyDescent="0.25">
      <c r="A101" s="32"/>
      <c r="B101" s="32"/>
      <c r="C101" s="32"/>
      <c r="D101" s="32"/>
      <c r="E101" s="32"/>
      <c r="F101" s="32"/>
      <c r="G101" s="32"/>
    </row>
    <row r="102" spans="1:7" x14ac:dyDescent="0.25">
      <c r="A102" s="32"/>
      <c r="B102" s="32"/>
      <c r="C102" s="32"/>
      <c r="D102" s="32"/>
      <c r="E102" s="32"/>
      <c r="F102" s="32"/>
      <c r="G102" s="32"/>
    </row>
  </sheetData>
  <sheetProtection formatCells="0" formatColumns="0" formatRows="0" insertColumns="0" insertRows="0" deleteColumns="0" deleteRows="0" sort="0" autoFilter="0" pivotTables="0"/>
  <dataConsolidate/>
  <mergeCells count="40">
    <mergeCell ref="B46:F46"/>
    <mergeCell ref="C40:E40"/>
    <mergeCell ref="C17:E17"/>
    <mergeCell ref="B24:E24"/>
    <mergeCell ref="B25:E25"/>
    <mergeCell ref="B26:E26"/>
    <mergeCell ref="A28:E28"/>
    <mergeCell ref="B43:D43"/>
    <mergeCell ref="A30:E30"/>
    <mergeCell ref="A32:F32"/>
    <mergeCell ref="A34:F34"/>
    <mergeCell ref="A36:E36"/>
    <mergeCell ref="A38:B38"/>
    <mergeCell ref="B3:F3"/>
    <mergeCell ref="B4:E4"/>
    <mergeCell ref="B5:E5"/>
    <mergeCell ref="A15:E15"/>
    <mergeCell ref="A12:D12"/>
    <mergeCell ref="A11:D11"/>
    <mergeCell ref="B9:F9"/>
    <mergeCell ref="B16:E16"/>
    <mergeCell ref="A19:F19"/>
    <mergeCell ref="A20:E23"/>
    <mergeCell ref="C38:E38"/>
    <mergeCell ref="B44:D44"/>
    <mergeCell ref="A57:B57"/>
    <mergeCell ref="C59:F63"/>
    <mergeCell ref="A59:B65"/>
    <mergeCell ref="D57:F57"/>
    <mergeCell ref="C64:F64"/>
    <mergeCell ref="C65:F65"/>
    <mergeCell ref="B48:D48"/>
    <mergeCell ref="C54:D54"/>
    <mergeCell ref="C55:D55"/>
    <mergeCell ref="C56:D56"/>
    <mergeCell ref="C49:D49"/>
    <mergeCell ref="C50:D50"/>
    <mergeCell ref="C51:D51"/>
    <mergeCell ref="C52:D52"/>
    <mergeCell ref="C53:D53"/>
  </mergeCells>
  <phoneticPr fontId="35" type="noConversion"/>
  <pageMargins left="0.97" right="0.53" top="0.43" bottom="0.4" header="0.3" footer="0.3"/>
  <pageSetup scale="48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3">
        <x14:dataValidation type="list" allowBlank="1" showInputMessage="1" showErrorMessage="1" xr:uid="{484FE83D-9575-4A7D-A1A9-047F0152F1EA}">
          <x14:formula1>
            <xm:f>proyecto!$K$1:$K$251</xm:f>
          </x14:formula1>
          <xm:sqref>A49:A56</xm:sqref>
        </x14:dataValidation>
        <x14:dataValidation type="list" allowBlank="1" showInputMessage="1" showErrorMessage="1" xr:uid="{B86CFD51-EBA4-4163-AFFE-067B504D8B14}">
          <x14:formula1>
            <xm:f>proyecto!$I$1:$I$54</xm:f>
          </x14:formula1>
          <xm:sqref>G49:G56</xm:sqref>
        </x14:dataValidation>
        <x14:dataValidation type="list" allowBlank="1" showInputMessage="1" showErrorMessage="1" xr:uid="{4FEB4172-146B-4D9E-979A-E9E9E0F75861}">
          <x14:formula1>
            <xm:f>proyecto!$I$1:$I$60</xm:f>
          </x14:formula1>
          <xm:sqref>E49:E56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pageSetUpPr fitToPage="1"/>
  </sheetPr>
  <dimension ref="A2:F25"/>
  <sheetViews>
    <sheetView zoomScaleNormal="100" workbookViewId="0">
      <selection activeCell="C4" sqref="C4:E4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26"/>
      <c r="F2" s="126"/>
    </row>
    <row r="4" spans="1:6" ht="18.75" x14ac:dyDescent="0.3">
      <c r="C4" s="127"/>
      <c r="D4" s="127"/>
      <c r="E4" s="127"/>
    </row>
    <row r="6" spans="1:6" ht="18" x14ac:dyDescent="0.25">
      <c r="A6" s="45" t="s">
        <v>11</v>
      </c>
    </row>
    <row r="7" spans="1:6" ht="18" x14ac:dyDescent="0.25">
      <c r="A7" s="45"/>
    </row>
    <row r="8" spans="1:6" ht="18" x14ac:dyDescent="0.25">
      <c r="A8" s="45"/>
    </row>
    <row r="9" spans="1:6" ht="18" x14ac:dyDescent="0.25">
      <c r="A9" s="46" t="s">
        <v>914</v>
      </c>
      <c r="B9" s="128" t="s">
        <v>915</v>
      </c>
      <c r="C9" s="128"/>
      <c r="D9" s="128"/>
      <c r="E9" s="128"/>
      <c r="F9" s="128"/>
    </row>
    <row r="10" spans="1:6" ht="18.75" x14ac:dyDescent="0.3">
      <c r="A10" s="129" t="s">
        <v>916</v>
      </c>
      <c r="B10" s="127"/>
      <c r="C10" s="127"/>
      <c r="D10" s="127"/>
      <c r="E10" s="127"/>
      <c r="F10" s="130"/>
    </row>
    <row r="11" spans="1:6" x14ac:dyDescent="0.25">
      <c r="A11" s="131" t="s">
        <v>917</v>
      </c>
      <c r="B11" s="132"/>
      <c r="C11" s="135" t="s">
        <v>21</v>
      </c>
      <c r="D11" s="137" t="s">
        <v>918</v>
      </c>
      <c r="E11" s="139" t="s">
        <v>919</v>
      </c>
      <c r="F11" s="140"/>
    </row>
    <row r="12" spans="1:6" x14ac:dyDescent="0.25">
      <c r="A12" s="133"/>
      <c r="B12" s="134"/>
      <c r="C12" s="136"/>
      <c r="D12" s="138"/>
      <c r="E12" s="141"/>
      <c r="F12" s="142"/>
    </row>
    <row r="13" spans="1:6" ht="33.75" customHeight="1" x14ac:dyDescent="0.25">
      <c r="A13" s="117"/>
      <c r="B13" s="117"/>
      <c r="C13" s="47"/>
      <c r="D13" s="51"/>
      <c r="E13" s="118"/>
      <c r="F13" s="119"/>
    </row>
    <row r="14" spans="1:6" ht="30.75" customHeight="1" x14ac:dyDescent="0.25">
      <c r="A14" s="123"/>
      <c r="B14" s="124"/>
      <c r="C14" s="47"/>
      <c r="D14" s="51"/>
      <c r="E14" s="118"/>
      <c r="F14" s="119"/>
    </row>
    <row r="15" spans="1:6" ht="33" customHeight="1" x14ac:dyDescent="0.25">
      <c r="A15" s="123"/>
      <c r="B15" s="124"/>
      <c r="C15" s="47"/>
      <c r="D15" s="51"/>
      <c r="E15" s="118"/>
      <c r="F15" s="119"/>
    </row>
    <row r="16" spans="1:6" ht="39.75" customHeight="1" x14ac:dyDescent="0.25">
      <c r="A16" s="123"/>
      <c r="B16" s="124"/>
      <c r="C16" s="47"/>
      <c r="D16" s="51"/>
      <c r="E16" s="118"/>
      <c r="F16" s="119"/>
    </row>
    <row r="17" spans="1:6" ht="24.75" customHeight="1" x14ac:dyDescent="0.25">
      <c r="A17" s="117"/>
      <c r="B17" s="117"/>
      <c r="C17" s="47"/>
      <c r="D17" s="51"/>
      <c r="E17" s="118"/>
      <c r="F17" s="119"/>
    </row>
    <row r="18" spans="1:6" ht="24.75" customHeight="1" x14ac:dyDescent="0.25">
      <c r="A18" s="117"/>
      <c r="B18" s="117"/>
      <c r="C18" s="47"/>
      <c r="D18" s="51"/>
      <c r="E18" s="118"/>
      <c r="F18" s="119"/>
    </row>
    <row r="19" spans="1:6" ht="24.75" customHeight="1" x14ac:dyDescent="0.25">
      <c r="A19" s="117"/>
      <c r="B19" s="117"/>
      <c r="C19" s="47"/>
      <c r="D19" s="51"/>
      <c r="E19" s="118"/>
      <c r="F19" s="119"/>
    </row>
    <row r="20" spans="1:6" x14ac:dyDescent="0.25">
      <c r="E20" s="52" t="s">
        <v>920</v>
      </c>
      <c r="F20" s="53">
        <f>SUM(D13:D19)</f>
        <v>0</v>
      </c>
    </row>
    <row r="21" spans="1:6" ht="26.25" customHeight="1" x14ac:dyDescent="0.25">
      <c r="A21" s="48" t="s">
        <v>921</v>
      </c>
      <c r="B21" s="125" t="str">
        <f>Apalabra(F20)</f>
        <v/>
      </c>
      <c r="C21" s="125"/>
      <c r="D21" s="125"/>
      <c r="E21" s="125"/>
      <c r="F21" s="125"/>
    </row>
    <row r="22" spans="1:6" ht="16.5" x14ac:dyDescent="0.3">
      <c r="A22" s="49"/>
    </row>
    <row r="24" spans="1:6" ht="16.5" x14ac:dyDescent="0.3">
      <c r="A24" s="50"/>
      <c r="B24" s="50"/>
    </row>
    <row r="25" spans="1:6" ht="16.5" x14ac:dyDescent="0.25">
      <c r="A25" s="120"/>
      <c r="B25" s="121"/>
      <c r="C25" s="121"/>
      <c r="D25" s="121"/>
      <c r="E25" s="121"/>
      <c r="F25" s="122"/>
    </row>
  </sheetData>
  <sheetProtection formatCells="0" formatColumns="0" formatRows="0" insertColumns="0" insertRows="0" deleteColumns="0" deleteRows="0" sort="0" autoFilter="0" pivotTables="0"/>
  <mergeCells count="24"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5:B15"/>
    <mergeCell ref="E15:F15"/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39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43" t="s">
        <v>20</v>
      </c>
      <c r="F1" s="144"/>
      <c r="G1" s="145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2" t="s">
        <v>23</v>
      </c>
      <c r="R1" s="19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7" t="str">
        <f>CONCATENATE(E2,"    ",F2,"    ",G2)</f>
        <v>FERNANDO    OLIVERA    ROCHA</v>
      </c>
      <c r="Q2" s="12" t="s">
        <v>255</v>
      </c>
      <c r="R2" s="20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7" t="str">
        <f t="shared" ref="P3:P66" si="0">CONCATENATE(E3,"    ",F3,"    ",G3)</f>
        <v>MARICARMEN    VELA    ESCAMILLA</v>
      </c>
      <c r="Q3" s="12" t="s">
        <v>262</v>
      </c>
      <c r="R3" s="20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7" t="str">
        <f t="shared" si="0"/>
        <v>JUAN IVAN    GARCIA    REYNA</v>
      </c>
      <c r="Q4" s="12" t="s">
        <v>269</v>
      </c>
      <c r="R4" s="20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7" t="str">
        <f t="shared" si="0"/>
        <v>ERNESTO RAMON    COVARRUBIAS    MARTINEZ</v>
      </c>
      <c r="Q5" s="12" t="s">
        <v>274</v>
      </c>
      <c r="R5" s="20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7" t="str">
        <f t="shared" si="0"/>
        <v>ROGELIO    MARTINEZ    CABALLERO</v>
      </c>
      <c r="Q6" s="12" t="s">
        <v>281</v>
      </c>
      <c r="R6" s="20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7" t="str">
        <f t="shared" si="0"/>
        <v>FRIDA XIMENA    HUETT    LOPEZ</v>
      </c>
      <c r="Q7" s="12" t="s">
        <v>287</v>
      </c>
      <c r="R7" s="20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7" t="str">
        <f t="shared" si="0"/>
        <v>MANUEL    CAMACHO    PICHARDO</v>
      </c>
      <c r="Q8" s="12" t="s">
        <v>292</v>
      </c>
      <c r="R8" s="20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7" t="str">
        <f t="shared" si="0"/>
        <v>MARIA DE LOURDES    PONCE DE LEON    MIRELES</v>
      </c>
      <c r="Q9" s="12" t="s">
        <v>299</v>
      </c>
      <c r="R9" s="20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7" t="str">
        <f t="shared" si="0"/>
        <v>TERESITA DE JESUS    TAVARES    GAYTAN</v>
      </c>
      <c r="Q10" s="12" t="s">
        <v>304</v>
      </c>
      <c r="R10" s="20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7" t="str">
        <f t="shared" si="0"/>
        <v>ADRIANA    COLLAZO    VALADEZ</v>
      </c>
      <c r="Q11" s="12" t="s">
        <v>309</v>
      </c>
      <c r="R11" s="20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7" t="str">
        <f t="shared" si="0"/>
        <v>MIRIAM CECILIA    ADAME    ALCARAZ</v>
      </c>
      <c r="Q12" s="12" t="s">
        <v>314</v>
      </c>
      <c r="R12" s="20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7" t="str">
        <f t="shared" si="0"/>
        <v>ADRIANA    JARDON    SALAZAR</v>
      </c>
      <c r="Q13" s="12" t="s">
        <v>318</v>
      </c>
      <c r="R13" s="20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7" t="str">
        <f t="shared" si="0"/>
        <v>ABRAHAM RAFAEL    NAVARRO    GONZALEZ</v>
      </c>
      <c r="Q14" s="12" t="s">
        <v>322</v>
      </c>
      <c r="R14" s="20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7" t="str">
        <f t="shared" si="0"/>
        <v>JAZMIN MARGARITA    LEON    MANRIQUE</v>
      </c>
      <c r="Q15" s="12" t="s">
        <v>327</v>
      </c>
      <c r="R15" s="20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7" t="str">
        <f t="shared" si="0"/>
        <v>BETZAHIRA SARAI    MENDOZA    MONTOYA</v>
      </c>
      <c r="Q16" s="12" t="s">
        <v>304</v>
      </c>
      <c r="R16" s="20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7" t="str">
        <f t="shared" si="0"/>
        <v>LILIA ANAYANSI    TAPIA    CURIEL</v>
      </c>
      <c r="Q17" s="12" t="s">
        <v>336</v>
      </c>
      <c r="R17" s="20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7" t="str">
        <f t="shared" si="0"/>
        <v>ILIANA ALEJANDRA    BERNARDINO    CRUZ</v>
      </c>
      <c r="Q18" s="12" t="s">
        <v>343</v>
      </c>
      <c r="R18" s="20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7" t="str">
        <f t="shared" si="0"/>
        <v>JORGE LUIS    CABREJOS    SAMAME</v>
      </c>
      <c r="Q19" s="12" t="s">
        <v>349</v>
      </c>
      <c r="R19" s="20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7" t="str">
        <f t="shared" si="0"/>
        <v>JOSE MARIA    MELGAR    AZANZA</v>
      </c>
      <c r="Q20" s="12" t="s">
        <v>354</v>
      </c>
      <c r="R20" s="20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7" t="str">
        <f t="shared" si="0"/>
        <v>BRENDA BIBIANA    MARTINEZ    AGUADO</v>
      </c>
      <c r="Q21" s="12" t="s">
        <v>358</v>
      </c>
      <c r="R21" s="20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7" t="str">
        <f t="shared" si="0"/>
        <v>LUCIA GABRIELA    GARCIA    NIETO</v>
      </c>
      <c r="Q22" s="12" t="s">
        <v>362</v>
      </c>
      <c r="R22" s="20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7" t="str">
        <f t="shared" si="0"/>
        <v>ARACELI    ROSALES    SANTOYO</v>
      </c>
      <c r="Q23" s="12" t="s">
        <v>367</v>
      </c>
      <c r="R23" s="20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7" t="str">
        <f t="shared" si="0"/>
        <v>ALDO GENARO    SANCHEZ    RODRIGUEZ</v>
      </c>
      <c r="Q24" s="12" t="s">
        <v>371</v>
      </c>
      <c r="R24" s="20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7" t="str">
        <f t="shared" si="0"/>
        <v>ANGELICA    LOPEZ    LOPEZ</v>
      </c>
      <c r="Q25" s="12" t="s">
        <v>375</v>
      </c>
      <c r="R25" s="20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7" t="str">
        <f t="shared" si="0"/>
        <v>CARLOS ENRIQUE    RIVERA    CORDERO</v>
      </c>
      <c r="Q26" s="12" t="s">
        <v>379</v>
      </c>
      <c r="R26" s="20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7" t="str">
        <f t="shared" si="0"/>
        <v>FIDEL RAMIRO    GUERRA    VALLEJO</v>
      </c>
      <c r="Q27" s="12" t="s">
        <v>385</v>
      </c>
      <c r="R27" s="20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7" t="str">
        <f t="shared" si="0"/>
        <v>MARTHA PATRICIA    URRUTIA    CORTES</v>
      </c>
      <c r="Q28" s="12" t="s">
        <v>389</v>
      </c>
      <c r="R28" s="20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7" t="str">
        <f t="shared" si="0"/>
        <v>JOSE DANIEL    SALAS    GARCIA</v>
      </c>
      <c r="Q29" s="12" t="s">
        <v>393</v>
      </c>
      <c r="R29" s="20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7" t="str">
        <f t="shared" si="0"/>
        <v>J JESUS    BARBOSA    AVILA</v>
      </c>
      <c r="Q30" s="12" t="s">
        <v>196</v>
      </c>
      <c r="R30" s="20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7" t="str">
        <f t="shared" si="0"/>
        <v>ADRIANA LORENA    JASSO    MEDINA</v>
      </c>
      <c r="Q31" s="12" t="s">
        <v>402</v>
      </c>
      <c r="R31" s="20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7" t="str">
        <f t="shared" si="0"/>
        <v>DORIS LORENA    ALBA    GONZALEZ</v>
      </c>
      <c r="Q32" s="12" t="s">
        <v>406</v>
      </c>
      <c r="R32" s="20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7" t="str">
        <f t="shared" si="0"/>
        <v>CECILIA    TERAN    OLMOS</v>
      </c>
      <c r="Q33" s="12" t="s">
        <v>411</v>
      </c>
      <c r="R33" s="20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7" t="str">
        <f t="shared" si="0"/>
        <v>LUIS ENRIQUE    FLORES    GRANADOS</v>
      </c>
      <c r="Q34" s="12" t="s">
        <v>416</v>
      </c>
      <c r="R34" s="20" t="str">
        <f t="shared" si="1"/>
        <v>C2102     GEGCF54015</v>
      </c>
    </row>
    <row r="35" spans="1:18" ht="15.75" thickBot="1" x14ac:dyDescent="0.3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7" t="str">
        <f t="shared" si="0"/>
        <v>OCTAVIO HUMBERTO    AGUILAR    MATA</v>
      </c>
      <c r="Q35" s="12" t="s">
        <v>421</v>
      </c>
      <c r="R35" s="20" t="str">
        <f t="shared" si="1"/>
        <v>C2103     GEGCF51005</v>
      </c>
    </row>
    <row r="36" spans="1:18" ht="15.75" thickBot="1" x14ac:dyDescent="0.3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7" t="str">
        <f t="shared" si="0"/>
        <v>ADRIANA    ISLAS    RODRIGUEZ</v>
      </c>
      <c r="Q36" s="12" t="s">
        <v>425</v>
      </c>
      <c r="R36" s="20" t="str">
        <f t="shared" si="1"/>
        <v>C2103     GEGCF54001</v>
      </c>
    </row>
    <row r="37" spans="1:18" ht="15.75" thickBot="1" x14ac:dyDescent="0.3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7" t="str">
        <f t="shared" si="0"/>
        <v>RICARDO    VAZQUEZ    LOPEZ</v>
      </c>
      <c r="Q37" s="12" t="s">
        <v>428</v>
      </c>
      <c r="R37" s="20" t="str">
        <f t="shared" si="1"/>
        <v>C2103     GEGCF54001</v>
      </c>
    </row>
    <row r="38" spans="1:18" ht="15.75" thickBot="1" x14ac:dyDescent="0.3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7" t="str">
        <f t="shared" si="0"/>
        <v>SERGIO KARLO    BELTRAN    LARA</v>
      </c>
      <c r="Q38" s="12" t="s">
        <v>433</v>
      </c>
      <c r="R38" s="20" t="str">
        <f t="shared" si="1"/>
        <v>C2103     GEGCF54015</v>
      </c>
    </row>
    <row r="39" spans="1:18" ht="15.75" thickBot="1" x14ac:dyDescent="0.3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7" t="str">
        <f t="shared" si="0"/>
        <v>MA CONSUELO    HERNANDEZ    PEREZ</v>
      </c>
      <c r="Q39" s="12" t="s">
        <v>436</v>
      </c>
      <c r="R39" s="20" t="str">
        <f t="shared" si="1"/>
        <v>C2103     GEGCF54015</v>
      </c>
    </row>
    <row r="40" spans="1:18" ht="15.75" thickBot="1" x14ac:dyDescent="0.3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7" t="str">
        <f t="shared" si="0"/>
        <v>MARISELA    CAMPOS    CRUZ</v>
      </c>
      <c r="Q40" s="12" t="s">
        <v>440</v>
      </c>
      <c r="R40" s="20" t="str">
        <f t="shared" si="1"/>
        <v>C2103     GEGCF54015</v>
      </c>
    </row>
    <row r="41" spans="1:18" ht="15.75" thickBot="1" x14ac:dyDescent="0.3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7" t="str">
        <f t="shared" si="0"/>
        <v>JONATHAN HAZAEL    MARES    MENDEZ</v>
      </c>
      <c r="Q41" s="12" t="s">
        <v>444</v>
      </c>
      <c r="R41" s="20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7" t="str">
        <f t="shared" si="0"/>
        <v>GLORIA    RODRIGUEZ    ZARATE</v>
      </c>
      <c r="Q42" s="12" t="s">
        <v>304</v>
      </c>
      <c r="R42" s="20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7" t="str">
        <f t="shared" si="0"/>
        <v>ROBERTO WILLEBALDO    CARDENAS    HERNANDEZ</v>
      </c>
      <c r="Q43" s="12" t="s">
        <v>451</v>
      </c>
      <c r="R43" s="20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7" t="str">
        <f t="shared" si="0"/>
        <v>LUZ MARGARITA    ROBLEDO    OLIVARES</v>
      </c>
      <c r="Q44" s="12" t="s">
        <v>456</v>
      </c>
      <c r="R44" s="20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7" t="str">
        <f t="shared" si="0"/>
        <v>IRAZEMA DEL ROCIO    ALVAREZ    PEREZ</v>
      </c>
      <c r="Q45" s="12" t="s">
        <v>459</v>
      </c>
      <c r="R45" s="20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7" t="str">
        <f t="shared" si="0"/>
        <v>PAOLA    RAMOS    VERA</v>
      </c>
      <c r="Q46" s="12" t="s">
        <v>465</v>
      </c>
      <c r="R46" s="20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7" t="str">
        <f t="shared" si="0"/>
        <v>TANIA LUCERO    LOPEZ    GONZALEZ</v>
      </c>
      <c r="Q47" s="12" t="s">
        <v>469</v>
      </c>
      <c r="R47" s="20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7" t="str">
        <f t="shared" si="0"/>
        <v>JUAN ANGEL    HORTA    GARCIA</v>
      </c>
      <c r="Q48" s="12" t="s">
        <v>473</v>
      </c>
      <c r="R48" s="20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7" t="str">
        <f t="shared" si="0"/>
        <v>ALVARO    GONZALEZ    ARREDONDO</v>
      </c>
      <c r="Q49" s="12" t="s">
        <v>274</v>
      </c>
      <c r="R49" s="20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7" t="str">
        <f t="shared" si="0"/>
        <v>DOLORES ARMANDO    SANTOYO    HIDALGO</v>
      </c>
      <c r="Q50" s="12" t="s">
        <v>480</v>
      </c>
      <c r="R50" s="20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7" t="str">
        <f t="shared" si="0"/>
        <v>LUIS ALBERTO    ESPINOZA    MARTINEZ</v>
      </c>
      <c r="Q51" s="12" t="s">
        <v>385</v>
      </c>
      <c r="R51" s="20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7" t="str">
        <f t="shared" si="0"/>
        <v>MA GUADALUPE    MEDINA    ZARATE</v>
      </c>
      <c r="Q52" s="12" t="s">
        <v>485</v>
      </c>
      <c r="R52" s="20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7" t="str">
        <f t="shared" si="0"/>
        <v>DULCE MARIA TERESITA    CABRERA    SOLANO</v>
      </c>
      <c r="Q53" s="12" t="s">
        <v>491</v>
      </c>
      <c r="R53" s="20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7" t="str">
        <f t="shared" si="0"/>
        <v>MONICA ISABEL    RICO    GAMIÑO</v>
      </c>
      <c r="Q54" s="12" t="s">
        <v>497</v>
      </c>
      <c r="R54" s="20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7" t="str">
        <f t="shared" si="0"/>
        <v>GRACIELA    ALVAREZ    GARCIA</v>
      </c>
      <c r="Q55" s="12" t="s">
        <v>500</v>
      </c>
      <c r="R55" s="20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7" t="str">
        <f t="shared" si="0"/>
        <v>GESARELA    MARISCAL    CALDERON</v>
      </c>
      <c r="Q56" s="12" t="s">
        <v>100</v>
      </c>
      <c r="R56" s="20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7" t="str">
        <f t="shared" si="0"/>
        <v>ARNULFO    OLVERA    NOVOA</v>
      </c>
      <c r="Q57" s="12" t="s">
        <v>509</v>
      </c>
      <c r="R57" s="20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7" t="str">
        <f t="shared" si="0"/>
        <v>JESSICA    AGUILERA    ZAVALA</v>
      </c>
      <c r="Q58" s="12" t="s">
        <v>513</v>
      </c>
      <c r="R58" s="20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7" t="str">
        <f t="shared" si="0"/>
        <v>LUZ JOHANA    RODRIGUEZ    GONZALEZ</v>
      </c>
      <c r="Q59" s="12" t="s">
        <v>516</v>
      </c>
      <c r="R59" s="20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7" t="str">
        <f t="shared" si="0"/>
        <v>ANA MARIA    RAMOS    CHAVIRA</v>
      </c>
      <c r="Q60" s="12" t="s">
        <v>520</v>
      </c>
      <c r="R60" s="20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7" t="str">
        <f t="shared" si="0"/>
        <v>LAURA SAMANTHA    VARELA    RODRIGUEZ</v>
      </c>
      <c r="Q61" s="12" t="s">
        <v>524</v>
      </c>
      <c r="R61" s="20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7" t="str">
        <f t="shared" si="0"/>
        <v>CELESTE    MURILLO    CHAVEZ</v>
      </c>
      <c r="Q62" s="12" t="s">
        <v>527</v>
      </c>
      <c r="R62" s="20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7" t="str">
        <f t="shared" si="0"/>
        <v>MARIA DEL CARMEN    GONZALEZ    ANDALON</v>
      </c>
      <c r="Q63" s="12" t="s">
        <v>532</v>
      </c>
      <c r="R63" s="20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7" t="str">
        <f t="shared" si="0"/>
        <v>DANIELA    TOVAR    SANCHEZ</v>
      </c>
      <c r="Q64" s="12" t="s">
        <v>536</v>
      </c>
      <c r="R64" s="20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7" t="str">
        <f t="shared" si="0"/>
        <v>LAURA    SANTIBAÑEZ    RODRIGUEZ</v>
      </c>
      <c r="Q65" s="12" t="s">
        <v>540</v>
      </c>
      <c r="R65" s="20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7" t="str">
        <f t="shared" si="0"/>
        <v>STEPHANIE LARISA    CEDILLO    OROZCO</v>
      </c>
      <c r="Q66" s="12" t="s">
        <v>544</v>
      </c>
      <c r="R66" s="20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7" t="str">
        <f t="shared" ref="P67:P130" si="2">CONCATENATE(E67,"    ",F67,"    ",G67)</f>
        <v>JUAN SALVADOR    RANGEL    COSME</v>
      </c>
      <c r="Q67" s="12" t="s">
        <v>548</v>
      </c>
      <c r="R67" s="20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7" t="str">
        <f t="shared" si="2"/>
        <v>JAVIER    PACHECO    CANO</v>
      </c>
      <c r="Q68" s="12" t="s">
        <v>553</v>
      </c>
      <c r="R68" s="20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7" t="str">
        <f t="shared" si="2"/>
        <v>AURA FABIOLA    ROMERO    FONSECA</v>
      </c>
      <c r="Q69" s="12" t="s">
        <v>557</v>
      </c>
      <c r="R69" s="20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7" t="str">
        <f t="shared" si="2"/>
        <v>MARIA DEL ROSARIO    ALVAREZ    MACIAS</v>
      </c>
      <c r="Q70" s="12" t="s">
        <v>561</v>
      </c>
      <c r="R70" s="20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7" t="str">
        <f t="shared" si="2"/>
        <v>YUNUEN STEPHANIE    JIMENEZ    MEJIA</v>
      </c>
      <c r="Q71" s="12" t="s">
        <v>565</v>
      </c>
      <c r="R71" s="20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7" t="str">
        <f t="shared" si="2"/>
        <v>EDUARDO    ABURTO    GARDUÑO</v>
      </c>
      <c r="Q72" s="12" t="s">
        <v>570</v>
      </c>
      <c r="R72" s="20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7" t="str">
        <f t="shared" si="2"/>
        <v>JORGE ARTURO    RINCON    CASIAN</v>
      </c>
      <c r="Q73" s="12" t="s">
        <v>575</v>
      </c>
      <c r="R73" s="20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7" t="str">
        <f t="shared" si="2"/>
        <v>ROBERTO    RUIZ DE ESPARZA    VIDAL</v>
      </c>
      <c r="Q74" s="12" t="s">
        <v>580</v>
      </c>
      <c r="R74" s="20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7" t="str">
        <f t="shared" si="2"/>
        <v>CARLOS ROBERTO    VERA    ZUÑIGA</v>
      </c>
      <c r="Q75" s="12" t="s">
        <v>584</v>
      </c>
      <c r="R75" s="20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7" t="str">
        <f t="shared" si="2"/>
        <v>KARINA    LOPEZ    ORTEGA</v>
      </c>
      <c r="Q76" s="12" t="s">
        <v>588</v>
      </c>
      <c r="R76" s="20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7" t="str">
        <f t="shared" si="2"/>
        <v>CLAUDIA BELEN    GONZALEZ    LANDEROS</v>
      </c>
      <c r="Q77" s="12" t="s">
        <v>592</v>
      </c>
      <c r="R77" s="20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7" t="str">
        <f t="shared" si="2"/>
        <v>JOSE LUIS    RODRIGUEZ    RODRIGUEZ</v>
      </c>
      <c r="Q78" s="12" t="s">
        <v>595</v>
      </c>
      <c r="R78" s="20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7" t="str">
        <f t="shared" si="2"/>
        <v>ARTURO DE JESUS    MENDOZA    TORRES</v>
      </c>
      <c r="Q79" s="12" t="s">
        <v>100</v>
      </c>
      <c r="R79" s="20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7" t="str">
        <f t="shared" si="2"/>
        <v>JOSE OSCAR    ORDAZ    OLVERA</v>
      </c>
      <c r="Q80" s="12" t="s">
        <v>602</v>
      </c>
      <c r="R80" s="20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7" t="str">
        <f t="shared" si="2"/>
        <v>JOSE LUIS    OROZCO    CRUZ</v>
      </c>
      <c r="Q81" s="12" t="s">
        <v>604</v>
      </c>
      <c r="R81" s="20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7" t="str">
        <f t="shared" si="2"/>
        <v>FILOMENA    MARGAIZ    RAMIREZ</v>
      </c>
      <c r="Q82" s="12" t="s">
        <v>609</v>
      </c>
      <c r="R82" s="20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0"/>
      <c r="N83" s="10"/>
      <c r="O83" s="15" t="s">
        <v>40</v>
      </c>
      <c r="P83" s="18" t="str">
        <f t="shared" si="2"/>
        <v>MORENA MARIA    CANALES    MARTINEZ</v>
      </c>
      <c r="Q83" s="14" t="s">
        <v>37</v>
      </c>
      <c r="R83" s="21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0"/>
      <c r="N84" s="10"/>
      <c r="O84" s="15" t="s">
        <v>40</v>
      </c>
      <c r="P84" s="18" t="str">
        <f t="shared" si="2"/>
        <v>JUAN PABLO    CASTRO    GOMEZ</v>
      </c>
      <c r="Q84" s="14" t="s">
        <v>46</v>
      </c>
      <c r="R84" s="21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0"/>
      <c r="N85" s="10"/>
      <c r="O85" s="15" t="s">
        <v>40</v>
      </c>
      <c r="P85" s="18" t="str">
        <f t="shared" si="2"/>
        <v>MARIA YOSSELIN    ASCENCIO    VAZQUEZ</v>
      </c>
      <c r="Q85" s="14" t="s">
        <v>859</v>
      </c>
      <c r="R85" s="21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0"/>
      <c r="N86" s="10"/>
      <c r="O86" s="15" t="s">
        <v>40</v>
      </c>
      <c r="P86" s="18" t="str">
        <f t="shared" si="2"/>
        <v>JUAN MANUEL    ALVAREZ    ZAVALA</v>
      </c>
      <c r="Q86" s="14" t="s">
        <v>52</v>
      </c>
      <c r="R86" s="21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0"/>
      <c r="N87" s="10"/>
      <c r="O87" s="15" t="s">
        <v>40</v>
      </c>
      <c r="P87" s="18" t="str">
        <f t="shared" si="2"/>
        <v>MARIANA ZURIZADAI    TORRES    TORRES</v>
      </c>
      <c r="Q87" s="14" t="s">
        <v>58</v>
      </c>
      <c r="R87" s="21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6"/>
      <c r="N88" s="16"/>
      <c r="O88" s="15" t="s">
        <v>40</v>
      </c>
      <c r="P88" s="18" t="str">
        <f t="shared" si="2"/>
        <v>MARTINA    MOCTEZUMA    MARTINEZ</v>
      </c>
      <c r="Q88" s="14" t="s">
        <v>63</v>
      </c>
      <c r="R88" s="21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0"/>
      <c r="N89" s="10"/>
      <c r="O89" s="15" t="s">
        <v>40</v>
      </c>
      <c r="P89" s="18" t="str">
        <f t="shared" si="2"/>
        <v>ROSA CAROLINA    RODRIGUEZ    MARTINEZ</v>
      </c>
      <c r="Q89" s="14" t="s">
        <v>67</v>
      </c>
      <c r="R89" s="21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0"/>
      <c r="N90" s="10"/>
      <c r="O90" s="15" t="s">
        <v>40</v>
      </c>
      <c r="P90" s="18" t="str">
        <f t="shared" si="2"/>
        <v>ADAN    LOPEZ    MONTENEGRO</v>
      </c>
      <c r="Q90" s="14" t="s">
        <v>73</v>
      </c>
      <c r="R90" s="21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0"/>
      <c r="N91" s="10"/>
      <c r="O91" s="15" t="s">
        <v>40</v>
      </c>
      <c r="P91" s="18" t="str">
        <f t="shared" si="2"/>
        <v>PAULINA JAZMIN    ORTEGA    HERNANDEZ</v>
      </c>
      <c r="Q91" s="14" t="s">
        <v>862</v>
      </c>
      <c r="R91" s="21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0"/>
      <c r="N92" s="10"/>
      <c r="O92" s="15" t="s">
        <v>40</v>
      </c>
      <c r="P92" s="18" t="str">
        <f t="shared" si="2"/>
        <v>IVAN    MARTINEZ    CISNEROS</v>
      </c>
      <c r="Q92" s="14" t="s">
        <v>79</v>
      </c>
      <c r="R92" s="21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0"/>
      <c r="N93" s="10"/>
      <c r="O93" s="15" t="s">
        <v>40</v>
      </c>
      <c r="P93" s="18" t="str">
        <f t="shared" si="2"/>
        <v>TULIO GUILLERMO    ALAMO    ARREDONDO</v>
      </c>
      <c r="Q93" s="14" t="s">
        <v>84</v>
      </c>
      <c r="R93" s="21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0"/>
      <c r="N94" s="10"/>
      <c r="O94" s="15" t="s">
        <v>40</v>
      </c>
      <c r="P94" s="18" t="str">
        <f t="shared" si="2"/>
        <v>ASTRID BERENICE    RANGEL    PEREZ</v>
      </c>
      <c r="Q94" s="14" t="s">
        <v>89</v>
      </c>
      <c r="R94" s="21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0"/>
      <c r="N95" s="10"/>
      <c r="O95" s="15" t="s">
        <v>40</v>
      </c>
      <c r="P95" s="18" t="str">
        <f t="shared" si="2"/>
        <v>RODOLFO JONATHAN MARTIN    MORENO    GODINEZ</v>
      </c>
      <c r="Q95" s="14" t="s">
        <v>95</v>
      </c>
      <c r="R95" s="21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0"/>
      <c r="N96" s="10"/>
      <c r="O96" s="15" t="s">
        <v>40</v>
      </c>
      <c r="P96" s="18" t="str">
        <f t="shared" si="2"/>
        <v>LILIA KAREN    MAYORGA    GUADIAN</v>
      </c>
      <c r="Q96" s="14" t="s">
        <v>867</v>
      </c>
      <c r="R96" s="21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0"/>
      <c r="N97" s="10"/>
      <c r="O97" s="15" t="s">
        <v>40</v>
      </c>
      <c r="P97" s="18" t="str">
        <f t="shared" si="2"/>
        <v>PATRICIA    CORTES    VIVANCO</v>
      </c>
      <c r="Q97" s="14" t="s">
        <v>100</v>
      </c>
      <c r="R97" s="21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0"/>
      <c r="N98" s="10"/>
      <c r="O98" s="15" t="s">
        <v>40</v>
      </c>
      <c r="P98" s="18" t="str">
        <f t="shared" si="2"/>
        <v>SOFIA DEL PILAR    HERNANDEZ    HUERTA</v>
      </c>
      <c r="Q98" s="14" t="s">
        <v>106</v>
      </c>
      <c r="R98" s="21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0"/>
      <c r="N99" s="10"/>
      <c r="O99" s="15" t="s">
        <v>40</v>
      </c>
      <c r="P99" s="18" t="str">
        <f t="shared" si="2"/>
        <v>ALEJANDRA    LOPEZ    LADRON DE GUEVARA</v>
      </c>
      <c r="Q99" s="14" t="s">
        <v>110</v>
      </c>
      <c r="R99" s="21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0"/>
      <c r="N100" s="10"/>
      <c r="O100" s="15" t="s">
        <v>40</v>
      </c>
      <c r="P100" s="18" t="str">
        <f t="shared" si="2"/>
        <v>MARTHA ANGELICA    TAVAREZ    CONTRERAS</v>
      </c>
      <c r="Q100" s="14" t="s">
        <v>115</v>
      </c>
      <c r="R100" s="21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0"/>
      <c r="N101" s="10"/>
      <c r="O101" s="15" t="s">
        <v>40</v>
      </c>
      <c r="P101" s="18" t="str">
        <f t="shared" si="2"/>
        <v>JUAN CARLOS    CECILIO    PADILLA</v>
      </c>
      <c r="Q101" s="14" t="s">
        <v>871</v>
      </c>
      <c r="R101" s="21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0"/>
      <c r="N102" s="10"/>
      <c r="O102" s="15" t="s">
        <v>40</v>
      </c>
      <c r="P102" s="18" t="str">
        <f t="shared" si="2"/>
        <v>CARLOS GUSTAVO    SOTO    OROZCO</v>
      </c>
      <c r="Q102" s="14" t="s">
        <v>120</v>
      </c>
      <c r="R102" s="21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0"/>
      <c r="N103" s="10"/>
      <c r="O103" s="15" t="s">
        <v>40</v>
      </c>
      <c r="P103" s="18" t="str">
        <f t="shared" si="2"/>
        <v>FRANCISCO JAVIER    ESPINOZA    ORTIZ</v>
      </c>
      <c r="Q103" s="14" t="s">
        <v>126</v>
      </c>
      <c r="R103" s="21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0"/>
      <c r="N104" s="10"/>
      <c r="O104" s="15" t="s">
        <v>40</v>
      </c>
      <c r="P104" s="18" t="str">
        <f t="shared" si="2"/>
        <v>JORGE ALBERTO    CABALLERO    CORDOVA</v>
      </c>
      <c r="Q104" s="14" t="s">
        <v>872</v>
      </c>
      <c r="R104" s="21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0"/>
      <c r="N105" s="10"/>
      <c r="O105" s="15" t="s">
        <v>40</v>
      </c>
      <c r="P105" s="18" t="str">
        <f t="shared" si="2"/>
        <v>KARLA THALIA    MENDEZ    ALVAREZ</v>
      </c>
      <c r="Q105" s="14" t="s">
        <v>134</v>
      </c>
      <c r="R105" s="21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0"/>
      <c r="N106" s="10"/>
      <c r="O106" s="15" t="s">
        <v>40</v>
      </c>
      <c r="P106" s="18" t="str">
        <f t="shared" si="2"/>
        <v>GUADALUPE DEL SOCORRO    CHAVEZ    ESCOBAR</v>
      </c>
      <c r="Q106" s="14" t="s">
        <v>139</v>
      </c>
      <c r="R106" s="21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0"/>
      <c r="N107" s="10"/>
      <c r="O107" s="15" t="s">
        <v>40</v>
      </c>
      <c r="P107" s="18" t="str">
        <f t="shared" si="2"/>
        <v>CRISTABEL    BORJA    AHEDO</v>
      </c>
      <c r="Q107" s="14" t="s">
        <v>144</v>
      </c>
      <c r="R107" s="21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0"/>
      <c r="N108" s="10"/>
      <c r="O108" s="15" t="s">
        <v>40</v>
      </c>
      <c r="P108" s="18" t="str">
        <f t="shared" si="2"/>
        <v>ANA KARINA    PALMAS    ESPINOSA</v>
      </c>
      <c r="Q108" s="14" t="s">
        <v>149</v>
      </c>
      <c r="R108" s="21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0"/>
      <c r="N109" s="10"/>
      <c r="O109" s="15" t="s">
        <v>40</v>
      </c>
      <c r="P109" s="18" t="str">
        <f t="shared" si="2"/>
        <v>BLANCA YAZMIN    VAZQUEZ    MEDINA</v>
      </c>
      <c r="Q109" s="14" t="s">
        <v>154</v>
      </c>
      <c r="R109" s="21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0"/>
      <c r="N110" s="10"/>
      <c r="O110" s="15" t="s">
        <v>40</v>
      </c>
      <c r="P110" s="18" t="str">
        <f t="shared" si="2"/>
        <v>VALERIA    CECCOPIERI    GODINEZ</v>
      </c>
      <c r="Q110" s="14" t="s">
        <v>158</v>
      </c>
      <c r="R110" s="21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0"/>
      <c r="N111" s="10"/>
      <c r="O111" s="15" t="s">
        <v>40</v>
      </c>
      <c r="P111" s="18" t="str">
        <f t="shared" si="2"/>
        <v>JOSE ANTONIO    JUAREZ    RIVERA</v>
      </c>
      <c r="Q111" s="14" t="s">
        <v>158</v>
      </c>
      <c r="R111" s="21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0"/>
      <c r="N112" s="10"/>
      <c r="O112" s="15" t="s">
        <v>40</v>
      </c>
      <c r="P112" s="18" t="str">
        <f t="shared" si="2"/>
        <v>DANIEL MAXIMINO    CANCHOLA    MURGUIA</v>
      </c>
      <c r="Q112" s="14" t="s">
        <v>167</v>
      </c>
      <c r="R112" s="21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0"/>
      <c r="N113" s="10"/>
      <c r="O113" s="15" t="s">
        <v>40</v>
      </c>
      <c r="P113" s="18" t="str">
        <f t="shared" si="2"/>
        <v>OSCAR LEONARDO    OROZCO    TURRUBIATES</v>
      </c>
      <c r="Q113" s="14" t="s">
        <v>171</v>
      </c>
      <c r="R113" s="21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0"/>
      <c r="N114" s="10"/>
      <c r="O114" s="15" t="s">
        <v>40</v>
      </c>
      <c r="P114" s="18" t="str">
        <f t="shared" si="2"/>
        <v>MARIA GUADALUPE    GUERRERO    ISAIS</v>
      </c>
      <c r="Q114" s="14" t="s">
        <v>100</v>
      </c>
      <c r="R114" s="21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0"/>
      <c r="N115" s="10"/>
      <c r="O115" s="15" t="s">
        <v>40</v>
      </c>
      <c r="P115" s="18" t="str">
        <f t="shared" si="2"/>
        <v>CLAUDIA CRISTINA    SANDI    GARCÍA</v>
      </c>
      <c r="Q115" s="14" t="s">
        <v>176</v>
      </c>
      <c r="R115" s="21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0"/>
      <c r="N116" s="10"/>
      <c r="O116" s="15" t="s">
        <v>40</v>
      </c>
      <c r="P116" s="18" t="str">
        <f t="shared" si="2"/>
        <v>JENIFFER IRAZU    MUÑIZ    ZAMUDIO</v>
      </c>
      <c r="Q116" s="14" t="s">
        <v>181</v>
      </c>
      <c r="R116" s="21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0"/>
      <c r="N117" s="10"/>
      <c r="O117" s="15" t="s">
        <v>40</v>
      </c>
      <c r="P117" s="18" t="str">
        <f t="shared" si="2"/>
        <v>HUGO    RAMIREZ    DUARTE</v>
      </c>
      <c r="Q117" s="14" t="s">
        <v>186</v>
      </c>
      <c r="R117" s="21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0"/>
      <c r="N118" s="10"/>
      <c r="O118" s="15" t="s">
        <v>40</v>
      </c>
      <c r="P118" s="18" t="str">
        <f t="shared" si="2"/>
        <v>MAURICIO ARATT    JACINTO    QUIROZ</v>
      </c>
      <c r="Q118" s="14" t="s">
        <v>191</v>
      </c>
      <c r="R118" s="21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0"/>
      <c r="N119" s="10"/>
      <c r="O119" s="15" t="s">
        <v>40</v>
      </c>
      <c r="P119" s="18" t="str">
        <f t="shared" si="2"/>
        <v>TANIA MARIELA    LUNA    CHAGOYA</v>
      </c>
      <c r="Q119" s="14" t="s">
        <v>196</v>
      </c>
      <c r="R119" s="21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0"/>
      <c r="N120" s="10"/>
      <c r="O120" s="15" t="s">
        <v>40</v>
      </c>
      <c r="P120" s="18" t="str">
        <f t="shared" si="2"/>
        <v>ATENEA    MORALES    MENDOZA</v>
      </c>
      <c r="Q120" s="14" t="s">
        <v>205</v>
      </c>
      <c r="R120" s="21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0"/>
      <c r="N121" s="10"/>
      <c r="O121" s="15" t="s">
        <v>40</v>
      </c>
      <c r="P121" s="18" t="str">
        <f t="shared" si="2"/>
        <v>LESLIE ANDREA    RAMIREZ    MENDOZA</v>
      </c>
      <c r="Q121" s="14" t="s">
        <v>879</v>
      </c>
      <c r="R121" s="21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0"/>
      <c r="N122" s="10"/>
      <c r="O122" s="15" t="s">
        <v>40</v>
      </c>
      <c r="P122" s="18" t="str">
        <f t="shared" si="2"/>
        <v>ANA RUTH    ANGEL    ROMERO</v>
      </c>
      <c r="Q122" s="14" t="s">
        <v>210</v>
      </c>
      <c r="R122" s="21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0"/>
      <c r="N123" s="10"/>
      <c r="O123" s="15" t="s">
        <v>40</v>
      </c>
      <c r="P123" s="18" t="str">
        <f t="shared" si="2"/>
        <v>ESTEFANIA    LOPEZ    ARREOLA</v>
      </c>
      <c r="Q123" s="14" t="s">
        <v>883</v>
      </c>
      <c r="R123" s="21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0"/>
      <c r="N124" s="10"/>
      <c r="O124" s="15" t="s">
        <v>40</v>
      </c>
      <c r="P124" s="18" t="str">
        <f t="shared" si="2"/>
        <v>ANDREA DASHA    ZUÑIGA    EMBRIZ</v>
      </c>
      <c r="Q124" s="14" t="s">
        <v>196</v>
      </c>
      <c r="R124" s="21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0"/>
      <c r="N125" s="10"/>
      <c r="O125" s="15" t="s">
        <v>40</v>
      </c>
      <c r="P125" s="18" t="str">
        <f t="shared" si="2"/>
        <v>CHRISTIAN ANGELICA ADELA    PORRAS    AVILA</v>
      </c>
      <c r="Q125" s="14" t="s">
        <v>215</v>
      </c>
      <c r="R125" s="21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0"/>
      <c r="N126" s="10"/>
      <c r="O126" s="15" t="s">
        <v>40</v>
      </c>
      <c r="P126" s="18" t="str">
        <f t="shared" si="2"/>
        <v>ILEANA    MORALES    GONZALEZ</v>
      </c>
      <c r="Q126" s="14" t="s">
        <v>889</v>
      </c>
      <c r="R126" s="21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0"/>
      <c r="N127" s="10"/>
      <c r="O127" s="15" t="s">
        <v>40</v>
      </c>
      <c r="P127" s="18" t="str">
        <f t="shared" si="2"/>
        <v>JULIO CESAR    AGUILAR    JIMENEZ</v>
      </c>
      <c r="Q127" s="14" t="s">
        <v>890</v>
      </c>
      <c r="R127" s="21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0"/>
      <c r="N128" s="10"/>
      <c r="O128" s="15" t="s">
        <v>40</v>
      </c>
      <c r="P128" s="18" t="str">
        <f t="shared" si="2"/>
        <v>MIGUEL ANGEL    PRO    BUZ</v>
      </c>
      <c r="Q128" s="14" t="s">
        <v>224</v>
      </c>
      <c r="R128" s="21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0"/>
      <c r="N129" s="10"/>
      <c r="O129" s="15" t="s">
        <v>40</v>
      </c>
      <c r="P129" s="18" t="str">
        <f t="shared" si="2"/>
        <v>KAREN SARAHÍ    MARTINEZ    HERNANDEZ</v>
      </c>
      <c r="Q129" s="14" t="s">
        <v>227</v>
      </c>
      <c r="R129" s="21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0"/>
      <c r="N130" s="10"/>
      <c r="O130" s="15" t="s">
        <v>40</v>
      </c>
      <c r="P130" s="18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0"/>
      <c r="N131" s="10"/>
      <c r="O131" s="15" t="s">
        <v>40</v>
      </c>
      <c r="P131" s="18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0"/>
      <c r="N132" s="10"/>
      <c r="O132" s="15" t="s">
        <v>40</v>
      </c>
      <c r="P132" s="18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0"/>
      <c r="N133" s="10"/>
      <c r="O133" s="15" t="s">
        <v>40</v>
      </c>
      <c r="P133" s="18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0"/>
      <c r="N134" s="10"/>
      <c r="O134" s="15" t="s">
        <v>40</v>
      </c>
      <c r="P134" s="18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0"/>
      <c r="N135" s="10"/>
      <c r="O135" s="15" t="s">
        <v>40</v>
      </c>
      <c r="P135" s="18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0"/>
      <c r="N136" s="10"/>
      <c r="O136" s="15" t="s">
        <v>40</v>
      </c>
      <c r="P136" s="18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5" t="s">
        <v>40</v>
      </c>
      <c r="P137" s="18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5"/>
  <sheetViews>
    <sheetView topLeftCell="A30" workbookViewId="0">
      <selection activeCell="I1" sqref="I1:I60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11" x14ac:dyDescent="0.25">
      <c r="A1" s="61" t="s">
        <v>924</v>
      </c>
      <c r="I1" t="s">
        <v>924</v>
      </c>
      <c r="K1" t="s">
        <v>612</v>
      </c>
    </row>
    <row r="2" spans="1:11" x14ac:dyDescent="0.25">
      <c r="A2" t="s">
        <v>948</v>
      </c>
      <c r="I2" t="s">
        <v>1080</v>
      </c>
      <c r="K2" t="s">
        <v>613</v>
      </c>
    </row>
    <row r="3" spans="1:11" x14ac:dyDescent="0.25">
      <c r="A3" t="s">
        <v>950</v>
      </c>
      <c r="I3" t="s">
        <v>1081</v>
      </c>
      <c r="K3" t="s">
        <v>15</v>
      </c>
    </row>
    <row r="4" spans="1:11" x14ac:dyDescent="0.25">
      <c r="A4" t="s">
        <v>1034</v>
      </c>
      <c r="I4" t="s">
        <v>1091</v>
      </c>
      <c r="K4" t="s">
        <v>614</v>
      </c>
    </row>
    <row r="5" spans="1:11" x14ac:dyDescent="0.25">
      <c r="A5" t="s">
        <v>952</v>
      </c>
      <c r="I5" t="s">
        <v>1092</v>
      </c>
      <c r="K5" t="s">
        <v>615</v>
      </c>
    </row>
    <row r="6" spans="1:11" x14ac:dyDescent="0.25">
      <c r="A6" t="s">
        <v>954</v>
      </c>
      <c r="I6" t="s">
        <v>1099</v>
      </c>
      <c r="K6" t="s">
        <v>616</v>
      </c>
    </row>
    <row r="7" spans="1:11" x14ac:dyDescent="0.25">
      <c r="A7" t="s">
        <v>1035</v>
      </c>
      <c r="I7" t="s">
        <v>1100</v>
      </c>
      <c r="K7" t="s">
        <v>617</v>
      </c>
    </row>
    <row r="8" spans="1:11" x14ac:dyDescent="0.25">
      <c r="A8" t="s">
        <v>956</v>
      </c>
      <c r="I8" t="s">
        <v>1101</v>
      </c>
      <c r="K8" t="s">
        <v>618</v>
      </c>
    </row>
    <row r="9" spans="1:11" x14ac:dyDescent="0.25">
      <c r="A9" t="s">
        <v>1036</v>
      </c>
      <c r="I9" t="s">
        <v>1102</v>
      </c>
      <c r="K9" t="s">
        <v>619</v>
      </c>
    </row>
    <row r="10" spans="1:11" x14ac:dyDescent="0.25">
      <c r="A10" t="s">
        <v>958</v>
      </c>
      <c r="I10" t="s">
        <v>1103</v>
      </c>
      <c r="K10" t="s">
        <v>620</v>
      </c>
    </row>
    <row r="11" spans="1:11" x14ac:dyDescent="0.25">
      <c r="A11" t="s">
        <v>960</v>
      </c>
      <c r="I11" t="s">
        <v>1104</v>
      </c>
      <c r="K11" t="s">
        <v>621</v>
      </c>
    </row>
    <row r="12" spans="1:11" x14ac:dyDescent="0.25">
      <c r="A12" t="s">
        <v>962</v>
      </c>
      <c r="I12" t="s">
        <v>1105</v>
      </c>
      <c r="K12" t="s">
        <v>622</v>
      </c>
    </row>
    <row r="13" spans="1:11" x14ac:dyDescent="0.25">
      <c r="A13" t="s">
        <v>964</v>
      </c>
      <c r="I13" t="s">
        <v>1106</v>
      </c>
      <c r="K13" t="s">
        <v>623</v>
      </c>
    </row>
    <row r="14" spans="1:11" ht="30" x14ac:dyDescent="0.25">
      <c r="A14" s="62" t="s">
        <v>1037</v>
      </c>
      <c r="I14" t="s">
        <v>1107</v>
      </c>
      <c r="K14" t="s">
        <v>624</v>
      </c>
    </row>
    <row r="15" spans="1:11" x14ac:dyDescent="0.25">
      <c r="A15" t="s">
        <v>967</v>
      </c>
      <c r="I15" t="s">
        <v>1108</v>
      </c>
      <c r="K15" t="s">
        <v>625</v>
      </c>
    </row>
    <row r="16" spans="1:11" x14ac:dyDescent="0.25">
      <c r="A16" t="s">
        <v>968</v>
      </c>
      <c r="I16" t="s">
        <v>1109</v>
      </c>
      <c r="K16" t="s">
        <v>626</v>
      </c>
    </row>
    <row r="17" spans="1:11" x14ac:dyDescent="0.25">
      <c r="A17" t="s">
        <v>969</v>
      </c>
      <c r="I17" t="s">
        <v>1110</v>
      </c>
      <c r="K17" t="s">
        <v>627</v>
      </c>
    </row>
    <row r="18" spans="1:11" x14ac:dyDescent="0.25">
      <c r="A18" t="s">
        <v>970</v>
      </c>
      <c r="I18" t="s">
        <v>1111</v>
      </c>
      <c r="K18" t="s">
        <v>628</v>
      </c>
    </row>
    <row r="19" spans="1:11" x14ac:dyDescent="0.25">
      <c r="A19" t="s">
        <v>972</v>
      </c>
      <c r="I19" t="s">
        <v>1112</v>
      </c>
      <c r="K19" t="s">
        <v>629</v>
      </c>
    </row>
    <row r="20" spans="1:11" x14ac:dyDescent="0.25">
      <c r="A20" t="s">
        <v>973</v>
      </c>
      <c r="I20" t="s">
        <v>1113</v>
      </c>
      <c r="K20" t="s">
        <v>630</v>
      </c>
    </row>
    <row r="21" spans="1:11" x14ac:dyDescent="0.25">
      <c r="A21" t="s">
        <v>975</v>
      </c>
      <c r="I21" t="s">
        <v>1114</v>
      </c>
      <c r="K21" t="s">
        <v>631</v>
      </c>
    </row>
    <row r="22" spans="1:11" x14ac:dyDescent="0.25">
      <c r="A22" t="s">
        <v>976</v>
      </c>
      <c r="I22" t="s">
        <v>1115</v>
      </c>
      <c r="K22" t="s">
        <v>632</v>
      </c>
    </row>
    <row r="23" spans="1:11" x14ac:dyDescent="0.25">
      <c r="A23" t="s">
        <v>978</v>
      </c>
      <c r="I23" t="s">
        <v>1093</v>
      </c>
      <c r="K23" t="s">
        <v>633</v>
      </c>
    </row>
    <row r="24" spans="1:11" x14ac:dyDescent="0.25">
      <c r="A24" t="s">
        <v>1038</v>
      </c>
      <c r="I24" t="s">
        <v>1082</v>
      </c>
      <c r="K24" t="s">
        <v>634</v>
      </c>
    </row>
    <row r="25" spans="1:11" x14ac:dyDescent="0.25">
      <c r="I25" t="s">
        <v>1116</v>
      </c>
      <c r="K25" t="s">
        <v>635</v>
      </c>
    </row>
    <row r="26" spans="1:11" x14ac:dyDescent="0.25">
      <c r="A26" s="61" t="s">
        <v>949</v>
      </c>
      <c r="I26" t="s">
        <v>1117</v>
      </c>
      <c r="K26" t="s">
        <v>636</v>
      </c>
    </row>
    <row r="27" spans="1:11" x14ac:dyDescent="0.25">
      <c r="A27" t="s">
        <v>948</v>
      </c>
      <c r="I27" t="s">
        <v>1118</v>
      </c>
      <c r="K27" t="s">
        <v>637</v>
      </c>
    </row>
    <row r="28" spans="1:11" x14ac:dyDescent="0.25">
      <c r="A28" t="s">
        <v>1039</v>
      </c>
      <c r="I28" t="s">
        <v>1119</v>
      </c>
      <c r="K28" t="s">
        <v>638</v>
      </c>
    </row>
    <row r="29" spans="1:11" x14ac:dyDescent="0.25">
      <c r="A29" t="s">
        <v>950</v>
      </c>
      <c r="I29" t="s">
        <v>1120</v>
      </c>
      <c r="K29" t="s">
        <v>639</v>
      </c>
    </row>
    <row r="30" spans="1:11" x14ac:dyDescent="0.25">
      <c r="A30" t="s">
        <v>1034</v>
      </c>
      <c r="I30" t="s">
        <v>1121</v>
      </c>
      <c r="K30" t="s">
        <v>640</v>
      </c>
    </row>
    <row r="31" spans="1:11" x14ac:dyDescent="0.25">
      <c r="A31" t="s">
        <v>952</v>
      </c>
      <c r="I31" t="s">
        <v>1083</v>
      </c>
      <c r="K31" t="s">
        <v>641</v>
      </c>
    </row>
    <row r="32" spans="1:11" x14ac:dyDescent="0.25">
      <c r="A32" t="s">
        <v>954</v>
      </c>
      <c r="I32" t="s">
        <v>1084</v>
      </c>
      <c r="K32" t="s">
        <v>642</v>
      </c>
    </row>
    <row r="33" spans="1:11" x14ac:dyDescent="0.25">
      <c r="A33" t="s">
        <v>1035</v>
      </c>
      <c r="I33" t="s">
        <v>1122</v>
      </c>
      <c r="K33" t="s">
        <v>643</v>
      </c>
    </row>
    <row r="34" spans="1:11" x14ac:dyDescent="0.25">
      <c r="A34" t="s">
        <v>1040</v>
      </c>
      <c r="I34" t="s">
        <v>1123</v>
      </c>
      <c r="K34" t="s">
        <v>644</v>
      </c>
    </row>
    <row r="35" spans="1:11" x14ac:dyDescent="0.25">
      <c r="A35" t="s">
        <v>956</v>
      </c>
      <c r="I35" t="s">
        <v>1124</v>
      </c>
      <c r="K35" t="s">
        <v>645</v>
      </c>
    </row>
    <row r="36" spans="1:11" x14ac:dyDescent="0.25">
      <c r="A36" t="s">
        <v>1036</v>
      </c>
      <c r="I36" t="s">
        <v>1085</v>
      </c>
      <c r="K36" t="s">
        <v>646</v>
      </c>
    </row>
    <row r="37" spans="1:11" x14ac:dyDescent="0.25">
      <c r="A37" t="s">
        <v>958</v>
      </c>
      <c r="I37" t="s">
        <v>1086</v>
      </c>
      <c r="K37" t="s">
        <v>647</v>
      </c>
    </row>
    <row r="38" spans="1:11" x14ac:dyDescent="0.25">
      <c r="A38" t="s">
        <v>960</v>
      </c>
      <c r="I38" t="s">
        <v>1125</v>
      </c>
      <c r="K38" t="s">
        <v>648</v>
      </c>
    </row>
    <row r="39" spans="1:11" x14ac:dyDescent="0.25">
      <c r="A39" t="s">
        <v>962</v>
      </c>
      <c r="I39" t="s">
        <v>1126</v>
      </c>
      <c r="K39" t="s">
        <v>649</v>
      </c>
    </row>
    <row r="40" spans="1:11" x14ac:dyDescent="0.25">
      <c r="A40" t="s">
        <v>964</v>
      </c>
      <c r="I40" t="s">
        <v>1127</v>
      </c>
      <c r="K40" t="s">
        <v>650</v>
      </c>
    </row>
    <row r="41" spans="1:11" ht="30" x14ac:dyDescent="0.25">
      <c r="A41" s="62" t="s">
        <v>1037</v>
      </c>
      <c r="I41" t="s">
        <v>1094</v>
      </c>
      <c r="K41" t="s">
        <v>651</v>
      </c>
    </row>
    <row r="42" spans="1:11" x14ac:dyDescent="0.25">
      <c r="A42" t="s">
        <v>1041</v>
      </c>
      <c r="I42" t="s">
        <v>1087</v>
      </c>
      <c r="K42" t="s">
        <v>652</v>
      </c>
    </row>
    <row r="43" spans="1:11" x14ac:dyDescent="0.25">
      <c r="A43" t="s">
        <v>967</v>
      </c>
      <c r="I43" t="s">
        <v>1088</v>
      </c>
      <c r="K43" t="s">
        <v>653</v>
      </c>
    </row>
    <row r="44" spans="1:11" x14ac:dyDescent="0.25">
      <c r="A44" t="s">
        <v>969</v>
      </c>
      <c r="I44" t="s">
        <v>1089</v>
      </c>
      <c r="K44" t="s">
        <v>654</v>
      </c>
    </row>
    <row r="45" spans="1:11" x14ac:dyDescent="0.25">
      <c r="A45" t="s">
        <v>970</v>
      </c>
      <c r="I45" t="s">
        <v>1128</v>
      </c>
      <c r="K45" t="s">
        <v>655</v>
      </c>
    </row>
    <row r="46" spans="1:11" x14ac:dyDescent="0.25">
      <c r="A46" t="s">
        <v>972</v>
      </c>
      <c r="I46" t="s">
        <v>1129</v>
      </c>
      <c r="K46" t="s">
        <v>656</v>
      </c>
    </row>
    <row r="47" spans="1:11" x14ac:dyDescent="0.25">
      <c r="A47" t="s">
        <v>987</v>
      </c>
      <c r="I47" t="s">
        <v>1130</v>
      </c>
      <c r="K47" t="s">
        <v>657</v>
      </c>
    </row>
    <row r="48" spans="1:11" x14ac:dyDescent="0.25">
      <c r="A48" t="s">
        <v>1002</v>
      </c>
      <c r="I48" t="s">
        <v>944</v>
      </c>
      <c r="K48" t="s">
        <v>658</v>
      </c>
    </row>
    <row r="49" spans="1:11" x14ac:dyDescent="0.25">
      <c r="A49" t="s">
        <v>973</v>
      </c>
      <c r="I49" t="s">
        <v>1090</v>
      </c>
      <c r="K49" t="s">
        <v>659</v>
      </c>
    </row>
    <row r="50" spans="1:11" x14ac:dyDescent="0.25">
      <c r="A50" t="s">
        <v>975</v>
      </c>
      <c r="I50" t="s">
        <v>1131</v>
      </c>
      <c r="K50" t="s">
        <v>660</v>
      </c>
    </row>
    <row r="51" spans="1:11" x14ac:dyDescent="0.25">
      <c r="A51" t="s">
        <v>1042</v>
      </c>
      <c r="I51" t="s">
        <v>1132</v>
      </c>
      <c r="K51" t="s">
        <v>661</v>
      </c>
    </row>
    <row r="52" spans="1:11" x14ac:dyDescent="0.25">
      <c r="A52" t="s">
        <v>976</v>
      </c>
      <c r="I52" t="s">
        <v>1133</v>
      </c>
      <c r="K52" t="s">
        <v>662</v>
      </c>
    </row>
    <row r="53" spans="1:11" x14ac:dyDescent="0.25">
      <c r="A53" t="s">
        <v>1043</v>
      </c>
      <c r="I53" t="s">
        <v>1134</v>
      </c>
      <c r="K53" t="s">
        <v>663</v>
      </c>
    </row>
    <row r="54" spans="1:11" x14ac:dyDescent="0.25">
      <c r="A54" t="s">
        <v>978</v>
      </c>
      <c r="I54" t="s">
        <v>1135</v>
      </c>
      <c r="K54" t="s">
        <v>664</v>
      </c>
    </row>
    <row r="55" spans="1:11" x14ac:dyDescent="0.25">
      <c r="A55" t="s">
        <v>1038</v>
      </c>
      <c r="I55" t="s">
        <v>1136</v>
      </c>
      <c r="K55" t="s">
        <v>665</v>
      </c>
    </row>
    <row r="56" spans="1:11" x14ac:dyDescent="0.25">
      <c r="I56" t="s">
        <v>1137</v>
      </c>
      <c r="K56" t="s">
        <v>666</v>
      </c>
    </row>
    <row r="57" spans="1:11" x14ac:dyDescent="0.25">
      <c r="A57" s="61" t="s">
        <v>951</v>
      </c>
      <c r="I57" t="s">
        <v>1138</v>
      </c>
      <c r="K57" t="s">
        <v>667</v>
      </c>
    </row>
    <row r="58" spans="1:11" x14ac:dyDescent="0.25">
      <c r="A58" t="s">
        <v>948</v>
      </c>
      <c r="I58" t="s">
        <v>1139</v>
      </c>
      <c r="K58" t="s">
        <v>668</v>
      </c>
    </row>
    <row r="59" spans="1:11" x14ac:dyDescent="0.25">
      <c r="A59" t="s">
        <v>950</v>
      </c>
      <c r="I59" t="s">
        <v>1140</v>
      </c>
      <c r="K59" t="s">
        <v>669</v>
      </c>
    </row>
    <row r="60" spans="1:11" x14ac:dyDescent="0.25">
      <c r="A60" t="s">
        <v>1034</v>
      </c>
      <c r="I60" t="s">
        <v>1141</v>
      </c>
      <c r="K60" t="s">
        <v>670</v>
      </c>
    </row>
    <row r="61" spans="1:11" x14ac:dyDescent="0.25">
      <c r="A61" t="s">
        <v>952</v>
      </c>
      <c r="K61" t="s">
        <v>671</v>
      </c>
    </row>
    <row r="62" spans="1:11" x14ac:dyDescent="0.25">
      <c r="A62" t="s">
        <v>954</v>
      </c>
      <c r="K62" t="s">
        <v>672</v>
      </c>
    </row>
    <row r="63" spans="1:11" x14ac:dyDescent="0.25">
      <c r="A63" t="s">
        <v>1035</v>
      </c>
      <c r="K63" t="s">
        <v>673</v>
      </c>
    </row>
    <row r="64" spans="1:11" x14ac:dyDescent="0.25">
      <c r="A64" t="s">
        <v>956</v>
      </c>
      <c r="K64" t="s">
        <v>674</v>
      </c>
    </row>
    <row r="65" spans="1:11" x14ac:dyDescent="0.25">
      <c r="A65" t="s">
        <v>1036</v>
      </c>
      <c r="K65" t="s">
        <v>675</v>
      </c>
    </row>
    <row r="66" spans="1:11" x14ac:dyDescent="0.25">
      <c r="A66" t="s">
        <v>958</v>
      </c>
      <c r="K66" t="s">
        <v>676</v>
      </c>
    </row>
    <row r="67" spans="1:11" x14ac:dyDescent="0.25">
      <c r="A67" t="s">
        <v>960</v>
      </c>
      <c r="K67" t="s">
        <v>677</v>
      </c>
    </row>
    <row r="68" spans="1:11" x14ac:dyDescent="0.25">
      <c r="A68" t="s">
        <v>1044</v>
      </c>
      <c r="K68" t="s">
        <v>678</v>
      </c>
    </row>
    <row r="69" spans="1:11" x14ac:dyDescent="0.25">
      <c r="A69" t="s">
        <v>962</v>
      </c>
      <c r="K69" t="s">
        <v>679</v>
      </c>
    </row>
    <row r="70" spans="1:11" x14ac:dyDescent="0.25">
      <c r="A70" t="s">
        <v>995</v>
      </c>
      <c r="K70" t="s">
        <v>680</v>
      </c>
    </row>
    <row r="71" spans="1:11" x14ac:dyDescent="0.25">
      <c r="A71" t="s">
        <v>1045</v>
      </c>
      <c r="K71" t="s">
        <v>681</v>
      </c>
    </row>
    <row r="72" spans="1:11" x14ac:dyDescent="0.25">
      <c r="A72" t="s">
        <v>964</v>
      </c>
      <c r="K72" t="s">
        <v>682</v>
      </c>
    </row>
    <row r="73" spans="1:11" ht="30" x14ac:dyDescent="0.25">
      <c r="A73" s="62" t="s">
        <v>1037</v>
      </c>
      <c r="K73" t="s">
        <v>683</v>
      </c>
    </row>
    <row r="74" spans="1:11" x14ac:dyDescent="0.25">
      <c r="A74" t="s">
        <v>1046</v>
      </c>
      <c r="K74" t="s">
        <v>684</v>
      </c>
    </row>
    <row r="75" spans="1:11" x14ac:dyDescent="0.25">
      <c r="A75" t="s">
        <v>1041</v>
      </c>
      <c r="K75" t="s">
        <v>685</v>
      </c>
    </row>
    <row r="76" spans="1:11" x14ac:dyDescent="0.25">
      <c r="A76" t="s">
        <v>967</v>
      </c>
      <c r="K76" t="s">
        <v>686</v>
      </c>
    </row>
    <row r="77" spans="1:11" x14ac:dyDescent="0.25">
      <c r="A77" t="s">
        <v>969</v>
      </c>
      <c r="K77" t="s">
        <v>687</v>
      </c>
    </row>
    <row r="78" spans="1:11" x14ac:dyDescent="0.25">
      <c r="A78" t="s">
        <v>970</v>
      </c>
      <c r="K78" t="s">
        <v>688</v>
      </c>
    </row>
    <row r="79" spans="1:11" x14ac:dyDescent="0.25">
      <c r="A79" t="s">
        <v>972</v>
      </c>
      <c r="K79" t="s">
        <v>689</v>
      </c>
    </row>
    <row r="80" spans="1:11" x14ac:dyDescent="0.25">
      <c r="A80" t="s">
        <v>996</v>
      </c>
      <c r="K80" t="s">
        <v>690</v>
      </c>
    </row>
    <row r="81" spans="1:11" x14ac:dyDescent="0.25">
      <c r="A81" t="s">
        <v>973</v>
      </c>
      <c r="K81" t="s">
        <v>691</v>
      </c>
    </row>
    <row r="82" spans="1:11" x14ac:dyDescent="0.25">
      <c r="A82" t="s">
        <v>975</v>
      </c>
      <c r="K82" t="s">
        <v>692</v>
      </c>
    </row>
    <row r="83" spans="1:11" x14ac:dyDescent="0.25">
      <c r="A83" t="s">
        <v>976</v>
      </c>
      <c r="K83" t="s">
        <v>693</v>
      </c>
    </row>
    <row r="84" spans="1:11" x14ac:dyDescent="0.25">
      <c r="A84" t="s">
        <v>978</v>
      </c>
      <c r="K84" t="s">
        <v>694</v>
      </c>
    </row>
    <row r="85" spans="1:11" x14ac:dyDescent="0.25">
      <c r="A85" t="s">
        <v>1038</v>
      </c>
      <c r="K85" t="s">
        <v>695</v>
      </c>
    </row>
    <row r="86" spans="1:11" x14ac:dyDescent="0.25">
      <c r="K86" t="s">
        <v>696</v>
      </c>
    </row>
    <row r="87" spans="1:11" x14ac:dyDescent="0.25">
      <c r="A87" s="61" t="s">
        <v>925</v>
      </c>
      <c r="K87" t="s">
        <v>697</v>
      </c>
    </row>
    <row r="88" spans="1:11" x14ac:dyDescent="0.25">
      <c r="A88" t="s">
        <v>997</v>
      </c>
      <c r="K88" t="s">
        <v>698</v>
      </c>
    </row>
    <row r="89" spans="1:11" x14ac:dyDescent="0.25">
      <c r="K89" t="s">
        <v>699</v>
      </c>
    </row>
    <row r="90" spans="1:11" x14ac:dyDescent="0.25">
      <c r="A90" s="61" t="s">
        <v>953</v>
      </c>
      <c r="K90" t="s">
        <v>700</v>
      </c>
    </row>
    <row r="91" spans="1:11" x14ac:dyDescent="0.25">
      <c r="A91" t="s">
        <v>997</v>
      </c>
      <c r="K91" t="s">
        <v>701</v>
      </c>
    </row>
    <row r="92" spans="1:11" x14ac:dyDescent="0.25">
      <c r="A92" t="s">
        <v>1047</v>
      </c>
      <c r="K92" t="s">
        <v>702</v>
      </c>
    </row>
    <row r="93" spans="1:11" x14ac:dyDescent="0.25">
      <c r="K93" t="s">
        <v>703</v>
      </c>
    </row>
    <row r="94" spans="1:11" x14ac:dyDescent="0.25">
      <c r="A94" s="61" t="s">
        <v>955</v>
      </c>
      <c r="K94" t="s">
        <v>704</v>
      </c>
    </row>
    <row r="95" spans="1:11" x14ac:dyDescent="0.25">
      <c r="A95" t="s">
        <v>997</v>
      </c>
      <c r="K95" t="s">
        <v>705</v>
      </c>
    </row>
    <row r="96" spans="1:11" x14ac:dyDescent="0.25">
      <c r="K96" t="s">
        <v>706</v>
      </c>
    </row>
    <row r="97" spans="1:11" x14ac:dyDescent="0.25">
      <c r="A97" s="61" t="s">
        <v>957</v>
      </c>
      <c r="K97" t="s">
        <v>707</v>
      </c>
    </row>
    <row r="98" spans="1:11" x14ac:dyDescent="0.25">
      <c r="A98" t="s">
        <v>998</v>
      </c>
      <c r="K98" t="s">
        <v>708</v>
      </c>
    </row>
    <row r="99" spans="1:11" x14ac:dyDescent="0.25">
      <c r="A99" t="s">
        <v>999</v>
      </c>
      <c r="K99" t="s">
        <v>709</v>
      </c>
    </row>
    <row r="100" spans="1:11" x14ac:dyDescent="0.25">
      <c r="A100" t="s">
        <v>1000</v>
      </c>
      <c r="K100" t="s">
        <v>710</v>
      </c>
    </row>
    <row r="101" spans="1:11" x14ac:dyDescent="0.25">
      <c r="A101" t="s">
        <v>1001</v>
      </c>
      <c r="K101" t="s">
        <v>711</v>
      </c>
    </row>
    <row r="102" spans="1:11" x14ac:dyDescent="0.25">
      <c r="A102" t="s">
        <v>1048</v>
      </c>
      <c r="K102" t="s">
        <v>712</v>
      </c>
    </row>
    <row r="103" spans="1:11" x14ac:dyDescent="0.25">
      <c r="A103" t="s">
        <v>1041</v>
      </c>
      <c r="K103" t="s">
        <v>713</v>
      </c>
    </row>
    <row r="104" spans="1:11" x14ac:dyDescent="0.25">
      <c r="A104" t="s">
        <v>1049</v>
      </c>
      <c r="K104" t="s">
        <v>714</v>
      </c>
    </row>
    <row r="105" spans="1:11" x14ac:dyDescent="0.25">
      <c r="A105" t="s">
        <v>1002</v>
      </c>
      <c r="K105" t="s">
        <v>715</v>
      </c>
    </row>
    <row r="106" spans="1:11" x14ac:dyDescent="0.25">
      <c r="A106" t="s">
        <v>973</v>
      </c>
      <c r="K106" t="s">
        <v>716</v>
      </c>
    </row>
    <row r="107" spans="1:11" x14ac:dyDescent="0.25">
      <c r="A107" t="s">
        <v>975</v>
      </c>
      <c r="K107" t="s">
        <v>717</v>
      </c>
    </row>
    <row r="108" spans="1:11" x14ac:dyDescent="0.25">
      <c r="A108" t="s">
        <v>1003</v>
      </c>
      <c r="K108" t="s">
        <v>718</v>
      </c>
    </row>
    <row r="109" spans="1:11" x14ac:dyDescent="0.25">
      <c r="A109" t="s">
        <v>1038</v>
      </c>
      <c r="K109" t="s">
        <v>719</v>
      </c>
    </row>
    <row r="110" spans="1:11" x14ac:dyDescent="0.25">
      <c r="K110" t="s">
        <v>720</v>
      </c>
    </row>
    <row r="111" spans="1:11" x14ac:dyDescent="0.25">
      <c r="A111" s="61" t="s">
        <v>963</v>
      </c>
      <c r="K111" t="s">
        <v>721</v>
      </c>
    </row>
    <row r="112" spans="1:11" x14ac:dyDescent="0.25">
      <c r="A112" t="s">
        <v>1050</v>
      </c>
      <c r="K112" t="s">
        <v>722</v>
      </c>
    </row>
    <row r="113" spans="1:11" x14ac:dyDescent="0.25">
      <c r="A113" t="s">
        <v>1047</v>
      </c>
      <c r="K113" t="s">
        <v>723</v>
      </c>
    </row>
    <row r="114" spans="1:11" x14ac:dyDescent="0.25">
      <c r="K114" t="s">
        <v>724</v>
      </c>
    </row>
    <row r="115" spans="1:11" x14ac:dyDescent="0.25">
      <c r="A115" s="61" t="s">
        <v>965</v>
      </c>
      <c r="K115" t="s">
        <v>725</v>
      </c>
    </row>
    <row r="116" spans="1:11" x14ac:dyDescent="0.25">
      <c r="A116" t="s">
        <v>998</v>
      </c>
      <c r="K116" t="s">
        <v>726</v>
      </c>
    </row>
    <row r="117" spans="1:11" x14ac:dyDescent="0.25">
      <c r="A117" t="s">
        <v>1049</v>
      </c>
      <c r="K117" t="s">
        <v>727</v>
      </c>
    </row>
    <row r="118" spans="1:11" x14ac:dyDescent="0.25">
      <c r="A118" t="s">
        <v>973</v>
      </c>
      <c r="K118" t="s">
        <v>728</v>
      </c>
    </row>
    <row r="119" spans="1:11" x14ac:dyDescent="0.25">
      <c r="A119" t="s">
        <v>975</v>
      </c>
      <c r="K119" t="s">
        <v>729</v>
      </c>
    </row>
    <row r="120" spans="1:11" x14ac:dyDescent="0.25">
      <c r="A120" t="s">
        <v>976</v>
      </c>
      <c r="K120" t="s">
        <v>730</v>
      </c>
    </row>
    <row r="121" spans="1:11" x14ac:dyDescent="0.25">
      <c r="A121" t="s">
        <v>978</v>
      </c>
      <c r="K121" t="s">
        <v>731</v>
      </c>
    </row>
    <row r="122" spans="1:11" x14ac:dyDescent="0.25">
      <c r="A122" t="s">
        <v>1038</v>
      </c>
      <c r="K122" t="s">
        <v>732</v>
      </c>
    </row>
    <row r="123" spans="1:11" x14ac:dyDescent="0.25">
      <c r="K123" t="s">
        <v>733</v>
      </c>
    </row>
    <row r="124" spans="1:11" x14ac:dyDescent="0.25">
      <c r="A124" s="61" t="s">
        <v>966</v>
      </c>
      <c r="K124" t="s">
        <v>734</v>
      </c>
    </row>
    <row r="125" spans="1:11" x14ac:dyDescent="0.25">
      <c r="A125" t="s">
        <v>1049</v>
      </c>
      <c r="K125" t="s">
        <v>735</v>
      </c>
    </row>
    <row r="126" spans="1:11" x14ac:dyDescent="0.25">
      <c r="K126" t="s">
        <v>736</v>
      </c>
    </row>
    <row r="127" spans="1:11" x14ac:dyDescent="0.25">
      <c r="A127" s="61" t="s">
        <v>959</v>
      </c>
      <c r="K127" t="s">
        <v>737</v>
      </c>
    </row>
    <row r="128" spans="1:11" x14ac:dyDescent="0.25">
      <c r="A128" t="s">
        <v>998</v>
      </c>
      <c r="K128" t="s">
        <v>738</v>
      </c>
    </row>
    <row r="129" spans="1:11" x14ac:dyDescent="0.25">
      <c r="A129" t="s">
        <v>1049</v>
      </c>
      <c r="K129" t="s">
        <v>739</v>
      </c>
    </row>
    <row r="130" spans="1:11" x14ac:dyDescent="0.25">
      <c r="A130" t="s">
        <v>976</v>
      </c>
      <c r="K130" t="s">
        <v>740</v>
      </c>
    </row>
    <row r="131" spans="1:11" x14ac:dyDescent="0.25">
      <c r="A131" t="s">
        <v>978</v>
      </c>
      <c r="K131" t="s">
        <v>741</v>
      </c>
    </row>
    <row r="132" spans="1:11" x14ac:dyDescent="0.25">
      <c r="A132" t="s">
        <v>1038</v>
      </c>
      <c r="K132" t="s">
        <v>742</v>
      </c>
    </row>
    <row r="133" spans="1:11" x14ac:dyDescent="0.25">
      <c r="A133" t="s">
        <v>1051</v>
      </c>
      <c r="K133" t="s">
        <v>743</v>
      </c>
    </row>
    <row r="134" spans="1:11" x14ac:dyDescent="0.25">
      <c r="K134" t="s">
        <v>744</v>
      </c>
    </row>
    <row r="135" spans="1:11" x14ac:dyDescent="0.25">
      <c r="A135" s="61" t="s">
        <v>961</v>
      </c>
      <c r="K135" t="s">
        <v>745</v>
      </c>
    </row>
    <row r="136" spans="1:11" x14ac:dyDescent="0.25">
      <c r="A136" t="s">
        <v>998</v>
      </c>
      <c r="K136" t="s">
        <v>746</v>
      </c>
    </row>
    <row r="137" spans="1:11" x14ac:dyDescent="0.25">
      <c r="A137" t="s">
        <v>1049</v>
      </c>
      <c r="K137" t="s">
        <v>747</v>
      </c>
    </row>
    <row r="138" spans="1:11" x14ac:dyDescent="0.25">
      <c r="A138" t="s">
        <v>1002</v>
      </c>
      <c r="K138" t="s">
        <v>748</v>
      </c>
    </row>
    <row r="139" spans="1:11" x14ac:dyDescent="0.25">
      <c r="A139" t="s">
        <v>1003</v>
      </c>
      <c r="K139" t="s">
        <v>749</v>
      </c>
    </row>
    <row r="140" spans="1:11" x14ac:dyDescent="0.25">
      <c r="A140" t="s">
        <v>976</v>
      </c>
      <c r="K140" t="s">
        <v>750</v>
      </c>
    </row>
    <row r="141" spans="1:11" x14ac:dyDescent="0.25">
      <c r="A141" t="s">
        <v>1038</v>
      </c>
      <c r="K141" t="s">
        <v>751</v>
      </c>
    </row>
    <row r="142" spans="1:11" x14ac:dyDescent="0.25">
      <c r="A142" t="s">
        <v>1004</v>
      </c>
      <c r="K142" t="s">
        <v>752</v>
      </c>
    </row>
    <row r="143" spans="1:11" x14ac:dyDescent="0.25">
      <c r="A143" t="s">
        <v>1052</v>
      </c>
      <c r="K143" t="s">
        <v>753</v>
      </c>
    </row>
    <row r="144" spans="1:11" x14ac:dyDescent="0.25">
      <c r="A144" t="s">
        <v>1053</v>
      </c>
      <c r="K144" t="s">
        <v>754</v>
      </c>
    </row>
    <row r="145" spans="1:11" x14ac:dyDescent="0.25">
      <c r="K145" t="s">
        <v>755</v>
      </c>
    </row>
    <row r="146" spans="1:11" x14ac:dyDescent="0.25">
      <c r="A146" s="61" t="s">
        <v>926</v>
      </c>
      <c r="K146" t="s">
        <v>756</v>
      </c>
    </row>
    <row r="147" spans="1:11" x14ac:dyDescent="0.25">
      <c r="A147" t="s">
        <v>998</v>
      </c>
      <c r="K147" t="s">
        <v>757</v>
      </c>
    </row>
    <row r="148" spans="1:11" x14ac:dyDescent="0.25">
      <c r="A148" t="s">
        <v>1049</v>
      </c>
      <c r="K148" t="s">
        <v>758</v>
      </c>
    </row>
    <row r="149" spans="1:11" x14ac:dyDescent="0.25">
      <c r="A149" t="s">
        <v>973</v>
      </c>
      <c r="K149" t="s">
        <v>759</v>
      </c>
    </row>
    <row r="150" spans="1:11" x14ac:dyDescent="0.25">
      <c r="A150" t="s">
        <v>975</v>
      </c>
      <c r="K150" t="s">
        <v>760</v>
      </c>
    </row>
    <row r="151" spans="1:11" x14ac:dyDescent="0.25">
      <c r="A151" t="s">
        <v>976</v>
      </c>
      <c r="K151" t="s">
        <v>761</v>
      </c>
    </row>
    <row r="152" spans="1:11" x14ac:dyDescent="0.25">
      <c r="A152" t="s">
        <v>1038</v>
      </c>
      <c r="K152" t="s">
        <v>762</v>
      </c>
    </row>
    <row r="153" spans="1:11" x14ac:dyDescent="0.25">
      <c r="A153" t="s">
        <v>1005</v>
      </c>
      <c r="K153" t="s">
        <v>763</v>
      </c>
    </row>
    <row r="154" spans="1:11" x14ac:dyDescent="0.25">
      <c r="K154" t="s">
        <v>764</v>
      </c>
    </row>
    <row r="155" spans="1:11" x14ac:dyDescent="0.25">
      <c r="A155" s="61" t="s">
        <v>927</v>
      </c>
      <c r="K155" t="s">
        <v>765</v>
      </c>
    </row>
    <row r="156" spans="1:11" x14ac:dyDescent="0.25">
      <c r="A156" t="s">
        <v>1049</v>
      </c>
      <c r="K156" t="s">
        <v>766</v>
      </c>
    </row>
    <row r="157" spans="1:11" x14ac:dyDescent="0.25">
      <c r="K157" t="s">
        <v>767</v>
      </c>
    </row>
    <row r="158" spans="1:11" x14ac:dyDescent="0.25">
      <c r="A158" s="61" t="s">
        <v>928</v>
      </c>
      <c r="K158" t="s">
        <v>768</v>
      </c>
    </row>
    <row r="159" spans="1:11" x14ac:dyDescent="0.25">
      <c r="A159" t="s">
        <v>1050</v>
      </c>
      <c r="K159" t="s">
        <v>769</v>
      </c>
    </row>
    <row r="160" spans="1:11" x14ac:dyDescent="0.25">
      <c r="A160" t="s">
        <v>1047</v>
      </c>
      <c r="K160" t="s">
        <v>770</v>
      </c>
    </row>
    <row r="161" spans="1:11" x14ac:dyDescent="0.25">
      <c r="K161" t="s">
        <v>771</v>
      </c>
    </row>
    <row r="162" spans="1:11" x14ac:dyDescent="0.25">
      <c r="A162" s="61" t="s">
        <v>971</v>
      </c>
      <c r="K162" t="s">
        <v>772</v>
      </c>
    </row>
    <row r="163" spans="1:11" x14ac:dyDescent="0.25">
      <c r="A163" t="s">
        <v>1054</v>
      </c>
      <c r="K163" t="s">
        <v>773</v>
      </c>
    </row>
    <row r="164" spans="1:11" x14ac:dyDescent="0.25">
      <c r="K164" t="s">
        <v>774</v>
      </c>
    </row>
    <row r="165" spans="1:11" x14ac:dyDescent="0.25">
      <c r="A165" s="61" t="s">
        <v>929</v>
      </c>
      <c r="K165" t="s">
        <v>775</v>
      </c>
    </row>
    <row r="166" spans="1:11" x14ac:dyDescent="0.25">
      <c r="A166" t="s">
        <v>1054</v>
      </c>
      <c r="K166" t="s">
        <v>776</v>
      </c>
    </row>
    <row r="167" spans="1:11" x14ac:dyDescent="0.25">
      <c r="K167" t="s">
        <v>777</v>
      </c>
    </row>
    <row r="168" spans="1:11" x14ac:dyDescent="0.25">
      <c r="A168" s="61" t="s">
        <v>974</v>
      </c>
      <c r="K168" t="s">
        <v>778</v>
      </c>
    </row>
    <row r="169" spans="1:11" x14ac:dyDescent="0.25">
      <c r="A169" t="s">
        <v>1054</v>
      </c>
      <c r="K169" t="s">
        <v>779</v>
      </c>
    </row>
    <row r="170" spans="1:11" x14ac:dyDescent="0.25">
      <c r="K170" t="s">
        <v>780</v>
      </c>
    </row>
    <row r="171" spans="1:11" x14ac:dyDescent="0.25">
      <c r="A171" s="61" t="s">
        <v>930</v>
      </c>
      <c r="K171" t="s">
        <v>781</v>
      </c>
    </row>
    <row r="172" spans="1:11" x14ac:dyDescent="0.25">
      <c r="A172" t="s">
        <v>1052</v>
      </c>
      <c r="K172" t="s">
        <v>782</v>
      </c>
    </row>
    <row r="173" spans="1:11" x14ac:dyDescent="0.25">
      <c r="K173" t="s">
        <v>783</v>
      </c>
    </row>
    <row r="174" spans="1:11" x14ac:dyDescent="0.25">
      <c r="A174" s="61" t="s">
        <v>977</v>
      </c>
      <c r="K174" t="s">
        <v>784</v>
      </c>
    </row>
    <row r="175" spans="1:11" x14ac:dyDescent="0.25">
      <c r="A175" t="s">
        <v>998</v>
      </c>
      <c r="K175" t="s">
        <v>785</v>
      </c>
    </row>
    <row r="176" spans="1:11" x14ac:dyDescent="0.25">
      <c r="A176" t="s">
        <v>1001</v>
      </c>
      <c r="K176" t="s">
        <v>786</v>
      </c>
    </row>
    <row r="177" spans="1:11" x14ac:dyDescent="0.25">
      <c r="A177" t="s">
        <v>1049</v>
      </c>
      <c r="K177" t="s">
        <v>787</v>
      </c>
    </row>
    <row r="178" spans="1:11" x14ac:dyDescent="0.25">
      <c r="A178" t="s">
        <v>973</v>
      </c>
      <c r="K178" t="s">
        <v>788</v>
      </c>
    </row>
    <row r="179" spans="1:11" x14ac:dyDescent="0.25">
      <c r="A179" t="s">
        <v>975</v>
      </c>
      <c r="K179" t="s">
        <v>789</v>
      </c>
    </row>
    <row r="180" spans="1:11" x14ac:dyDescent="0.25">
      <c r="A180" t="s">
        <v>1038</v>
      </c>
      <c r="K180" t="s">
        <v>790</v>
      </c>
    </row>
    <row r="181" spans="1:11" x14ac:dyDescent="0.25">
      <c r="A181" t="s">
        <v>1053</v>
      </c>
      <c r="K181" t="s">
        <v>791</v>
      </c>
    </row>
    <row r="182" spans="1:11" x14ac:dyDescent="0.25">
      <c r="K182" t="s">
        <v>792</v>
      </c>
    </row>
    <row r="183" spans="1:11" x14ac:dyDescent="0.25">
      <c r="A183" s="61" t="s">
        <v>979</v>
      </c>
      <c r="K183" t="s">
        <v>793</v>
      </c>
    </row>
    <row r="184" spans="1:11" x14ac:dyDescent="0.25">
      <c r="A184" t="s">
        <v>1049</v>
      </c>
      <c r="K184" t="s">
        <v>794</v>
      </c>
    </row>
    <row r="185" spans="1:11" x14ac:dyDescent="0.25">
      <c r="A185" t="s">
        <v>1002</v>
      </c>
      <c r="K185" t="s">
        <v>795</v>
      </c>
    </row>
    <row r="186" spans="1:11" x14ac:dyDescent="0.25">
      <c r="A186" t="s">
        <v>973</v>
      </c>
      <c r="K186" t="s">
        <v>796</v>
      </c>
    </row>
    <row r="187" spans="1:11" x14ac:dyDescent="0.25">
      <c r="A187" t="s">
        <v>975</v>
      </c>
      <c r="K187" t="s">
        <v>797</v>
      </c>
    </row>
    <row r="188" spans="1:11" x14ac:dyDescent="0.25">
      <c r="A188" t="s">
        <v>1003</v>
      </c>
      <c r="K188" t="s">
        <v>798</v>
      </c>
    </row>
    <row r="189" spans="1:11" x14ac:dyDescent="0.25">
      <c r="A189" t="s">
        <v>976</v>
      </c>
      <c r="K189" t="s">
        <v>799</v>
      </c>
    </row>
    <row r="190" spans="1:11" x14ac:dyDescent="0.25">
      <c r="A190" t="s">
        <v>1006</v>
      </c>
      <c r="K190" t="s">
        <v>800</v>
      </c>
    </row>
    <row r="191" spans="1:11" x14ac:dyDescent="0.25">
      <c r="A191" t="s">
        <v>1007</v>
      </c>
      <c r="K191" t="s">
        <v>801</v>
      </c>
    </row>
    <row r="192" spans="1:11" x14ac:dyDescent="0.25">
      <c r="K192" t="s">
        <v>802</v>
      </c>
    </row>
    <row r="193" spans="1:11" x14ac:dyDescent="0.25">
      <c r="A193" s="61" t="s">
        <v>931</v>
      </c>
      <c r="K193" t="s">
        <v>803</v>
      </c>
    </row>
    <row r="194" spans="1:11" x14ac:dyDescent="0.25">
      <c r="A194" t="s">
        <v>998</v>
      </c>
      <c r="K194" t="s">
        <v>804</v>
      </c>
    </row>
    <row r="195" spans="1:11" x14ac:dyDescent="0.25">
      <c r="A195" t="s">
        <v>1049</v>
      </c>
      <c r="K195" t="s">
        <v>805</v>
      </c>
    </row>
    <row r="196" spans="1:11" x14ac:dyDescent="0.25">
      <c r="A196" t="s">
        <v>1038</v>
      </c>
      <c r="K196" t="s">
        <v>806</v>
      </c>
    </row>
    <row r="197" spans="1:11" x14ac:dyDescent="0.25">
      <c r="K197" t="s">
        <v>807</v>
      </c>
    </row>
    <row r="198" spans="1:11" x14ac:dyDescent="0.25">
      <c r="A198" s="61" t="s">
        <v>980</v>
      </c>
      <c r="K198" t="s">
        <v>808</v>
      </c>
    </row>
    <row r="199" spans="1:11" x14ac:dyDescent="0.25">
      <c r="A199" t="s">
        <v>998</v>
      </c>
      <c r="K199" t="s">
        <v>809</v>
      </c>
    </row>
    <row r="200" spans="1:11" x14ac:dyDescent="0.25">
      <c r="A200" t="s">
        <v>972</v>
      </c>
      <c r="K200" t="s">
        <v>810</v>
      </c>
    </row>
    <row r="201" spans="1:11" x14ac:dyDescent="0.25">
      <c r="A201" t="s">
        <v>1008</v>
      </c>
      <c r="K201" t="s">
        <v>811</v>
      </c>
    </row>
    <row r="202" spans="1:11" x14ac:dyDescent="0.25">
      <c r="A202" t="s">
        <v>987</v>
      </c>
      <c r="K202" t="s">
        <v>812</v>
      </c>
    </row>
    <row r="203" spans="1:11" x14ac:dyDescent="0.25">
      <c r="A203" t="s">
        <v>1055</v>
      </c>
      <c r="K203" t="s">
        <v>813</v>
      </c>
    </row>
    <row r="204" spans="1:11" x14ac:dyDescent="0.25">
      <c r="A204" t="s">
        <v>1056</v>
      </c>
      <c r="K204" t="s">
        <v>814</v>
      </c>
    </row>
    <row r="205" spans="1:11" x14ac:dyDescent="0.25">
      <c r="A205" t="s">
        <v>1057</v>
      </c>
      <c r="K205" t="s">
        <v>815</v>
      </c>
    </row>
    <row r="206" spans="1:11" x14ac:dyDescent="0.25">
      <c r="A206" t="s">
        <v>975</v>
      </c>
      <c r="K206" t="s">
        <v>816</v>
      </c>
    </row>
    <row r="207" spans="1:11" x14ac:dyDescent="0.25">
      <c r="A207" t="s">
        <v>1038</v>
      </c>
      <c r="K207" t="s">
        <v>817</v>
      </c>
    </row>
    <row r="208" spans="1:11" x14ac:dyDescent="0.25">
      <c r="A208" t="s">
        <v>1053</v>
      </c>
      <c r="K208" t="s">
        <v>818</v>
      </c>
    </row>
    <row r="209" spans="1:11" x14ac:dyDescent="0.25">
      <c r="K209" t="s">
        <v>819</v>
      </c>
    </row>
    <row r="210" spans="1:11" x14ac:dyDescent="0.25">
      <c r="A210" s="61" t="s">
        <v>981</v>
      </c>
      <c r="K210" t="s">
        <v>820</v>
      </c>
    </row>
    <row r="211" spans="1:11" x14ac:dyDescent="0.25">
      <c r="A211" t="s">
        <v>987</v>
      </c>
      <c r="K211" t="s">
        <v>821</v>
      </c>
    </row>
    <row r="212" spans="1:11" x14ac:dyDescent="0.25">
      <c r="A212" t="s">
        <v>1057</v>
      </c>
      <c r="K212" t="s">
        <v>822</v>
      </c>
    </row>
    <row r="213" spans="1:11" x14ac:dyDescent="0.25">
      <c r="K213" t="s">
        <v>823</v>
      </c>
    </row>
    <row r="214" spans="1:11" x14ac:dyDescent="0.25">
      <c r="A214" s="61" t="s">
        <v>932</v>
      </c>
      <c r="K214" t="s">
        <v>824</v>
      </c>
    </row>
    <row r="215" spans="1:11" x14ac:dyDescent="0.25">
      <c r="A215" t="s">
        <v>1049</v>
      </c>
      <c r="K215" t="s">
        <v>825</v>
      </c>
    </row>
    <row r="216" spans="1:11" x14ac:dyDescent="0.25">
      <c r="A216" t="s">
        <v>973</v>
      </c>
      <c r="K216" t="s">
        <v>826</v>
      </c>
    </row>
    <row r="217" spans="1:11" x14ac:dyDescent="0.25">
      <c r="A217" t="s">
        <v>975</v>
      </c>
      <c r="K217" t="s">
        <v>827</v>
      </c>
    </row>
    <row r="218" spans="1:11" x14ac:dyDescent="0.25">
      <c r="A218" t="s">
        <v>976</v>
      </c>
      <c r="K218" t="s">
        <v>828</v>
      </c>
    </row>
    <row r="219" spans="1:11" x14ac:dyDescent="0.25">
      <c r="K219" t="s">
        <v>829</v>
      </c>
    </row>
    <row r="220" spans="1:11" x14ac:dyDescent="0.25">
      <c r="A220" s="61" t="s">
        <v>933</v>
      </c>
      <c r="K220" t="s">
        <v>830</v>
      </c>
    </row>
    <row r="221" spans="1:11" x14ac:dyDescent="0.25">
      <c r="A221" t="s">
        <v>1049</v>
      </c>
      <c r="K221" t="s">
        <v>831</v>
      </c>
    </row>
    <row r="222" spans="1:11" x14ac:dyDescent="0.25">
      <c r="K222" t="s">
        <v>832</v>
      </c>
    </row>
    <row r="223" spans="1:11" x14ac:dyDescent="0.25">
      <c r="A223" s="61" t="s">
        <v>934</v>
      </c>
      <c r="K223" t="s">
        <v>833</v>
      </c>
    </row>
    <row r="224" spans="1:11" x14ac:dyDescent="0.25">
      <c r="A224" t="s">
        <v>1049</v>
      </c>
      <c r="K224" t="s">
        <v>834</v>
      </c>
    </row>
    <row r="225" spans="1:11" x14ac:dyDescent="0.25">
      <c r="K225" t="s">
        <v>835</v>
      </c>
    </row>
    <row r="226" spans="1:11" x14ac:dyDescent="0.25">
      <c r="A226" s="61" t="s">
        <v>935</v>
      </c>
      <c r="K226" t="s">
        <v>836</v>
      </c>
    </row>
    <row r="227" spans="1:11" x14ac:dyDescent="0.25">
      <c r="A227" t="s">
        <v>998</v>
      </c>
      <c r="K227" t="s">
        <v>837</v>
      </c>
    </row>
    <row r="228" spans="1:11" x14ac:dyDescent="0.25">
      <c r="A228" t="s">
        <v>973</v>
      </c>
      <c r="K228" t="s">
        <v>838</v>
      </c>
    </row>
    <row r="229" spans="1:11" x14ac:dyDescent="0.25">
      <c r="A229" t="s">
        <v>975</v>
      </c>
      <c r="K229" t="s">
        <v>839</v>
      </c>
    </row>
    <row r="230" spans="1:11" x14ac:dyDescent="0.25">
      <c r="A230" t="s">
        <v>1038</v>
      </c>
      <c r="K230" t="s">
        <v>840</v>
      </c>
    </row>
    <row r="231" spans="1:11" x14ac:dyDescent="0.25">
      <c r="A231" t="s">
        <v>1054</v>
      </c>
      <c r="K231" t="s">
        <v>841</v>
      </c>
    </row>
    <row r="232" spans="1:11" x14ac:dyDescent="0.25">
      <c r="A232" t="s">
        <v>1005</v>
      </c>
      <c r="K232" t="s">
        <v>842</v>
      </c>
    </row>
    <row r="233" spans="1:11" x14ac:dyDescent="0.25">
      <c r="A233" t="s">
        <v>1052</v>
      </c>
      <c r="K233" t="s">
        <v>843</v>
      </c>
    </row>
    <row r="234" spans="1:11" x14ac:dyDescent="0.25">
      <c r="A234" t="s">
        <v>1053</v>
      </c>
      <c r="K234" t="s">
        <v>844</v>
      </c>
    </row>
    <row r="235" spans="1:11" x14ac:dyDescent="0.25">
      <c r="K235" t="s">
        <v>845</v>
      </c>
    </row>
    <row r="236" spans="1:11" x14ac:dyDescent="0.25">
      <c r="A236" s="61" t="s">
        <v>936</v>
      </c>
      <c r="K236" t="s">
        <v>846</v>
      </c>
    </row>
    <row r="237" spans="1:11" x14ac:dyDescent="0.25">
      <c r="A237" t="s">
        <v>1049</v>
      </c>
      <c r="K237" t="s">
        <v>847</v>
      </c>
    </row>
    <row r="238" spans="1:11" x14ac:dyDescent="0.25">
      <c r="A238" t="s">
        <v>1002</v>
      </c>
      <c r="K238" t="s">
        <v>848</v>
      </c>
    </row>
    <row r="239" spans="1:11" x14ac:dyDescent="0.25">
      <c r="A239" t="s">
        <v>1003</v>
      </c>
      <c r="K239" t="s">
        <v>849</v>
      </c>
    </row>
    <row r="240" spans="1:11" x14ac:dyDescent="0.25">
      <c r="A240" t="s">
        <v>976</v>
      </c>
      <c r="K240" t="s">
        <v>850</v>
      </c>
    </row>
    <row r="241" spans="1:11" x14ac:dyDescent="0.25">
      <c r="K241" t="s">
        <v>851</v>
      </c>
    </row>
    <row r="242" spans="1:11" x14ac:dyDescent="0.25">
      <c r="A242" s="61" t="s">
        <v>937</v>
      </c>
      <c r="K242" t="s">
        <v>852</v>
      </c>
    </row>
    <row r="243" spans="1:11" x14ac:dyDescent="0.25">
      <c r="A243" t="s">
        <v>1052</v>
      </c>
      <c r="K243" t="s">
        <v>853</v>
      </c>
    </row>
    <row r="244" spans="1:11" x14ac:dyDescent="0.25">
      <c r="K244" t="s">
        <v>854</v>
      </c>
    </row>
    <row r="245" spans="1:11" x14ac:dyDescent="0.25">
      <c r="A245" s="61" t="s">
        <v>938</v>
      </c>
      <c r="K245" t="s">
        <v>855</v>
      </c>
    </row>
    <row r="246" spans="1:11" x14ac:dyDescent="0.25">
      <c r="A246" t="s">
        <v>998</v>
      </c>
      <c r="K246" t="s">
        <v>856</v>
      </c>
    </row>
    <row r="247" spans="1:11" x14ac:dyDescent="0.25">
      <c r="A247" t="s">
        <v>1002</v>
      </c>
      <c r="K247" t="s">
        <v>857</v>
      </c>
    </row>
    <row r="248" spans="1:11" x14ac:dyDescent="0.25">
      <c r="A248" t="s">
        <v>973</v>
      </c>
      <c r="K248" t="s">
        <v>858</v>
      </c>
    </row>
    <row r="249" spans="1:11" x14ac:dyDescent="0.25">
      <c r="A249" t="s">
        <v>975</v>
      </c>
      <c r="K249" t="s">
        <v>1074</v>
      </c>
    </row>
    <row r="250" spans="1:11" x14ac:dyDescent="0.25">
      <c r="A250" t="s">
        <v>1003</v>
      </c>
      <c r="K250" t="s">
        <v>1053</v>
      </c>
    </row>
    <row r="251" spans="1:11" x14ac:dyDescent="0.25">
      <c r="A251" t="s">
        <v>976</v>
      </c>
      <c r="K251" t="s">
        <v>1075</v>
      </c>
    </row>
    <row r="252" spans="1:11" x14ac:dyDescent="0.25">
      <c r="A252" t="s">
        <v>1038</v>
      </c>
    </row>
    <row r="253" spans="1:11" x14ac:dyDescent="0.25">
      <c r="A253" t="s">
        <v>1058</v>
      </c>
    </row>
    <row r="254" spans="1:11" x14ac:dyDescent="0.25">
      <c r="A254" t="s">
        <v>1054</v>
      </c>
    </row>
    <row r="256" spans="1:11" x14ac:dyDescent="0.25">
      <c r="A256" s="61" t="s">
        <v>939</v>
      </c>
    </row>
    <row r="257" spans="1:1" x14ac:dyDescent="0.25">
      <c r="A257" t="s">
        <v>1049</v>
      </c>
    </row>
    <row r="259" spans="1:1" x14ac:dyDescent="0.25">
      <c r="A259" s="61" t="s">
        <v>940</v>
      </c>
    </row>
    <row r="260" spans="1:1" x14ac:dyDescent="0.25">
      <c r="A260" t="s">
        <v>1049</v>
      </c>
    </row>
    <row r="261" spans="1:1" x14ac:dyDescent="0.25">
      <c r="A261" t="s">
        <v>1005</v>
      </c>
    </row>
    <row r="263" spans="1:1" x14ac:dyDescent="0.25">
      <c r="A263" s="61" t="s">
        <v>941</v>
      </c>
    </row>
    <row r="264" spans="1:1" x14ac:dyDescent="0.25">
      <c r="A264" t="s">
        <v>1049</v>
      </c>
    </row>
    <row r="265" spans="1:1" x14ac:dyDescent="0.25">
      <c r="A265" t="s">
        <v>973</v>
      </c>
    </row>
    <row r="266" spans="1:1" x14ac:dyDescent="0.25">
      <c r="A266" t="s">
        <v>975</v>
      </c>
    </row>
    <row r="267" spans="1:1" x14ac:dyDescent="0.25">
      <c r="A267" t="s">
        <v>976</v>
      </c>
    </row>
    <row r="268" spans="1:1" x14ac:dyDescent="0.25">
      <c r="A268" t="s">
        <v>978</v>
      </c>
    </row>
    <row r="269" spans="1:1" x14ac:dyDescent="0.25">
      <c r="A269" t="s">
        <v>1005</v>
      </c>
    </row>
    <row r="271" spans="1:1" x14ac:dyDescent="0.25">
      <c r="A271" s="61" t="s">
        <v>982</v>
      </c>
    </row>
    <row r="272" spans="1:1" x14ac:dyDescent="0.25">
      <c r="A272" t="s">
        <v>1041</v>
      </c>
    </row>
    <row r="273" spans="1:1" x14ac:dyDescent="0.25">
      <c r="A273" t="s">
        <v>1002</v>
      </c>
    </row>
    <row r="274" spans="1:1" x14ac:dyDescent="0.25">
      <c r="A274" t="s">
        <v>973</v>
      </c>
    </row>
    <row r="275" spans="1:1" x14ac:dyDescent="0.25">
      <c r="A275" t="s">
        <v>975</v>
      </c>
    </row>
    <row r="276" spans="1:1" x14ac:dyDescent="0.25">
      <c r="A276" t="s">
        <v>1003</v>
      </c>
    </row>
    <row r="277" spans="1:1" x14ac:dyDescent="0.25">
      <c r="A277" t="s">
        <v>976</v>
      </c>
    </row>
    <row r="278" spans="1:1" x14ac:dyDescent="0.25">
      <c r="A278" t="s">
        <v>1006</v>
      </c>
    </row>
    <row r="279" spans="1:1" x14ac:dyDescent="0.25">
      <c r="A279" t="s">
        <v>1007</v>
      </c>
    </row>
    <row r="280" spans="1:1" x14ac:dyDescent="0.25">
      <c r="A280" t="s">
        <v>978</v>
      </c>
    </row>
    <row r="282" spans="1:1" x14ac:dyDescent="0.25">
      <c r="A282" s="61" t="s">
        <v>983</v>
      </c>
    </row>
    <row r="283" spans="1:1" x14ac:dyDescent="0.25">
      <c r="A283" t="s">
        <v>998</v>
      </c>
    </row>
    <row r="284" spans="1:1" x14ac:dyDescent="0.25">
      <c r="A284" t="s">
        <v>1049</v>
      </c>
    </row>
    <row r="285" spans="1:1" x14ac:dyDescent="0.25">
      <c r="A285" t="s">
        <v>973</v>
      </c>
    </row>
    <row r="286" spans="1:1" x14ac:dyDescent="0.25">
      <c r="A286" t="s">
        <v>975</v>
      </c>
    </row>
    <row r="287" spans="1:1" x14ac:dyDescent="0.25">
      <c r="A287" t="s">
        <v>976</v>
      </c>
    </row>
    <row r="288" spans="1:1" x14ac:dyDescent="0.25">
      <c r="A288" t="s">
        <v>978</v>
      </c>
    </row>
    <row r="289" spans="1:1" x14ac:dyDescent="0.25">
      <c r="A289" t="s">
        <v>1038</v>
      </c>
    </row>
    <row r="290" spans="1:1" x14ac:dyDescent="0.25">
      <c r="A290" t="s">
        <v>1004</v>
      </c>
    </row>
    <row r="292" spans="1:1" x14ac:dyDescent="0.25">
      <c r="A292" s="61" t="s">
        <v>984</v>
      </c>
    </row>
    <row r="293" spans="1:1" x14ac:dyDescent="0.25">
      <c r="A293" t="s">
        <v>1049</v>
      </c>
    </row>
    <row r="294" spans="1:1" x14ac:dyDescent="0.25">
      <c r="A294" t="s">
        <v>1009</v>
      </c>
    </row>
    <row r="295" spans="1:1" x14ac:dyDescent="0.25">
      <c r="A295" t="s">
        <v>1002</v>
      </c>
    </row>
    <row r="296" spans="1:1" x14ac:dyDescent="0.25">
      <c r="A296" t="s">
        <v>973</v>
      </c>
    </row>
    <row r="297" spans="1:1" x14ac:dyDescent="0.25">
      <c r="A297" t="s">
        <v>975</v>
      </c>
    </row>
    <row r="298" spans="1:1" x14ac:dyDescent="0.25">
      <c r="A298" t="s">
        <v>1003</v>
      </c>
    </row>
    <row r="299" spans="1:1" x14ac:dyDescent="0.25">
      <c r="A299" t="s">
        <v>976</v>
      </c>
    </row>
    <row r="300" spans="1:1" x14ac:dyDescent="0.25">
      <c r="A300" t="s">
        <v>978</v>
      </c>
    </row>
    <row r="302" spans="1:1" x14ac:dyDescent="0.25">
      <c r="A302" s="61" t="s">
        <v>942</v>
      </c>
    </row>
    <row r="303" spans="1:1" x14ac:dyDescent="0.25">
      <c r="A303" t="s">
        <v>968</v>
      </c>
    </row>
    <row r="305" spans="1:1" x14ac:dyDescent="0.25">
      <c r="A305" s="61" t="s">
        <v>985</v>
      </c>
    </row>
    <row r="306" spans="1:1" x14ac:dyDescent="0.25">
      <c r="A306" t="s">
        <v>998</v>
      </c>
    </row>
    <row r="307" spans="1:1" x14ac:dyDescent="0.25">
      <c r="A307" t="s">
        <v>1048</v>
      </c>
    </row>
    <row r="308" spans="1:1" x14ac:dyDescent="0.25">
      <c r="A308" t="s">
        <v>1049</v>
      </c>
    </row>
    <row r="309" spans="1:1" x14ac:dyDescent="0.25">
      <c r="A309" t="s">
        <v>1038</v>
      </c>
    </row>
    <row r="311" spans="1:1" x14ac:dyDescent="0.25">
      <c r="A311" s="61" t="s">
        <v>986</v>
      </c>
    </row>
    <row r="312" spans="1:1" x14ac:dyDescent="0.25">
      <c r="A312" t="s">
        <v>998</v>
      </c>
    </row>
    <row r="313" spans="1:1" x14ac:dyDescent="0.25">
      <c r="A313" t="s">
        <v>987</v>
      </c>
    </row>
    <row r="314" spans="1:1" x14ac:dyDescent="0.25">
      <c r="A314" t="s">
        <v>1059</v>
      </c>
    </row>
    <row r="315" spans="1:1" x14ac:dyDescent="0.25">
      <c r="A315" t="s">
        <v>1057</v>
      </c>
    </row>
    <row r="316" spans="1:1" x14ac:dyDescent="0.25">
      <c r="A316" t="s">
        <v>1002</v>
      </c>
    </row>
    <row r="317" spans="1:1" x14ac:dyDescent="0.25">
      <c r="A317" t="s">
        <v>973</v>
      </c>
    </row>
    <row r="318" spans="1:1" x14ac:dyDescent="0.25">
      <c r="A318" t="s">
        <v>975</v>
      </c>
    </row>
    <row r="319" spans="1:1" x14ac:dyDescent="0.25">
      <c r="A319" t="s">
        <v>1003</v>
      </c>
    </row>
    <row r="320" spans="1:1" x14ac:dyDescent="0.25">
      <c r="A320" t="s">
        <v>976</v>
      </c>
    </row>
    <row r="321" spans="1:1" x14ac:dyDescent="0.25">
      <c r="A321" t="s">
        <v>978</v>
      </c>
    </row>
    <row r="322" spans="1:1" x14ac:dyDescent="0.25">
      <c r="A322" t="s">
        <v>1038</v>
      </c>
    </row>
    <row r="324" spans="1:1" x14ac:dyDescent="0.25">
      <c r="A324" s="61" t="s">
        <v>943</v>
      </c>
    </row>
    <row r="325" spans="1:1" x14ac:dyDescent="0.25">
      <c r="A325" t="s">
        <v>998</v>
      </c>
    </row>
    <row r="326" spans="1:1" x14ac:dyDescent="0.25">
      <c r="A326" t="s">
        <v>1049</v>
      </c>
    </row>
    <row r="327" spans="1:1" x14ac:dyDescent="0.25">
      <c r="A327" t="s">
        <v>1002</v>
      </c>
    </row>
    <row r="328" spans="1:1" x14ac:dyDescent="0.25">
      <c r="A328" t="s">
        <v>973</v>
      </c>
    </row>
    <row r="329" spans="1:1" x14ac:dyDescent="0.25">
      <c r="A329" t="s">
        <v>975</v>
      </c>
    </row>
    <row r="330" spans="1:1" x14ac:dyDescent="0.25">
      <c r="A330" t="s">
        <v>976</v>
      </c>
    </row>
    <row r="331" spans="1:1" x14ac:dyDescent="0.25">
      <c r="A331" t="s">
        <v>978</v>
      </c>
    </row>
    <row r="332" spans="1:1" x14ac:dyDescent="0.25">
      <c r="A332" t="s">
        <v>1038</v>
      </c>
    </row>
    <row r="334" spans="1:1" x14ac:dyDescent="0.25">
      <c r="A334" s="61" t="s">
        <v>944</v>
      </c>
    </row>
    <row r="335" spans="1:1" x14ac:dyDescent="0.25">
      <c r="A335" t="s">
        <v>998</v>
      </c>
    </row>
    <row r="336" spans="1:1" x14ac:dyDescent="0.25">
      <c r="A336" t="s">
        <v>1000</v>
      </c>
    </row>
    <row r="337" spans="1:1" x14ac:dyDescent="0.25">
      <c r="A337" t="s">
        <v>1048</v>
      </c>
    </row>
    <row r="338" spans="1:1" x14ac:dyDescent="0.25">
      <c r="A338" t="s">
        <v>1049</v>
      </c>
    </row>
    <row r="339" spans="1:1" x14ac:dyDescent="0.25">
      <c r="A339" t="s">
        <v>1008</v>
      </c>
    </row>
    <row r="340" spans="1:1" x14ac:dyDescent="0.25">
      <c r="A340" t="s">
        <v>987</v>
      </c>
    </row>
    <row r="341" spans="1:1" x14ac:dyDescent="0.25">
      <c r="A341" t="s">
        <v>1060</v>
      </c>
    </row>
    <row r="342" spans="1:1" x14ac:dyDescent="0.25">
      <c r="A342" t="s">
        <v>1061</v>
      </c>
    </row>
    <row r="343" spans="1:1" x14ac:dyDescent="0.25">
      <c r="A343" t="s">
        <v>1002</v>
      </c>
    </row>
    <row r="344" spans="1:1" x14ac:dyDescent="0.25">
      <c r="A344" t="s">
        <v>973</v>
      </c>
    </row>
    <row r="345" spans="1:1" x14ac:dyDescent="0.25">
      <c r="A345" t="s">
        <v>975</v>
      </c>
    </row>
    <row r="346" spans="1:1" x14ac:dyDescent="0.25">
      <c r="A346" t="s">
        <v>1003</v>
      </c>
    </row>
    <row r="347" spans="1:1" x14ac:dyDescent="0.25">
      <c r="A347" t="s">
        <v>976</v>
      </c>
    </row>
    <row r="348" spans="1:1" x14ac:dyDescent="0.25">
      <c r="A348" t="s">
        <v>1006</v>
      </c>
    </row>
    <row r="349" spans="1:1" x14ac:dyDescent="0.25">
      <c r="A349" t="s">
        <v>1007</v>
      </c>
    </row>
    <row r="350" spans="1:1" x14ac:dyDescent="0.25">
      <c r="A350" t="s">
        <v>978</v>
      </c>
    </row>
    <row r="351" spans="1:1" x14ac:dyDescent="0.25">
      <c r="A351" t="s">
        <v>1038</v>
      </c>
    </row>
    <row r="352" spans="1:1" x14ac:dyDescent="0.25">
      <c r="A352" t="s">
        <v>1062</v>
      </c>
    </row>
    <row r="353" spans="1:1" x14ac:dyDescent="0.25">
      <c r="A353" t="s">
        <v>1054</v>
      </c>
    </row>
    <row r="354" spans="1:1" x14ac:dyDescent="0.25">
      <c r="A354" t="s">
        <v>1005</v>
      </c>
    </row>
    <row r="355" spans="1:1" x14ac:dyDescent="0.25">
      <c r="A355" t="s">
        <v>1052</v>
      </c>
    </row>
    <row r="356" spans="1:1" x14ac:dyDescent="0.25">
      <c r="A356" t="s">
        <v>1053</v>
      </c>
    </row>
    <row r="358" spans="1:1" x14ac:dyDescent="0.25">
      <c r="A358" s="61" t="s">
        <v>945</v>
      </c>
    </row>
    <row r="359" spans="1:1" x14ac:dyDescent="0.25">
      <c r="A359" t="s">
        <v>998</v>
      </c>
    </row>
    <row r="360" spans="1:1" x14ac:dyDescent="0.25">
      <c r="A360" t="s">
        <v>962</v>
      </c>
    </row>
    <row r="361" spans="1:1" x14ac:dyDescent="0.25">
      <c r="A361" t="s">
        <v>1049</v>
      </c>
    </row>
    <row r="362" spans="1:1" x14ac:dyDescent="0.25">
      <c r="A362" t="s">
        <v>1038</v>
      </c>
    </row>
    <row r="364" spans="1:1" x14ac:dyDescent="0.25">
      <c r="A364" s="61" t="s">
        <v>946</v>
      </c>
    </row>
    <row r="365" spans="1:1" x14ac:dyDescent="0.25">
      <c r="A365" t="s">
        <v>1052</v>
      </c>
    </row>
    <row r="367" spans="1:1" x14ac:dyDescent="0.25">
      <c r="A367" s="61" t="s">
        <v>947</v>
      </c>
    </row>
    <row r="368" spans="1:1" x14ac:dyDescent="0.25">
      <c r="A368" t="s">
        <v>1052</v>
      </c>
    </row>
    <row r="370" spans="1:1" x14ac:dyDescent="0.25">
      <c r="A370" s="61" t="s">
        <v>988</v>
      </c>
    </row>
    <row r="371" spans="1:1" x14ac:dyDescent="0.25">
      <c r="A371" t="s">
        <v>1005</v>
      </c>
    </row>
    <row r="373" spans="1:1" x14ac:dyDescent="0.25">
      <c r="A373" s="61" t="s">
        <v>989</v>
      </c>
    </row>
    <row r="374" spans="1:1" x14ac:dyDescent="0.25">
      <c r="A374" t="s">
        <v>1049</v>
      </c>
    </row>
    <row r="375" spans="1:1" x14ac:dyDescent="0.25">
      <c r="A375" t="s">
        <v>976</v>
      </c>
    </row>
    <row r="376" spans="1:1" x14ac:dyDescent="0.25">
      <c r="A376" t="s">
        <v>1047</v>
      </c>
    </row>
    <row r="378" spans="1:1" x14ac:dyDescent="0.25">
      <c r="A378" s="61" t="s">
        <v>990</v>
      </c>
    </row>
    <row r="379" spans="1:1" x14ac:dyDescent="0.25">
      <c r="A379" t="s">
        <v>998</v>
      </c>
    </row>
    <row r="380" spans="1:1" x14ac:dyDescent="0.25">
      <c r="A380" t="s">
        <v>1048</v>
      </c>
    </row>
    <row r="381" spans="1:1" x14ac:dyDescent="0.25">
      <c r="A381" t="s">
        <v>1049</v>
      </c>
    </row>
    <row r="382" spans="1:1" x14ac:dyDescent="0.25">
      <c r="A382" t="s">
        <v>1038</v>
      </c>
    </row>
    <row r="383" spans="1:1" x14ac:dyDescent="0.25">
      <c r="A383" t="s">
        <v>1053</v>
      </c>
    </row>
    <row r="385" spans="1:1" x14ac:dyDescent="0.25">
      <c r="A385" s="61" t="s">
        <v>991</v>
      </c>
    </row>
    <row r="386" spans="1:1" x14ac:dyDescent="0.25">
      <c r="A386" t="s">
        <v>998</v>
      </c>
    </row>
    <row r="387" spans="1:1" x14ac:dyDescent="0.25">
      <c r="A387" t="s">
        <v>1002</v>
      </c>
    </row>
    <row r="388" spans="1:1" x14ac:dyDescent="0.25">
      <c r="A388" t="s">
        <v>1003</v>
      </c>
    </row>
    <row r="389" spans="1:1" x14ac:dyDescent="0.25">
      <c r="A389" t="s">
        <v>1038</v>
      </c>
    </row>
    <row r="390" spans="1:1" x14ac:dyDescent="0.25">
      <c r="A390" t="s">
        <v>1004</v>
      </c>
    </row>
    <row r="392" spans="1:1" x14ac:dyDescent="0.25">
      <c r="A392" s="61" t="s">
        <v>992</v>
      </c>
    </row>
    <row r="393" spans="1:1" x14ac:dyDescent="0.25">
      <c r="A393" t="s">
        <v>1049</v>
      </c>
    </row>
    <row r="395" spans="1:1" x14ac:dyDescent="0.25">
      <c r="A395" s="61" t="s">
        <v>993</v>
      </c>
    </row>
    <row r="396" spans="1:1" x14ac:dyDescent="0.25">
      <c r="A396" t="s">
        <v>948</v>
      </c>
    </row>
    <row r="397" spans="1:1" x14ac:dyDescent="0.25">
      <c r="A397" t="s">
        <v>1063</v>
      </c>
    </row>
    <row r="398" spans="1:1" x14ac:dyDescent="0.25">
      <c r="A398" t="s">
        <v>950</v>
      </c>
    </row>
    <row r="399" spans="1:1" x14ac:dyDescent="0.25">
      <c r="A399" t="s">
        <v>1034</v>
      </c>
    </row>
    <row r="400" spans="1:1" x14ac:dyDescent="0.25">
      <c r="A400" t="s">
        <v>952</v>
      </c>
    </row>
    <row r="401" spans="1:1" x14ac:dyDescent="0.25">
      <c r="A401" t="s">
        <v>954</v>
      </c>
    </row>
    <row r="402" spans="1:1" x14ac:dyDescent="0.25">
      <c r="A402" t="s">
        <v>1010</v>
      </c>
    </row>
    <row r="403" spans="1:1" x14ac:dyDescent="0.25">
      <c r="A403" t="s">
        <v>1064</v>
      </c>
    </row>
    <row r="404" spans="1:1" x14ac:dyDescent="0.25">
      <c r="A404" t="s">
        <v>956</v>
      </c>
    </row>
    <row r="405" spans="1:1" x14ac:dyDescent="0.25">
      <c r="A405" t="s">
        <v>1011</v>
      </c>
    </row>
    <row r="406" spans="1:1" x14ac:dyDescent="0.25">
      <c r="A406" t="s">
        <v>958</v>
      </c>
    </row>
    <row r="407" spans="1:1" x14ac:dyDescent="0.25">
      <c r="A407" t="s">
        <v>960</v>
      </c>
    </row>
    <row r="408" spans="1:1" x14ac:dyDescent="0.25">
      <c r="A408" t="s">
        <v>962</v>
      </c>
    </row>
    <row r="409" spans="1:1" x14ac:dyDescent="0.25">
      <c r="A409" t="s">
        <v>964</v>
      </c>
    </row>
    <row r="410" spans="1:1" x14ac:dyDescent="0.25">
      <c r="A410" t="s">
        <v>1065</v>
      </c>
    </row>
    <row r="411" spans="1:1" x14ac:dyDescent="0.25">
      <c r="A411" t="s">
        <v>1066</v>
      </c>
    </row>
    <row r="412" spans="1:1" x14ac:dyDescent="0.25">
      <c r="A412" t="s">
        <v>967</v>
      </c>
    </row>
    <row r="413" spans="1:1" x14ac:dyDescent="0.25">
      <c r="A413" t="s">
        <v>970</v>
      </c>
    </row>
    <row r="414" spans="1:1" x14ac:dyDescent="0.25">
      <c r="A414" t="s">
        <v>1067</v>
      </c>
    </row>
    <row r="415" spans="1:1" x14ac:dyDescent="0.25">
      <c r="A415" t="s">
        <v>973</v>
      </c>
    </row>
    <row r="416" spans="1:1" x14ac:dyDescent="0.25">
      <c r="A416" t="s">
        <v>975</v>
      </c>
    </row>
    <row r="417" spans="1:1" x14ac:dyDescent="0.25">
      <c r="A417" t="s">
        <v>1068</v>
      </c>
    </row>
    <row r="418" spans="1:1" x14ac:dyDescent="0.25">
      <c r="A418" t="s">
        <v>976</v>
      </c>
    </row>
    <row r="419" spans="1:1" x14ac:dyDescent="0.25">
      <c r="A419" t="s">
        <v>978</v>
      </c>
    </row>
    <row r="420" spans="1:1" x14ac:dyDescent="0.25">
      <c r="A420" t="s">
        <v>1012</v>
      </c>
    </row>
    <row r="421" spans="1:1" x14ac:dyDescent="0.25">
      <c r="A421" t="s">
        <v>1038</v>
      </c>
    </row>
    <row r="422" spans="1:1" x14ac:dyDescent="0.25">
      <c r="A422" t="s">
        <v>1004</v>
      </c>
    </row>
    <row r="423" spans="1:1" x14ac:dyDescent="0.25">
      <c r="A423" t="s">
        <v>1013</v>
      </c>
    </row>
    <row r="424" spans="1:1" x14ac:dyDescent="0.25">
      <c r="A424" t="s">
        <v>1014</v>
      </c>
    </row>
    <row r="426" spans="1:1" x14ac:dyDescent="0.25">
      <c r="A426" s="61" t="s">
        <v>994</v>
      </c>
    </row>
    <row r="427" spans="1:1" x14ac:dyDescent="0.25">
      <c r="A427" t="s">
        <v>1015</v>
      </c>
    </row>
    <row r="428" spans="1:1" x14ac:dyDescent="0.25">
      <c r="A428" t="s">
        <v>1016</v>
      </c>
    </row>
    <row r="429" spans="1:1" x14ac:dyDescent="0.25">
      <c r="A429" t="s">
        <v>1044</v>
      </c>
    </row>
    <row r="430" spans="1:1" x14ac:dyDescent="0.25">
      <c r="A430" t="s">
        <v>1017</v>
      </c>
    </row>
    <row r="431" spans="1:1" x14ac:dyDescent="0.25">
      <c r="A431" t="s">
        <v>962</v>
      </c>
    </row>
    <row r="432" spans="1:1" x14ac:dyDescent="0.25">
      <c r="A432" t="s">
        <v>1018</v>
      </c>
    </row>
    <row r="433" spans="1:1" x14ac:dyDescent="0.25">
      <c r="A433" t="s">
        <v>1019</v>
      </c>
    </row>
    <row r="434" spans="1:1" x14ac:dyDescent="0.25">
      <c r="A434" t="s">
        <v>995</v>
      </c>
    </row>
    <row r="435" spans="1:1" x14ac:dyDescent="0.25">
      <c r="A435" t="s">
        <v>1045</v>
      </c>
    </row>
    <row r="436" spans="1:1" x14ac:dyDescent="0.25">
      <c r="A436" t="s">
        <v>1020</v>
      </c>
    </row>
    <row r="437" spans="1:1" x14ac:dyDescent="0.25">
      <c r="A437" t="s">
        <v>1021</v>
      </c>
    </row>
    <row r="438" spans="1:1" x14ac:dyDescent="0.25">
      <c r="A438" t="s">
        <v>964</v>
      </c>
    </row>
    <row r="439" spans="1:1" x14ac:dyDescent="0.25">
      <c r="A439" t="s">
        <v>999</v>
      </c>
    </row>
    <row r="440" spans="1:1" x14ac:dyDescent="0.25">
      <c r="A440" t="s">
        <v>1022</v>
      </c>
    </row>
    <row r="441" spans="1:1" x14ac:dyDescent="0.25">
      <c r="A441" t="s">
        <v>1023</v>
      </c>
    </row>
    <row r="442" spans="1:1" x14ac:dyDescent="0.25">
      <c r="A442" t="s">
        <v>1024</v>
      </c>
    </row>
    <row r="443" spans="1:1" ht="30" x14ac:dyDescent="0.25">
      <c r="A443" s="62" t="s">
        <v>1037</v>
      </c>
    </row>
    <row r="444" spans="1:1" x14ac:dyDescent="0.25">
      <c r="A444" t="s">
        <v>1069</v>
      </c>
    </row>
    <row r="445" spans="1:1" x14ac:dyDescent="0.25">
      <c r="A445" t="s">
        <v>1070</v>
      </c>
    </row>
    <row r="446" spans="1:1" x14ac:dyDescent="0.25">
      <c r="A446" t="s">
        <v>1025</v>
      </c>
    </row>
    <row r="447" spans="1:1" x14ac:dyDescent="0.25">
      <c r="A447" t="s">
        <v>1026</v>
      </c>
    </row>
    <row r="448" spans="1:1" x14ac:dyDescent="0.25">
      <c r="A448" t="s">
        <v>1027</v>
      </c>
    </row>
    <row r="449" spans="1:1" x14ac:dyDescent="0.25">
      <c r="A449" t="s">
        <v>1071</v>
      </c>
    </row>
    <row r="450" spans="1:1" x14ac:dyDescent="0.25">
      <c r="A450" t="s">
        <v>1028</v>
      </c>
    </row>
    <row r="451" spans="1:1" x14ac:dyDescent="0.25">
      <c r="A451" t="s">
        <v>1029</v>
      </c>
    </row>
    <row r="452" spans="1:1" x14ac:dyDescent="0.25">
      <c r="A452" t="s">
        <v>1000</v>
      </c>
    </row>
    <row r="453" spans="1:1" x14ac:dyDescent="0.25">
      <c r="A453" t="s">
        <v>1030</v>
      </c>
    </row>
    <row r="454" spans="1:1" x14ac:dyDescent="0.25">
      <c r="A454" t="s">
        <v>1048</v>
      </c>
    </row>
    <row r="455" spans="1:1" x14ac:dyDescent="0.25">
      <c r="A455" t="s">
        <v>1041</v>
      </c>
    </row>
    <row r="456" spans="1:1" x14ac:dyDescent="0.25">
      <c r="A456" t="s">
        <v>1031</v>
      </c>
    </row>
    <row r="457" spans="1:1" x14ac:dyDescent="0.25">
      <c r="A457" t="s">
        <v>1032</v>
      </c>
    </row>
    <row r="458" spans="1:1" x14ac:dyDescent="0.25">
      <c r="A458" t="s">
        <v>967</v>
      </c>
    </row>
    <row r="459" spans="1:1" x14ac:dyDescent="0.25">
      <c r="A459" t="s">
        <v>1072</v>
      </c>
    </row>
    <row r="460" spans="1:1" ht="30" x14ac:dyDescent="0.25">
      <c r="A460" s="62" t="s">
        <v>1073</v>
      </c>
    </row>
    <row r="461" spans="1:1" x14ac:dyDescent="0.25">
      <c r="A461" t="s">
        <v>969</v>
      </c>
    </row>
    <row r="462" spans="1:1" x14ac:dyDescent="0.25">
      <c r="A462" t="s">
        <v>970</v>
      </c>
    </row>
    <row r="463" spans="1:1" x14ac:dyDescent="0.25">
      <c r="A463" t="s">
        <v>972</v>
      </c>
    </row>
    <row r="464" spans="1:1" x14ac:dyDescent="0.25">
      <c r="A464" t="s">
        <v>996</v>
      </c>
    </row>
    <row r="465" spans="1:1" x14ac:dyDescent="0.25">
      <c r="A465" t="s">
        <v>1033</v>
      </c>
    </row>
    <row r="466" spans="1:1" x14ac:dyDescent="0.25">
      <c r="A466" t="s">
        <v>973</v>
      </c>
    </row>
    <row r="467" spans="1:1" x14ac:dyDescent="0.25">
      <c r="A467" t="s">
        <v>975</v>
      </c>
    </row>
    <row r="468" spans="1:1" x14ac:dyDescent="0.25">
      <c r="A468" t="s">
        <v>976</v>
      </c>
    </row>
    <row r="469" spans="1:1" x14ac:dyDescent="0.25">
      <c r="A469" t="s">
        <v>1043</v>
      </c>
    </row>
    <row r="470" spans="1:1" x14ac:dyDescent="0.25">
      <c r="A470" t="s">
        <v>978</v>
      </c>
    </row>
    <row r="471" spans="1:1" x14ac:dyDescent="0.25">
      <c r="A471" t="s">
        <v>1012</v>
      </c>
    </row>
    <row r="472" spans="1:1" x14ac:dyDescent="0.25">
      <c r="A472" t="s">
        <v>1074</v>
      </c>
    </row>
    <row r="473" spans="1:1" x14ac:dyDescent="0.25">
      <c r="A473" t="s">
        <v>1075</v>
      </c>
    </row>
    <row r="474" spans="1:1" x14ac:dyDescent="0.25">
      <c r="A474" t="s">
        <v>1076</v>
      </c>
    </row>
    <row r="475" spans="1:1" x14ac:dyDescent="0.25">
      <c r="A475" t="s">
        <v>1077</v>
      </c>
    </row>
    <row r="477" spans="1:1" x14ac:dyDescent="0.25">
      <c r="A477" s="61" t="s">
        <v>1078</v>
      </c>
    </row>
    <row r="478" spans="1:1" x14ac:dyDescent="0.25">
      <c r="A478" t="s">
        <v>948</v>
      </c>
    </row>
    <row r="479" spans="1:1" x14ac:dyDescent="0.25">
      <c r="A479" t="s">
        <v>1079</v>
      </c>
    </row>
    <row r="480" spans="1:1" x14ac:dyDescent="0.25">
      <c r="A480" t="s">
        <v>952</v>
      </c>
    </row>
    <row r="481" spans="1:1" x14ac:dyDescent="0.25">
      <c r="A481" t="s">
        <v>954</v>
      </c>
    </row>
    <row r="482" spans="1:1" x14ac:dyDescent="0.25">
      <c r="A482" t="s">
        <v>956</v>
      </c>
    </row>
    <row r="483" spans="1:1" x14ac:dyDescent="0.25">
      <c r="A483" t="s">
        <v>1011</v>
      </c>
    </row>
    <row r="484" spans="1:1" x14ac:dyDescent="0.25">
      <c r="A484" t="s">
        <v>958</v>
      </c>
    </row>
    <row r="485" spans="1:1" x14ac:dyDescent="0.25">
      <c r="A485" t="s">
        <v>1015</v>
      </c>
    </row>
    <row r="486" spans="1:1" x14ac:dyDescent="0.25">
      <c r="A486" t="s">
        <v>1044</v>
      </c>
    </row>
    <row r="487" spans="1:1" x14ac:dyDescent="0.25">
      <c r="A487" t="s">
        <v>964</v>
      </c>
    </row>
    <row r="488" spans="1:1" x14ac:dyDescent="0.25">
      <c r="A488" t="s">
        <v>1037</v>
      </c>
    </row>
    <row r="489" spans="1:1" x14ac:dyDescent="0.25">
      <c r="A489" t="s">
        <v>1069</v>
      </c>
    </row>
    <row r="490" spans="1:1" x14ac:dyDescent="0.25">
      <c r="A490" t="s">
        <v>967</v>
      </c>
    </row>
    <row r="491" spans="1:1" x14ac:dyDescent="0.25">
      <c r="A491" t="s">
        <v>970</v>
      </c>
    </row>
    <row r="492" spans="1:1" x14ac:dyDescent="0.25">
      <c r="A492" t="s">
        <v>973</v>
      </c>
    </row>
    <row r="493" spans="1:1" x14ac:dyDescent="0.25">
      <c r="A493" t="s">
        <v>975</v>
      </c>
    </row>
    <row r="494" spans="1:1" x14ac:dyDescent="0.25">
      <c r="A494" t="s">
        <v>976</v>
      </c>
    </row>
    <row r="495" spans="1:1" x14ac:dyDescent="0.25">
      <c r="A495" t="s">
        <v>1038</v>
      </c>
    </row>
  </sheetData>
  <conditionalFormatting sqref="I56:I251">
    <cfRule type="duplicateValues" dxfId="2" priority="2"/>
  </conditionalFormatting>
  <conditionalFormatting sqref="I56:I251">
    <cfRule type="duplicateValues" dxfId="1" priority="3"/>
  </conditionalFormatting>
  <conditionalFormatting sqref="I55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60</vt:i4>
      </vt:variant>
    </vt:vector>
  </HeadingPairs>
  <TitlesOfParts>
    <vt:vector size="65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2025-01-30T14:56:24Z</cp:lastPrinted>
  <dcterms:created xsi:type="dcterms:W3CDTF">2016-02-08T15:52:06Z</dcterms:created>
  <dcterms:modified xsi:type="dcterms:W3CDTF">2025-01-30T14:56:42Z</dcterms:modified>
</cp:coreProperties>
</file>