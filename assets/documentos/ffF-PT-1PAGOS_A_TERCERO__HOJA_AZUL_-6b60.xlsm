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15015" windowHeight="1026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PROYECTO">PROYECTO!$A$2:$A$33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G40" i="20" l="1"/>
  <c r="D52" i="20" l="1"/>
  <c r="H9" i="20" s="1"/>
  <c r="B71" i="23"/>
  <c r="C68" i="23"/>
  <c r="B186" i="23"/>
  <c r="B15" i="23"/>
  <c r="B121" i="23"/>
  <c r="C135" i="23"/>
  <c r="C128" i="23"/>
  <c r="B185" i="23"/>
  <c r="C50" i="23"/>
  <c r="B119" i="23"/>
  <c r="B236" i="23"/>
  <c r="C186" i="23"/>
  <c r="C102" i="23"/>
  <c r="C152" i="23"/>
  <c r="B239" i="23"/>
  <c r="B174" i="23"/>
  <c r="C141" i="23"/>
  <c r="C142" i="23"/>
  <c r="B104" i="23"/>
  <c r="C19" i="23"/>
  <c r="B22" i="23"/>
  <c r="C39" i="23"/>
  <c r="C110" i="23"/>
  <c r="B242" i="23"/>
  <c r="B116" i="23"/>
  <c r="C194" i="23"/>
  <c r="C48" i="23"/>
  <c r="B153" i="23"/>
  <c r="B9" i="23"/>
  <c r="B35" i="23"/>
  <c r="B139" i="23"/>
  <c r="C131" i="23"/>
  <c r="B181" i="23"/>
  <c r="C167" i="23"/>
  <c r="B87" i="23"/>
  <c r="C96" i="23"/>
  <c r="B127" i="23"/>
  <c r="C49" i="23"/>
  <c r="C199" i="23"/>
  <c r="B190" i="23"/>
  <c r="B164" i="23"/>
  <c r="C122" i="23"/>
  <c r="C207" i="23"/>
  <c r="C246" i="23"/>
  <c r="C138" i="23"/>
  <c r="C14" i="23"/>
  <c r="B117" i="23"/>
  <c r="C211" i="23"/>
  <c r="C139" i="23"/>
  <c r="B233" i="23"/>
  <c r="C9" i="23"/>
  <c r="B187" i="23"/>
  <c r="B78" i="23"/>
  <c r="B213" i="23"/>
  <c r="C21" i="23"/>
  <c r="C120" i="23"/>
  <c r="B130" i="23"/>
  <c r="C81" i="23"/>
  <c r="C69" i="23"/>
  <c r="C200" i="23"/>
  <c r="B8" i="23"/>
  <c r="B10" i="23"/>
  <c r="C145" i="23"/>
  <c r="B132" i="23"/>
  <c r="C236" i="23"/>
  <c r="C72" i="23"/>
  <c r="C218" i="23"/>
  <c r="B102" i="23"/>
  <c r="B227" i="23"/>
  <c r="B155" i="23"/>
  <c r="B89" i="23"/>
  <c r="B220" i="23"/>
  <c r="C75" i="23"/>
  <c r="B12" i="23"/>
  <c r="B103" i="23"/>
  <c r="B85" i="23"/>
  <c r="B138" i="23"/>
  <c r="B108" i="23"/>
  <c r="C219" i="23"/>
  <c r="C181" i="23"/>
  <c r="C150" i="23"/>
  <c r="B105" i="23"/>
  <c r="C238" i="23"/>
  <c r="C121" i="23"/>
  <c r="C100" i="23"/>
  <c r="B176" i="23"/>
  <c r="B134" i="23"/>
  <c r="B60" i="23"/>
  <c r="C88" i="23"/>
  <c r="B114" i="23"/>
  <c r="C221" i="23"/>
  <c r="C17" i="23"/>
  <c r="C229" i="23"/>
  <c r="B235" i="23"/>
  <c r="C228" i="23"/>
  <c r="B66" i="23"/>
  <c r="C63" i="23"/>
  <c r="C136" i="23"/>
  <c r="C146" i="23"/>
  <c r="B196" i="23"/>
  <c r="C129" i="23"/>
  <c r="C106" i="23"/>
  <c r="B237" i="23"/>
  <c r="C210" i="23"/>
  <c r="B48" i="23"/>
  <c r="C6" i="23"/>
  <c r="C53" i="23"/>
  <c r="C180" i="23"/>
  <c r="B75" i="23"/>
  <c r="C235" i="23"/>
  <c r="B154" i="23"/>
  <c r="C41" i="23"/>
  <c r="C188" i="23"/>
  <c r="B99" i="23"/>
  <c r="B98" i="23"/>
  <c r="B82" i="23"/>
  <c r="C230" i="23"/>
  <c r="C165" i="23"/>
  <c r="B51" i="23"/>
  <c r="C5" i="23"/>
  <c r="C123" i="23"/>
  <c r="B97" i="23"/>
  <c r="C82" i="23"/>
  <c r="B206" i="23"/>
  <c r="C182" i="23"/>
  <c r="B124" i="23"/>
  <c r="C38" i="23"/>
  <c r="C42" i="23"/>
  <c r="B171" i="23"/>
  <c r="C242" i="23"/>
  <c r="B33" i="23"/>
  <c r="C8" i="23"/>
  <c r="C73" i="23"/>
  <c r="B243" i="23"/>
  <c r="B234" i="23"/>
  <c r="C2" i="23"/>
  <c r="C227" i="23"/>
  <c r="B111" i="23"/>
  <c r="B58" i="23"/>
  <c r="C241" i="23"/>
  <c r="B107" i="23"/>
  <c r="B101" i="23"/>
  <c r="C231" i="23"/>
  <c r="C20" i="23"/>
  <c r="B40" i="23"/>
  <c r="B6" i="23"/>
  <c r="C79" i="23"/>
  <c r="C27" i="23"/>
  <c r="B159" i="23"/>
  <c r="B53" i="23"/>
  <c r="C222" i="23"/>
  <c r="C70" i="23"/>
  <c r="B203" i="23"/>
  <c r="B226" i="23"/>
  <c r="C117" i="23"/>
  <c r="B110" i="23"/>
  <c r="B169" i="23"/>
  <c r="B96" i="23"/>
  <c r="B175" i="23"/>
  <c r="B144" i="23"/>
  <c r="B59" i="23"/>
  <c r="B74" i="23"/>
  <c r="B64" i="23"/>
  <c r="C220" i="23"/>
  <c r="B195" i="23"/>
  <c r="B202" i="23"/>
  <c r="B200" i="23"/>
  <c r="C16" i="23"/>
  <c r="C234" i="23"/>
  <c r="B20" i="23"/>
  <c r="B148" i="23"/>
  <c r="B221" i="23"/>
  <c r="B189" i="23"/>
  <c r="B94" i="23"/>
  <c r="C159" i="23"/>
  <c r="B43" i="23"/>
  <c r="B137" i="23"/>
  <c r="B68" i="23"/>
  <c r="C113" i="23"/>
  <c r="B92" i="23"/>
  <c r="C164" i="23"/>
  <c r="C74" i="23"/>
  <c r="C67" i="23"/>
  <c r="C119" i="23"/>
  <c r="B184" i="23"/>
  <c r="C224" i="23"/>
  <c r="B112" i="23"/>
  <c r="C209" i="23"/>
  <c r="C149" i="23"/>
  <c r="C54" i="23"/>
  <c r="C185" i="23"/>
  <c r="C99" i="23"/>
  <c r="C25" i="23"/>
  <c r="B223" i="23"/>
  <c r="B36" i="23"/>
  <c r="C36" i="23"/>
  <c r="C179" i="23"/>
  <c r="C151" i="23"/>
  <c r="B77" i="23"/>
  <c r="C245" i="23"/>
  <c r="C249" i="23"/>
  <c r="B152" i="23"/>
  <c r="C71" i="23"/>
  <c r="B133" i="23"/>
  <c r="C23" i="23"/>
  <c r="B125" i="23"/>
  <c r="B38" i="23"/>
  <c r="B123" i="23"/>
  <c r="C203" i="23"/>
  <c r="B224" i="23"/>
  <c r="C85" i="23"/>
  <c r="B158" i="23"/>
  <c r="C201" i="23"/>
  <c r="B217" i="23"/>
  <c r="B192" i="23"/>
  <c r="B211" i="23"/>
  <c r="B80" i="23"/>
  <c r="C22" i="23"/>
  <c r="B5" i="23"/>
  <c r="C247" i="23"/>
  <c r="B109" i="23"/>
  <c r="B166" i="23"/>
  <c r="B207" i="23"/>
  <c r="B61" i="23"/>
  <c r="B198" i="23"/>
  <c r="B232" i="23"/>
  <c r="C111" i="23"/>
  <c r="B205" i="23"/>
  <c r="B69" i="23"/>
  <c r="B208" i="23"/>
  <c r="C115" i="23"/>
  <c r="C7" i="23"/>
  <c r="C170" i="23"/>
  <c r="B52" i="23"/>
  <c r="B42" i="23"/>
  <c r="C118" i="23"/>
  <c r="C59" i="23"/>
  <c r="C78" i="23"/>
  <c r="C190" i="23"/>
  <c r="B163" i="23"/>
  <c r="B182" i="23"/>
  <c r="B197" i="23"/>
  <c r="B2" i="23"/>
  <c r="C155" i="23"/>
  <c r="C91" i="23"/>
  <c r="B91" i="23"/>
  <c r="B214" i="23"/>
  <c r="C101" i="23"/>
  <c r="C140" i="23"/>
  <c r="C240" i="23"/>
  <c r="C52" i="23"/>
  <c r="C56" i="23"/>
  <c r="C40" i="23"/>
  <c r="C137" i="23"/>
  <c r="C112" i="23"/>
  <c r="C104" i="23"/>
  <c r="B23" i="23"/>
  <c r="B143" i="23"/>
  <c r="C157" i="23"/>
  <c r="C193" i="23"/>
  <c r="B136" i="23"/>
  <c r="B76" i="23"/>
  <c r="C192" i="23"/>
  <c r="C160" i="23"/>
  <c r="B26" i="23"/>
  <c r="B229" i="23"/>
  <c r="C10" i="23"/>
  <c r="C15" i="23"/>
  <c r="C105" i="23"/>
  <c r="C116" i="23"/>
  <c r="B230" i="23"/>
  <c r="C217" i="23"/>
  <c r="B129" i="23"/>
  <c r="B32" i="23"/>
  <c r="B249" i="23"/>
  <c r="C60" i="23"/>
  <c r="B30" i="23"/>
  <c r="B41" i="23"/>
  <c r="B151" i="23"/>
  <c r="C130" i="23"/>
  <c r="B150" i="23"/>
  <c r="B222" i="23"/>
  <c r="C34" i="23"/>
  <c r="C92" i="23"/>
  <c r="B24" i="23"/>
  <c r="C13" i="23"/>
  <c r="C171" i="23"/>
  <c r="C35" i="23"/>
  <c r="B27" i="23"/>
  <c r="B25" i="23"/>
  <c r="C87" i="23"/>
  <c r="C11" i="23"/>
  <c r="B122" i="23"/>
  <c r="B178" i="23"/>
  <c r="C212" i="23"/>
  <c r="B128" i="23"/>
  <c r="B240" i="23"/>
  <c r="C148" i="23"/>
  <c r="C51" i="23"/>
  <c r="C62" i="23"/>
  <c r="B62" i="23"/>
  <c r="B165" i="23"/>
  <c r="C144" i="23"/>
  <c r="B204" i="23"/>
  <c r="C162" i="23"/>
  <c r="C109" i="23"/>
  <c r="C172" i="23"/>
  <c r="B93" i="23"/>
  <c r="B37" i="23"/>
  <c r="C66" i="23"/>
  <c r="B135" i="23"/>
  <c r="B180" i="23"/>
  <c r="B100" i="23"/>
  <c r="C64" i="23"/>
  <c r="B191" i="23"/>
  <c r="B72" i="23"/>
  <c r="B95" i="23"/>
  <c r="C208" i="23"/>
  <c r="B145" i="23"/>
  <c r="B246" i="23"/>
  <c r="B209" i="23"/>
  <c r="B201" i="23"/>
  <c r="B29" i="23"/>
  <c r="C46" i="23"/>
  <c r="C32" i="23"/>
  <c r="B70" i="23"/>
  <c r="C232" i="23"/>
  <c r="C215" i="23"/>
  <c r="C191" i="23"/>
  <c r="C94" i="23"/>
  <c r="B245" i="23"/>
  <c r="C147" i="23"/>
  <c r="B16" i="23"/>
  <c r="B140" i="23"/>
  <c r="C28" i="23"/>
  <c r="C76" i="23"/>
  <c r="C187" i="23"/>
  <c r="C226" i="23"/>
  <c r="C143" i="23"/>
  <c r="C132" i="23"/>
  <c r="C189" i="23"/>
  <c r="C156" i="23"/>
  <c r="C57" i="23"/>
  <c r="C44" i="23"/>
  <c r="B50" i="23"/>
  <c r="C169" i="23"/>
  <c r="B147" i="23"/>
  <c r="C198" i="23"/>
  <c r="B183" i="23"/>
  <c r="C45" i="23"/>
  <c r="C206" i="23"/>
  <c r="B14" i="23"/>
  <c r="B210" i="23"/>
  <c r="B228" i="23"/>
  <c r="B56" i="23"/>
  <c r="C195" i="23"/>
  <c r="B177" i="23"/>
  <c r="B193" i="23"/>
  <c r="C83" i="23"/>
  <c r="B212" i="23"/>
  <c r="C86" i="23"/>
  <c r="C24" i="23"/>
  <c r="C95" i="23"/>
  <c r="B225" i="23"/>
  <c r="C168" i="23"/>
  <c r="C223" i="23"/>
  <c r="B172" i="23"/>
  <c r="B83" i="23"/>
  <c r="B170" i="23"/>
  <c r="C97" i="23"/>
  <c r="C213" i="23"/>
  <c r="B67" i="23"/>
  <c r="B47" i="23"/>
  <c r="C125" i="23"/>
  <c r="C47" i="23"/>
  <c r="C84" i="23"/>
  <c r="C176" i="23"/>
  <c r="C37" i="23"/>
  <c r="C4" i="23"/>
  <c r="B216" i="23"/>
  <c r="B79" i="23"/>
  <c r="C61" i="23"/>
  <c r="C197" i="23"/>
  <c r="B88" i="23"/>
  <c r="B18" i="23"/>
  <c r="B28" i="23"/>
  <c r="C26" i="23"/>
  <c r="C58" i="23"/>
  <c r="C158" i="23"/>
  <c r="B84" i="23"/>
  <c r="B141" i="23"/>
  <c r="B115" i="23"/>
  <c r="B57" i="23"/>
  <c r="B44" i="23"/>
  <c r="B194" i="23"/>
  <c r="C163" i="23"/>
  <c r="C30" i="23"/>
  <c r="B49" i="23"/>
  <c r="B90" i="23"/>
  <c r="B7" i="23"/>
  <c r="B65" i="23"/>
  <c r="C103" i="23"/>
  <c r="C243" i="23"/>
  <c r="C216" i="23"/>
  <c r="C89" i="23"/>
  <c r="C204" i="23"/>
  <c r="C214" i="23"/>
  <c r="B162" i="23"/>
  <c r="B113" i="23"/>
  <c r="B219" i="23"/>
  <c r="B248" i="23"/>
  <c r="B156" i="23"/>
  <c r="C248" i="23"/>
  <c r="C183" i="23"/>
  <c r="B39" i="23"/>
  <c r="B218" i="23"/>
  <c r="B13" i="23"/>
  <c r="C177" i="23"/>
  <c r="B179" i="23"/>
  <c r="C196" i="23"/>
  <c r="B45" i="23"/>
  <c r="C65" i="23"/>
  <c r="C12" i="23"/>
  <c r="C108" i="23"/>
  <c r="C166" i="23"/>
  <c r="B55" i="23"/>
  <c r="C205" i="23"/>
  <c r="C80" i="23"/>
  <c r="B168" i="23"/>
  <c r="B11" i="23"/>
  <c r="B126" i="23"/>
  <c r="C237" i="23"/>
  <c r="B167" i="23"/>
  <c r="B173" i="23"/>
  <c r="C43" i="23"/>
  <c r="C18" i="23"/>
  <c r="B4" i="23"/>
  <c r="B120" i="23"/>
  <c r="B241" i="23"/>
  <c r="B199" i="23"/>
  <c r="B118" i="23"/>
  <c r="C154" i="23"/>
  <c r="B161" i="23"/>
  <c r="C29" i="23"/>
  <c r="B21" i="23"/>
  <c r="B188" i="23"/>
  <c r="B3" i="23"/>
  <c r="C107" i="23"/>
  <c r="B142" i="23"/>
  <c r="F52" i="20"/>
  <c r="C225" i="23"/>
  <c r="B131" i="23"/>
  <c r="C77" i="23"/>
  <c r="B231" i="23"/>
  <c r="C93" i="23"/>
  <c r="C174" i="23"/>
  <c r="B149" i="23"/>
  <c r="B73" i="23"/>
  <c r="B17" i="23"/>
  <c r="B238" i="23"/>
  <c r="C98" i="23"/>
  <c r="B63" i="23"/>
  <c r="C233" i="23"/>
  <c r="C239" i="23"/>
  <c r="C31" i="23"/>
  <c r="B106" i="23"/>
  <c r="C161" i="23"/>
  <c r="B86" i="23"/>
  <c r="B81" i="23"/>
  <c r="C184" i="23"/>
  <c r="C202" i="23"/>
  <c r="C134" i="23"/>
  <c r="C55" i="23"/>
  <c r="B46" i="23"/>
  <c r="C133" i="23"/>
  <c r="B160" i="23"/>
  <c r="B54" i="23"/>
  <c r="B146" i="23"/>
  <c r="C3" i="23"/>
  <c r="B19" i="23"/>
  <c r="B244" i="23"/>
  <c r="C127" i="23"/>
  <c r="C178" i="23"/>
  <c r="C175" i="23"/>
  <c r="B215" i="23"/>
  <c r="C114" i="23"/>
  <c r="C124" i="23"/>
  <c r="C33" i="23"/>
  <c r="B247" i="23"/>
  <c r="B31" i="23"/>
  <c r="C90" i="23"/>
  <c r="B157" i="23"/>
  <c r="C173" i="23"/>
  <c r="C126" i="23"/>
  <c r="C244" i="23"/>
  <c r="C153" i="23"/>
  <c r="B34" i="23"/>
</calcChain>
</file>

<file path=xl/sharedStrings.xml><?xml version="1.0" encoding="utf-8"?>
<sst xmlns="http://schemas.openxmlformats.org/spreadsheetml/2006/main" count="365" uniqueCount="342">
  <si>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</si>
  <si>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</si>
  <si>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</si>
  <si>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</si>
  <si>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</si>
  <si>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</si>
  <si>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</si>
  <si>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</si>
  <si>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</si>
  <si>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</si>
  <si>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</si>
  <si>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</si>
  <si>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</si>
  <si>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</si>
  <si>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</si>
  <si>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</si>
  <si>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</si>
  <si>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</si>
  <si>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</si>
  <si>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</si>
  <si>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</si>
  <si>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</si>
  <si>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</si>
  <si>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</si>
  <si>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</si>
  <si>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</si>
  <si>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</si>
  <si>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</si>
  <si>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</si>
  <si>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</si>
  <si>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</si>
  <si>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</si>
  <si>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DIRECTORA ADMINISTRATIVA</t>
  </si>
  <si>
    <t>C.P. LILIA ANAYANSI TAPIA CURIEL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</si>
  <si>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</si>
  <si>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</si>
  <si>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</si>
  <si>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</si>
  <si>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</si>
  <si>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</si>
  <si>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</si>
  <si>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</si>
  <si>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</si>
  <si>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</si>
  <si>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</si>
  <si>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</si>
  <si>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</si>
  <si>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</si>
  <si>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</si>
  <si>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</si>
  <si>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</si>
  <si>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</si>
  <si>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</si>
  <si>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</si>
  <si>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</si>
  <si>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</si>
  <si>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</si>
  <si>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</si>
  <si>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</si>
  <si>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</si>
  <si>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</si>
  <si>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</si>
  <si>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</si>
  <si>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</si>
  <si>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</si>
  <si>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</si>
  <si>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</si>
  <si>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</si>
  <si>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</si>
  <si>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</si>
  <si>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</si>
  <si>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</si>
  <si>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</si>
  <si>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</si>
  <si>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</si>
  <si>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</si>
  <si>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</si>
  <si>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</si>
  <si>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</si>
  <si>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</si>
  <si>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</si>
  <si>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</si>
  <si>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</si>
  <si>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</si>
  <si>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</si>
  <si>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</si>
  <si>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</si>
  <si>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</si>
  <si>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</si>
  <si>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</si>
  <si>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</si>
  <si>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</si>
  <si>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</si>
  <si>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</si>
  <si>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</si>
  <si>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</si>
  <si>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</si>
  <si>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</si>
  <si>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</si>
  <si>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</si>
  <si>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</si>
  <si>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</si>
  <si>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</si>
  <si>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</si>
  <si>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</si>
  <si>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</si>
  <si>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</si>
  <si>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</si>
  <si>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</si>
  <si>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</si>
  <si>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</si>
  <si>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</si>
  <si>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</si>
  <si>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</si>
  <si>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</si>
  <si>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</si>
  <si>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</si>
  <si>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</si>
  <si>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</si>
  <si>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</si>
  <si>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</si>
  <si>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</si>
  <si>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</si>
  <si>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</si>
  <si>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</si>
  <si>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</si>
  <si>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</si>
  <si>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</si>
  <si>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</si>
  <si>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</si>
  <si>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</si>
  <si>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</si>
  <si>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</si>
  <si>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</si>
  <si>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</si>
  <si>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</si>
  <si>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</si>
  <si>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</si>
  <si>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</si>
  <si>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</si>
  <si>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</si>
  <si>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</si>
  <si>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</si>
  <si>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</si>
  <si>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</si>
  <si>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</si>
  <si>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</si>
  <si>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</si>
  <si>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</si>
  <si>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</si>
  <si>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</si>
  <si>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</si>
  <si>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</si>
  <si>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</si>
  <si>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</si>
  <si>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</si>
  <si>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</si>
  <si>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</si>
  <si>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</si>
  <si>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</si>
  <si>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</si>
  <si>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</si>
  <si>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</si>
  <si>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</si>
  <si>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</si>
  <si>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</si>
  <si>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</si>
  <si>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</si>
  <si>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</si>
  <si>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</si>
  <si>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</si>
  <si>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</si>
  <si>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</si>
  <si>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</si>
  <si>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</si>
  <si>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</si>
  <si>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</si>
  <si>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</si>
  <si>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</si>
  <si>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</si>
  <si>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</si>
  <si>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</si>
  <si>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</si>
  <si>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</si>
  <si>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</si>
  <si>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</si>
  <si>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</si>
  <si>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</si>
  <si>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</si>
  <si>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</si>
  <si>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</si>
  <si>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</si>
  <si>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</si>
  <si>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</si>
  <si>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</si>
  <si>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</si>
  <si>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</si>
  <si>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</si>
  <si>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</si>
  <si>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</si>
  <si>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</si>
  <si>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</si>
  <si>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</si>
  <si>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</si>
  <si>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</si>
  <si>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</si>
  <si>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</si>
  <si>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</si>
  <si>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</si>
  <si>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</si>
  <si>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</si>
  <si>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</si>
  <si>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</si>
  <si>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</si>
  <si>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</si>
  <si>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</si>
  <si>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</si>
  <si>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</si>
  <si>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</si>
  <si>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</si>
  <si>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</si>
  <si>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</si>
  <si>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</si>
  <si>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</si>
  <si>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</si>
  <si>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</si>
  <si>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</si>
  <si>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</si>
  <si>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</si>
  <si>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</si>
  <si>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</si>
  <si>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</si>
  <si>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</si>
  <si>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</si>
  <si>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</si>
  <si>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</si>
  <si>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</si>
  <si>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</si>
  <si>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</si>
  <si>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</si>
  <si>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</si>
  <si>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</si>
  <si>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</si>
  <si>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</si>
  <si>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</si>
  <si>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</si>
  <si>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</si>
  <si>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</si>
  <si>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</si>
  <si>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</si>
  <si>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</si>
  <si>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</si>
  <si>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</si>
  <si>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</si>
  <si>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</si>
  <si>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</si>
  <si>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</si>
  <si>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</si>
  <si>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</si>
  <si>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</si>
  <si>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</si>
  <si>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</si>
  <si>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</si>
  <si>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</si>
  <si>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</si>
  <si>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</si>
  <si>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</si>
  <si>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</si>
  <si>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</si>
  <si>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</si>
  <si>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</si>
  <si>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</si>
  <si>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</si>
  <si>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</si>
  <si>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</si>
  <si>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</si>
  <si>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</si>
  <si>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</si>
  <si>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</si>
  <si>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</si>
  <si>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</si>
  <si>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</si>
  <si>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</si>
  <si>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</si>
  <si>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</si>
  <si>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</si>
  <si>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</si>
  <si>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</si>
  <si>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</si>
  <si>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</si>
  <si>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</si>
  <si>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</si>
  <si>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</si>
  <si>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</si>
  <si>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</si>
  <si>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</si>
  <si>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</si>
  <si>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</si>
  <si>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</si>
  <si>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</si>
  <si>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</si>
  <si>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</si>
  <si>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</si>
  <si>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>19.GG.G1074</t>
  </si>
  <si>
    <t>19.GG.G2061</t>
  </si>
  <si>
    <t>19.GG.P0292</t>
  </si>
  <si>
    <t>19.GG.P0293</t>
  </si>
  <si>
    <t>A19.GG.Q0340</t>
  </si>
  <si>
    <t>A19.GG.Q0341</t>
  </si>
  <si>
    <t>A19.GG.Q0342</t>
  </si>
  <si>
    <t>A19.GG.Q0343</t>
  </si>
  <si>
    <t>A19.GG.Q0344</t>
  </si>
  <si>
    <t>A19.GG.Q0345</t>
  </si>
  <si>
    <t>A19.GG.Q0346</t>
  </si>
  <si>
    <t>A19.GG.Q0348</t>
  </si>
  <si>
    <t>A19.GG.Q0355</t>
  </si>
  <si>
    <t>A19.GG.Q0358</t>
  </si>
  <si>
    <t>A19.GG.Q0360</t>
  </si>
  <si>
    <t>A19.GG.Q0363</t>
  </si>
  <si>
    <t>A19.GG.Q0368</t>
  </si>
  <si>
    <t>A19.GG.Q0373</t>
  </si>
  <si>
    <t>A19.GG.Q0374</t>
  </si>
  <si>
    <t>A19.GG.Q0375</t>
  </si>
  <si>
    <t>A19.GG.Q0376</t>
  </si>
  <si>
    <t>A19.GG.Q0377</t>
  </si>
  <si>
    <t>A19.GG.Q0378</t>
  </si>
  <si>
    <t>A19.GG.Q0379</t>
  </si>
  <si>
    <t>A19.GG.Q0380</t>
  </si>
  <si>
    <t>A19.GG.Q0418</t>
  </si>
  <si>
    <t>A19.GG.Q0488</t>
  </si>
  <si>
    <t>A19.GG.Q0498</t>
  </si>
  <si>
    <t>A19.GG.Q0622</t>
  </si>
  <si>
    <t>A19.GG.Q0624</t>
  </si>
  <si>
    <t>A19.GG.Q0799</t>
  </si>
  <si>
    <t>A19.GG.Q2437</t>
  </si>
  <si>
    <t>A19.GG.Q2561</t>
  </si>
  <si>
    <t>A19.GG.Q3072</t>
  </si>
  <si>
    <t>FORMATO PT - 1 19</t>
  </si>
  <si>
    <t>PT SECTUR/SSPT/DPD/       /2019</t>
  </si>
  <si>
    <t xml:space="preserve">TITULAR DE LA DEPENDENCIA 
LIC. MARÍA TERESA MATAMOROS MONTES
SECRETARIA DE TURISMO </t>
  </si>
  <si>
    <t>POR ACUERDO SECRETARIAL 001/2019
LIC. MARCO ANTONIO TRIANA GONZÁLEZ
DIRECTOR DE ASUNTOS JURIDICOS</t>
  </si>
  <si>
    <t>POR ACUERDO SECRETARIAL 001/2019
LIC. MARCO ANTONIO TRIANA GONZÁLEZ
DIRECTOR DE ASUNTOS JURÍDICOS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</si>
</sst>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9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2" fillId="0" borderId="5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0" fontId="3" fillId="0" borderId="27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/>
    </xf>
    <xf numFmtId="164" fontId="3" fillId="0" borderId="31" xfId="0" applyNumberFormat="1" applyFont="1" applyFill="1" applyBorder="1" applyAlignment="1" applyProtection="1"/>
    <xf numFmtId="39" fontId="3" fillId="0" borderId="32" xfId="0" applyNumberFormat="1" applyFont="1" applyFill="1" applyBorder="1" applyAlignment="1" applyProtection="1"/>
    <xf numFmtId="0" fontId="2" fillId="0" borderId="0" xfId="0" applyFont="1" applyFill="1" applyProtection="1"/>
    <xf numFmtId="0" fontId="2" fillId="0" borderId="5" xfId="0" applyFont="1" applyFill="1" applyBorder="1" applyAlignment="1" applyProtection="1">
      <alignment horizontal="left"/>
    </xf>
    <xf numFmtId="0" fontId="3" fillId="0" borderId="30" xfId="0" applyFont="1" applyFill="1" applyBorder="1" applyAlignment="1" applyProtection="1">
      <alignment horizontal="center" wrapText="1"/>
      <protection locked="0"/>
    </xf>
    <xf numFmtId="0" fontId="2" fillId="0" borderId="31" xfId="0" applyFont="1" applyFill="1" applyBorder="1" applyAlignment="1" applyProtection="1"/>
    <xf numFmtId="0" fontId="2" fillId="0" borderId="31" xfId="0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3" fillId="0" borderId="18" xfId="0" applyFont="1" applyFill="1" applyBorder="1" applyAlignment="1" applyProtection="1">
      <alignment horizont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34" xfId="0" applyFont="1" applyFill="1" applyBorder="1" applyProtection="1"/>
    <xf numFmtId="0" fontId="5" fillId="0" borderId="34" xfId="0" applyFont="1" applyFill="1" applyBorder="1" applyProtection="1"/>
    <xf numFmtId="0" fontId="5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6" xfId="0" applyFont="1" applyFill="1" applyBorder="1" applyProtection="1"/>
    <xf numFmtId="0" fontId="3" fillId="0" borderId="47" xfId="0" applyFont="1" applyFill="1" applyBorder="1" applyProtection="1"/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0" fontId="3" fillId="0" borderId="43" xfId="0" applyFont="1" applyFill="1" applyBorder="1" applyProtection="1"/>
    <xf numFmtId="0" fontId="2" fillId="0" borderId="0" xfId="0" applyFont="1" applyFill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Fill="1" applyBorder="1" applyProtection="1"/>
    <xf numFmtId="0" fontId="3" fillId="0" borderId="31" xfId="0" applyFont="1" applyFill="1" applyBorder="1" applyAlignment="1" applyProtection="1">
      <protection locked="0"/>
    </xf>
    <xf numFmtId="0" fontId="3" fillId="0" borderId="0" xfId="0" applyFont="1" applyFill="1" applyBorder="1" applyAlignment="1" applyProtection="1">
      <protection locked="0"/>
    </xf>
    <xf numFmtId="0" fontId="3" fillId="0" borderId="33" xfId="0" applyFont="1" applyFill="1" applyBorder="1" applyAlignment="1" applyProtection="1">
      <protection locked="0"/>
    </xf>
    <xf numFmtId="0" fontId="3" fillId="0" borderId="36" xfId="0" applyFont="1" applyFill="1" applyBorder="1" applyAlignment="1" applyProtection="1">
      <protection locked="0"/>
    </xf>
    <xf numFmtId="0" fontId="3" fillId="0" borderId="6" xfId="0" applyFont="1" applyFill="1" applyBorder="1" applyAlignment="1" applyProtection="1">
      <protection locked="0"/>
    </xf>
    <xf numFmtId="0" fontId="3" fillId="0" borderId="35" xfId="0" applyFont="1" applyFill="1" applyBorder="1" applyAlignment="1" applyProtection="1">
      <protection locked="0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55" xfId="0" applyFont="1" applyFill="1" applyBorder="1" applyAlignment="1" applyProtection="1">
      <alignment vertical="center"/>
      <protection locked="0"/>
    </xf>
    <xf numFmtId="0" fontId="2" fillId="0" borderId="54" xfId="0" applyFont="1" applyFill="1" applyBorder="1" applyAlignment="1" applyProtection="1">
      <alignment vertical="center" wrapText="1"/>
      <protection locked="0"/>
    </xf>
    <xf numFmtId="0" fontId="3" fillId="0" borderId="20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30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45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45" xfId="0" applyNumberFormat="1" applyFont="1" applyFill="1" applyBorder="1" applyAlignment="1" applyProtection="1">
      <alignment horizontal="center" vertical="center"/>
      <protection locked="0"/>
    </xf>
    <xf numFmtId="165" fontId="2" fillId="0" borderId="46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44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4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4" fontId="3" fillId="0" borderId="31" xfId="1" applyFont="1" applyBorder="1" applyAlignment="1" applyProtection="1">
      <alignment horizontal="left"/>
      <protection locked="0"/>
    </xf>
    <xf numFmtId="44" fontId="3" fillId="0" borderId="33" xfId="1" applyFont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30" xfId="0" applyFont="1" applyFill="1" applyBorder="1" applyAlignment="1" applyProtection="1">
      <alignment horizontal="left"/>
      <protection locked="0"/>
    </xf>
    <xf numFmtId="0" fontId="2" fillId="0" borderId="31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0" fontId="3" fillId="0" borderId="21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 vertical="center"/>
    </xf>
    <xf numFmtId="0" fontId="3" fillId="0" borderId="28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left"/>
    </xf>
    <xf numFmtId="0" fontId="2" fillId="0" borderId="30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33" xfId="0" applyFont="1" applyFill="1" applyBorder="1" applyAlignment="1" applyProtection="1">
      <alignment horizontal="left"/>
      <protection locked="0"/>
    </xf>
    <xf numFmtId="0" fontId="3" fillId="0" borderId="4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2" fillId="0" borderId="51" xfId="0" applyFont="1" applyFill="1" applyBorder="1" applyAlignment="1" applyProtection="1">
      <alignment horizontal="center" vertic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3" fillId="0" borderId="48" xfId="0" applyFont="1" applyFill="1" applyBorder="1" applyAlignment="1" applyProtection="1">
      <alignment horizontal="center"/>
      <protection locked="0"/>
    </xf>
    <xf numFmtId="0" fontId="3" fillId="0" borderId="49" xfId="0" applyFont="1" applyFill="1" applyBorder="1" applyAlignment="1" applyProtection="1">
      <alignment horizontal="center"/>
      <protection locked="0"/>
    </xf>
    <xf numFmtId="0" fontId="3" fillId="0" borderId="50" xfId="0" applyFont="1" applyFill="1" applyBorder="1" applyAlignment="1" applyProtection="1">
      <alignment horizontal="center"/>
      <protection locked="0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33" xfId="0" applyFont="1" applyFill="1" applyBorder="1" applyAlignment="1" applyProtection="1">
      <alignment horizontal="center"/>
      <protection locked="0"/>
    </xf>
    <xf numFmtId="0" fontId="2" fillId="0" borderId="54" xfId="0" applyFont="1" applyFill="1" applyBorder="1" applyAlignment="1" applyProtection="1">
      <alignment horizontal="center" vertical="center" wrapText="1"/>
      <protection locked="0"/>
    </xf>
    <xf numFmtId="0" fontId="2" fillId="0" borderId="12" xfId="0" applyFont="1" applyFill="1" applyBorder="1" applyAlignment="1" applyProtection="1">
      <alignment horizontal="center" vertical="center" wrapText="1"/>
      <protection locked="0"/>
    </xf>
    <xf numFmtId="0" fontId="2" fillId="0" borderId="55" xfId="0" applyFont="1" applyFill="1" applyBorder="1" applyAlignment="1" applyProtection="1">
      <alignment horizontal="center" vertical="center" wrapText="1"/>
      <protection locked="0"/>
    </xf>
    <xf numFmtId="0" fontId="3" fillId="0" borderId="54" xfId="0" applyFont="1" applyFill="1" applyBorder="1" applyAlignment="1" applyProtection="1">
      <alignment horizontal="center"/>
    </xf>
    <xf numFmtId="0" fontId="3" fillId="0" borderId="55" xfId="0" applyFont="1" applyFill="1" applyBorder="1" applyAlignment="1" applyProtection="1">
      <alignment horizont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44" fontId="3" fillId="0" borderId="36" xfId="1" applyFont="1" applyBorder="1" applyAlignment="1" applyProtection="1">
      <alignment horizontal="left"/>
      <protection locked="0"/>
    </xf>
    <xf numFmtId="44" fontId="3" fillId="0" borderId="35" xfId="1" applyFont="1" applyBorder="1" applyAlignment="1" applyProtection="1">
      <alignment horizontal="left"/>
      <protection locked="0"/>
    </xf>
    <xf numFmtId="44" fontId="3" fillId="0" borderId="40" xfId="1" applyFont="1" applyFill="1" applyBorder="1" applyAlignment="1" applyProtection="1">
      <alignment horizontal="center"/>
    </xf>
    <xf numFmtId="44" fontId="3" fillId="0" borderId="37" xfId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1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Alignment="1" applyProtection="1">
      <alignment horizontal="left"/>
      <protection locked="0"/>
    </xf>
    <xf numFmtId="49" fontId="2" fillId="0" borderId="5" xfId="0" applyNumberFormat="1" applyFont="1" applyFill="1" applyBorder="1" applyAlignment="1" applyProtection="1">
      <alignment horizontal="left"/>
      <protection locked="0"/>
    </xf>
    <xf numFmtId="0" fontId="3" fillId="0" borderId="7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left"/>
    </xf>
    <xf numFmtId="0" fontId="2" fillId="0" borderId="5" xfId="0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39" xfId="0" applyFont="1" applyFill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55" xfId="0" applyFont="1" applyFill="1" applyBorder="1" applyAlignment="1" applyProtection="1">
      <alignment horizontal="center" vertical="center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4"/>
  <sheetViews>
    <sheetView showZeros="0" tabSelected="1" topLeftCell="A46" zoomScale="80" zoomScaleNormal="80" workbookViewId="0">
      <selection activeCell="E61" sqref="E61:G61"/>
    </sheetView>
  </sheetViews>
  <sheetFormatPr baseColWidth="10" defaultColWidth="11.42578125" defaultRowHeight="18.75" x14ac:dyDescent="0.3"/>
  <cols>
    <col min="1" max="1" width="20.7109375" style="12" customWidth="1"/>
    <col min="2" max="2" width="11.42578125" style="12"/>
    <col min="3" max="3" width="20.7109375" style="12" customWidth="1"/>
    <col min="4" max="4" width="11.42578125" style="12"/>
    <col min="5" max="5" width="23.28515625" style="12" bestFit="1" customWidth="1"/>
    <col min="6" max="6" width="33.28515625" style="12" customWidth="1"/>
    <col min="7" max="7" width="20.5703125" style="12" customWidth="1"/>
    <col min="8" max="8" width="13.5703125" style="12" customWidth="1"/>
    <col min="9" max="9" width="29.42578125" style="12" customWidth="1"/>
    <col min="10" max="16384" width="11.42578125" style="12"/>
  </cols>
  <sheetData>
    <row r="1" spans="1:9" x14ac:dyDescent="0.3">
      <c r="A1" s="10"/>
      <c r="B1" s="11"/>
      <c r="C1" s="11"/>
      <c r="D1" s="11"/>
      <c r="E1" s="11"/>
      <c r="F1" s="11"/>
      <c r="G1" s="11"/>
      <c r="H1" s="79" t="s">
        <v>337</v>
      </c>
      <c r="I1" s="80"/>
    </row>
    <row r="2" spans="1:9" ht="26.25" customHeight="1" x14ac:dyDescent="0.3">
      <c r="A2" s="13"/>
      <c r="B2" s="14"/>
      <c r="C2" s="67" t="s">
        <v>0</v>
      </c>
      <c r="D2" s="67"/>
      <c r="E2" s="67"/>
      <c r="F2" s="67"/>
      <c r="G2" s="67"/>
      <c r="H2" s="67"/>
      <c r="I2" s="81"/>
    </row>
    <row r="3" spans="1:9" ht="26.25" customHeight="1" x14ac:dyDescent="0.3">
      <c r="A3" s="13"/>
      <c r="B3" s="14"/>
      <c r="C3" s="67" t="s">
        <v>1</v>
      </c>
      <c r="D3" s="67"/>
      <c r="E3" s="67"/>
      <c r="F3" s="67"/>
      <c r="G3" s="67"/>
      <c r="H3" s="67"/>
      <c r="I3" s="81"/>
    </row>
    <row r="4" spans="1:9" ht="15.75" customHeight="1" x14ac:dyDescent="0.3">
      <c r="A4" s="82"/>
      <c r="B4" s="83"/>
      <c r="C4" s="83"/>
      <c r="D4" s="83"/>
      <c r="E4" s="83"/>
      <c r="F4" s="15"/>
      <c r="G4" s="15"/>
      <c r="H4" s="15"/>
      <c r="I4" s="16"/>
    </row>
    <row r="5" spans="1:9" x14ac:dyDescent="0.3">
      <c r="A5" s="13"/>
      <c r="B5" s="14"/>
      <c r="C5" s="14"/>
      <c r="D5" s="14"/>
      <c r="E5" s="14"/>
      <c r="F5" s="14"/>
      <c r="G5" s="14"/>
      <c r="H5" s="14"/>
      <c r="I5" s="17"/>
    </row>
    <row r="6" spans="1:9" x14ac:dyDescent="0.3">
      <c r="A6" s="66"/>
      <c r="B6" s="67"/>
      <c r="C6" s="67"/>
      <c r="D6" s="67"/>
      <c r="E6" s="67"/>
      <c r="F6" s="67"/>
      <c r="G6" s="67"/>
      <c r="H6" s="67"/>
      <c r="I6" s="81"/>
    </row>
    <row r="7" spans="1:9" x14ac:dyDescent="0.3">
      <c r="A7" s="13"/>
      <c r="B7" s="14"/>
      <c r="C7" s="14"/>
      <c r="D7" s="18"/>
      <c r="E7" s="18"/>
      <c r="F7" s="18"/>
      <c r="G7" s="18"/>
      <c r="H7" s="14"/>
      <c r="I7" s="17"/>
    </row>
    <row r="8" spans="1:9" ht="12.75" customHeight="1" x14ac:dyDescent="0.3">
      <c r="A8" s="13"/>
      <c r="B8" s="14"/>
      <c r="C8" s="14"/>
      <c r="D8" s="14"/>
      <c r="E8" s="14"/>
      <c r="F8" s="14"/>
      <c r="G8" s="14"/>
      <c r="H8" s="14"/>
      <c r="I8" s="17"/>
    </row>
    <row r="9" spans="1:9" ht="17.25" customHeight="1" x14ac:dyDescent="0.3">
      <c r="A9" s="13"/>
      <c r="B9" s="104" t="s">
        <v>2</v>
      </c>
      <c r="C9" s="104"/>
      <c r="D9" s="54">
        <f>COUNTA(A27:B50)</f>
        <v>0</v>
      </c>
      <c r="E9" s="84" t="s">
        <v>3</v>
      </c>
      <c r="F9" s="84"/>
      <c r="G9" s="84"/>
      <c r="H9" s="85">
        <f>D52</f>
        <v>0</v>
      </c>
      <c r="I9" s="86"/>
    </row>
    <row r="10" spans="1:9" ht="17.25" customHeight="1" x14ac:dyDescent="0.35">
      <c r="A10" s="13"/>
      <c r="B10" s="55"/>
      <c r="C10" s="84" t="s">
        <v>4</v>
      </c>
      <c r="D10" s="84"/>
      <c r="E10" s="84"/>
      <c r="F10" s="84"/>
      <c r="G10" s="84"/>
      <c r="H10" s="14"/>
      <c r="I10" s="17"/>
    </row>
    <row r="11" spans="1:9" x14ac:dyDescent="0.3">
      <c r="A11" s="13"/>
      <c r="B11" s="14"/>
      <c r="C11" s="14"/>
      <c r="D11" s="14"/>
      <c r="E11" s="14"/>
      <c r="F11" s="14"/>
      <c r="G11" s="14"/>
      <c r="H11" s="14"/>
      <c r="I11" s="17"/>
    </row>
    <row r="12" spans="1:9" x14ac:dyDescent="0.3">
      <c r="A12" s="66"/>
      <c r="B12" s="67"/>
      <c r="C12" s="67"/>
      <c r="D12" s="14"/>
      <c r="E12" s="68" t="s">
        <v>5</v>
      </c>
      <c r="F12" s="69"/>
      <c r="G12" s="69"/>
      <c r="H12" s="69"/>
      <c r="I12" s="70"/>
    </row>
    <row r="13" spans="1:9" ht="7.9" customHeight="1" x14ac:dyDescent="0.3">
      <c r="A13" s="13"/>
      <c r="B13" s="14"/>
      <c r="C13" s="14"/>
      <c r="D13" s="14"/>
      <c r="E13" s="71" t="s">
        <v>6</v>
      </c>
      <c r="F13" s="72"/>
      <c r="G13" s="72"/>
      <c r="H13" s="72"/>
      <c r="I13" s="73"/>
    </row>
    <row r="14" spans="1:9" ht="19.5" thickBot="1" x14ac:dyDescent="0.35">
      <c r="A14" s="20"/>
      <c r="B14" s="14"/>
      <c r="C14" s="14"/>
      <c r="D14" s="14"/>
      <c r="E14" s="74"/>
      <c r="F14" s="75"/>
      <c r="G14" s="75"/>
      <c r="H14" s="75"/>
      <c r="I14" s="76"/>
    </row>
    <row r="15" spans="1:9" ht="19.5" thickTop="1" x14ac:dyDescent="0.3">
      <c r="A15" s="66"/>
      <c r="B15" s="67"/>
      <c r="C15" s="67"/>
      <c r="D15" s="67"/>
      <c r="E15" s="21" t="s">
        <v>7</v>
      </c>
      <c r="F15" s="22" t="s">
        <v>8</v>
      </c>
      <c r="G15" s="77" t="s">
        <v>9</v>
      </c>
      <c r="H15" s="77" t="s">
        <v>10</v>
      </c>
      <c r="I15" s="105"/>
    </row>
    <row r="16" spans="1:9" ht="36" x14ac:dyDescent="0.3">
      <c r="A16" s="13"/>
      <c r="B16" s="14"/>
      <c r="C16" s="14"/>
      <c r="D16" s="14"/>
      <c r="E16" s="23" t="s">
        <v>11</v>
      </c>
      <c r="F16" s="24" t="s">
        <v>12</v>
      </c>
      <c r="G16" s="78"/>
      <c r="H16" s="78"/>
      <c r="I16" s="106"/>
    </row>
    <row r="17" spans="1:9" s="25" customFormat="1" ht="12.75" customHeight="1" x14ac:dyDescent="0.25">
      <c r="A17" s="20"/>
      <c r="B17" s="19"/>
      <c r="C17" s="19"/>
      <c r="D17" s="19"/>
      <c r="E17" s="87" t="s">
        <v>13</v>
      </c>
      <c r="F17" s="100"/>
      <c r="G17" s="90"/>
      <c r="H17" s="93" t="s">
        <v>338</v>
      </c>
      <c r="I17" s="94"/>
    </row>
    <row r="18" spans="1:9" s="25" customFormat="1" ht="12.75" customHeight="1" x14ac:dyDescent="0.25">
      <c r="A18" s="20"/>
      <c r="B18" s="19"/>
      <c r="C18" s="19"/>
      <c r="D18" s="19"/>
      <c r="E18" s="88"/>
      <c r="F18" s="101"/>
      <c r="G18" s="91"/>
      <c r="H18" s="95"/>
      <c r="I18" s="96"/>
    </row>
    <row r="19" spans="1:9" s="25" customFormat="1" ht="12.75" customHeight="1" x14ac:dyDescent="0.25">
      <c r="A19" s="20"/>
      <c r="B19" s="19"/>
      <c r="C19" s="19"/>
      <c r="D19" s="19"/>
      <c r="E19" s="88"/>
      <c r="F19" s="102"/>
      <c r="G19" s="91"/>
      <c r="H19" s="95"/>
      <c r="I19" s="96"/>
    </row>
    <row r="20" spans="1:9" s="25" customFormat="1" ht="12.75" customHeight="1" thickBot="1" x14ac:dyDescent="0.3">
      <c r="A20" s="20"/>
      <c r="B20" s="99"/>
      <c r="C20" s="99"/>
      <c r="D20" s="99"/>
      <c r="E20" s="89"/>
      <c r="F20" s="103"/>
      <c r="G20" s="92"/>
      <c r="H20" s="97"/>
      <c r="I20" s="98"/>
    </row>
    <row r="21" spans="1:9" s="25" customFormat="1" thickTop="1" x14ac:dyDescent="0.25">
      <c r="A21" s="20"/>
      <c r="B21" s="26"/>
      <c r="C21" s="27"/>
      <c r="D21" s="28"/>
      <c r="E21" s="29"/>
      <c r="F21" s="29"/>
      <c r="G21" s="30"/>
      <c r="H21" s="1"/>
      <c r="I21" s="2"/>
    </row>
    <row r="22" spans="1:9" s="25" customFormat="1" ht="16.5" customHeight="1" x14ac:dyDescent="0.25">
      <c r="A22" s="65" t="s">
        <v>14</v>
      </c>
      <c r="B22" s="65"/>
      <c r="C22" s="65"/>
      <c r="D22" s="65"/>
      <c r="E22" s="65"/>
      <c r="F22" s="65"/>
      <c r="G22" s="65"/>
      <c r="H22" s="65"/>
      <c r="I22" s="65"/>
    </row>
    <row r="23" spans="1:9" s="25" customFormat="1" ht="17.25" customHeight="1" x14ac:dyDescent="0.25">
      <c r="A23" s="65" t="s">
        <v>15</v>
      </c>
      <c r="B23" s="65"/>
      <c r="C23" s="65"/>
      <c r="D23" s="65"/>
      <c r="E23" s="65"/>
      <c r="F23" s="65"/>
      <c r="G23" s="65"/>
      <c r="H23" s="65"/>
      <c r="I23" s="65"/>
    </row>
    <row r="24" spans="1:9" s="25" customFormat="1" ht="7.5" customHeight="1" x14ac:dyDescent="0.25">
      <c r="A24" s="20"/>
      <c r="B24" s="19"/>
      <c r="C24" s="19"/>
      <c r="D24" s="19"/>
      <c r="E24" s="19"/>
      <c r="F24" s="19"/>
      <c r="G24" s="19"/>
      <c r="H24" s="19"/>
      <c r="I24" s="31"/>
    </row>
    <row r="25" spans="1:9" s="25" customFormat="1" ht="15" customHeight="1" x14ac:dyDescent="0.25">
      <c r="A25" s="118" t="s">
        <v>16</v>
      </c>
      <c r="B25" s="119"/>
      <c r="C25" s="32" t="s">
        <v>17</v>
      </c>
      <c r="D25" s="119" t="s">
        <v>18</v>
      </c>
      <c r="E25" s="119"/>
      <c r="F25" s="119" t="s">
        <v>19</v>
      </c>
      <c r="G25" s="119"/>
      <c r="H25" s="119"/>
      <c r="I25" s="120"/>
    </row>
    <row r="26" spans="1:9" s="25" customFormat="1" ht="7.5" customHeight="1" x14ac:dyDescent="0.25">
      <c r="A26" s="121"/>
      <c r="B26" s="122"/>
      <c r="C26" s="33"/>
      <c r="D26" s="34"/>
      <c r="E26" s="35"/>
      <c r="F26" s="36"/>
      <c r="I26" s="37"/>
    </row>
    <row r="27" spans="1:9" s="25" customFormat="1" ht="24" customHeight="1" x14ac:dyDescent="0.25">
      <c r="A27" s="109"/>
      <c r="B27" s="110"/>
      <c r="C27" s="38"/>
      <c r="D27" s="107"/>
      <c r="E27" s="108"/>
      <c r="F27" s="111" t="s">
        <v>20</v>
      </c>
      <c r="G27" s="112"/>
      <c r="H27" s="112"/>
      <c r="I27" s="113"/>
    </row>
    <row r="28" spans="1:9" s="25" customFormat="1" ht="16.5" customHeight="1" x14ac:dyDescent="0.25">
      <c r="A28" s="109"/>
      <c r="B28" s="110"/>
      <c r="C28" s="38"/>
      <c r="D28" s="107"/>
      <c r="E28" s="108"/>
      <c r="F28" s="111"/>
      <c r="G28" s="112"/>
      <c r="H28" s="112"/>
      <c r="I28" s="113"/>
    </row>
    <row r="29" spans="1:9" s="25" customFormat="1" ht="16.5" customHeight="1" x14ac:dyDescent="0.25">
      <c r="A29" s="109"/>
      <c r="B29" s="110"/>
      <c r="C29" s="38"/>
      <c r="D29" s="107"/>
      <c r="E29" s="108"/>
      <c r="F29" s="39" t="s">
        <v>21</v>
      </c>
      <c r="G29" s="114"/>
      <c r="H29" s="114"/>
      <c r="I29" s="115"/>
    </row>
    <row r="30" spans="1:9" s="25" customFormat="1" ht="16.5" customHeight="1" x14ac:dyDescent="0.25">
      <c r="A30" s="109"/>
      <c r="B30" s="110"/>
      <c r="C30" s="38"/>
      <c r="D30" s="107"/>
      <c r="E30" s="108"/>
      <c r="F30" s="39" t="s">
        <v>22</v>
      </c>
      <c r="G30" s="116"/>
      <c r="H30" s="116"/>
      <c r="I30" s="117"/>
    </row>
    <row r="31" spans="1:9" s="25" customFormat="1" ht="16.5" customHeight="1" x14ac:dyDescent="0.25">
      <c r="A31" s="123"/>
      <c r="B31" s="124"/>
      <c r="C31" s="38"/>
      <c r="D31" s="107"/>
      <c r="E31" s="108"/>
      <c r="F31" s="39"/>
      <c r="G31" s="53"/>
      <c r="H31" s="53"/>
      <c r="I31" s="9"/>
    </row>
    <row r="32" spans="1:9" s="25" customFormat="1" ht="16.5" customHeight="1" x14ac:dyDescent="0.25">
      <c r="A32" s="123"/>
      <c r="B32" s="124"/>
      <c r="C32" s="38"/>
      <c r="D32" s="107"/>
      <c r="E32" s="108"/>
      <c r="F32" s="39"/>
      <c r="G32" s="53"/>
      <c r="H32" s="53"/>
      <c r="I32" s="9"/>
    </row>
    <row r="33" spans="1:9" s="25" customFormat="1" ht="16.5" customHeight="1" x14ac:dyDescent="0.25">
      <c r="A33" s="123"/>
      <c r="B33" s="124"/>
      <c r="C33" s="38"/>
      <c r="D33" s="107"/>
      <c r="E33" s="108"/>
      <c r="F33" s="39"/>
      <c r="G33" s="53"/>
      <c r="H33" s="53"/>
      <c r="I33" s="9"/>
    </row>
    <row r="34" spans="1:9" s="25" customFormat="1" ht="16.5" customHeight="1" x14ac:dyDescent="0.25">
      <c r="A34" s="123"/>
      <c r="B34" s="124"/>
      <c r="C34" s="38"/>
      <c r="D34" s="107"/>
      <c r="E34" s="108"/>
      <c r="F34" s="39"/>
      <c r="G34" s="53"/>
      <c r="H34" s="53"/>
      <c r="I34" s="9"/>
    </row>
    <row r="35" spans="1:9" s="25" customFormat="1" ht="16.5" customHeight="1" x14ac:dyDescent="0.25">
      <c r="A35" s="109"/>
      <c r="B35" s="110"/>
      <c r="C35" s="38"/>
      <c r="D35" s="107"/>
      <c r="E35" s="108"/>
      <c r="F35" s="40"/>
      <c r="G35" s="41"/>
      <c r="H35" s="41"/>
      <c r="I35" s="37"/>
    </row>
    <row r="36" spans="1:9" s="25" customFormat="1" ht="16.5" customHeight="1" x14ac:dyDescent="0.25">
      <c r="A36" s="109"/>
      <c r="B36" s="110"/>
      <c r="C36" s="38"/>
      <c r="D36" s="107"/>
      <c r="E36" s="108"/>
      <c r="F36" s="40"/>
      <c r="G36" s="41"/>
      <c r="H36" s="41"/>
      <c r="I36" s="37"/>
    </row>
    <row r="37" spans="1:9" s="25" customFormat="1" ht="16.5" customHeight="1" x14ac:dyDescent="0.25">
      <c r="A37" s="109"/>
      <c r="B37" s="110"/>
      <c r="C37" s="38"/>
      <c r="D37" s="107"/>
      <c r="E37" s="108"/>
      <c r="F37" s="40"/>
      <c r="G37" s="41"/>
      <c r="H37" s="41"/>
      <c r="I37" s="37"/>
    </row>
    <row r="38" spans="1:9" s="25" customFormat="1" ht="16.5" customHeight="1" x14ac:dyDescent="0.25">
      <c r="A38" s="109"/>
      <c r="B38" s="110"/>
      <c r="C38" s="38"/>
      <c r="D38" s="107"/>
      <c r="E38" s="108"/>
      <c r="F38" s="40"/>
      <c r="G38" s="41"/>
      <c r="H38" s="41"/>
      <c r="I38" s="37"/>
    </row>
    <row r="39" spans="1:9" s="25" customFormat="1" ht="16.5" customHeight="1" x14ac:dyDescent="0.25">
      <c r="A39" s="109"/>
      <c r="B39" s="110"/>
      <c r="C39" s="38"/>
      <c r="D39" s="107"/>
      <c r="E39" s="108"/>
      <c r="F39" s="176" t="s">
        <v>23</v>
      </c>
      <c r="G39" s="67"/>
      <c r="H39" s="67"/>
      <c r="I39" s="81"/>
    </row>
    <row r="40" spans="1:9" s="25" customFormat="1" ht="16.5" customHeight="1" x14ac:dyDescent="0.25">
      <c r="A40" s="109"/>
      <c r="B40" s="110"/>
      <c r="C40" s="38"/>
      <c r="D40" s="107"/>
      <c r="E40" s="108"/>
      <c r="F40" s="36" t="s">
        <v>24</v>
      </c>
      <c r="G40" s="177">
        <f>G27</f>
        <v>0</v>
      </c>
      <c r="H40" s="177"/>
      <c r="I40" s="178"/>
    </row>
    <row r="41" spans="1:9" s="25" customFormat="1" ht="16.5" customHeight="1" x14ac:dyDescent="0.25">
      <c r="A41" s="109"/>
      <c r="B41" s="110"/>
      <c r="C41" s="38"/>
      <c r="D41" s="107"/>
      <c r="E41" s="108"/>
      <c r="F41" s="36" t="s">
        <v>25</v>
      </c>
      <c r="G41" s="157"/>
      <c r="H41" s="157"/>
      <c r="I41" s="158"/>
    </row>
    <row r="42" spans="1:9" s="25" customFormat="1" ht="16.5" customHeight="1" x14ac:dyDescent="0.25">
      <c r="A42" s="109"/>
      <c r="B42" s="110"/>
      <c r="C42" s="38"/>
      <c r="D42" s="107"/>
      <c r="E42" s="108"/>
      <c r="F42" s="36" t="s">
        <v>26</v>
      </c>
      <c r="G42" s="159"/>
      <c r="H42" s="159"/>
      <c r="I42" s="160"/>
    </row>
    <row r="43" spans="1:9" s="25" customFormat="1" ht="16.5" customHeight="1" x14ac:dyDescent="0.25">
      <c r="A43" s="109"/>
      <c r="B43" s="110"/>
      <c r="C43" s="38"/>
      <c r="D43" s="107"/>
      <c r="E43" s="108"/>
      <c r="F43" s="36" t="s">
        <v>27</v>
      </c>
      <c r="G43" s="157"/>
      <c r="H43" s="157"/>
      <c r="I43" s="158"/>
    </row>
    <row r="44" spans="1:9" s="25" customFormat="1" ht="16.5" customHeight="1" x14ac:dyDescent="0.25">
      <c r="A44" s="109"/>
      <c r="B44" s="110"/>
      <c r="C44" s="38"/>
      <c r="D44" s="107"/>
      <c r="E44" s="108"/>
      <c r="F44" s="36" t="s">
        <v>28</v>
      </c>
      <c r="G44" s="157"/>
      <c r="H44" s="157"/>
      <c r="I44" s="158"/>
    </row>
    <row r="45" spans="1:9" s="25" customFormat="1" ht="18.600000000000001" customHeight="1" x14ac:dyDescent="0.25">
      <c r="A45" s="109"/>
      <c r="B45" s="110"/>
      <c r="C45" s="38"/>
      <c r="D45" s="107"/>
      <c r="E45" s="108"/>
      <c r="F45" s="36" t="s">
        <v>29</v>
      </c>
      <c r="G45" s="157"/>
      <c r="H45" s="157"/>
      <c r="I45" s="158"/>
    </row>
    <row r="46" spans="1:9" s="25" customFormat="1" ht="26.45" customHeight="1" x14ac:dyDescent="0.25">
      <c r="A46" s="109"/>
      <c r="B46" s="110"/>
      <c r="C46" s="38"/>
      <c r="D46" s="107"/>
      <c r="E46" s="108"/>
      <c r="F46" s="111" t="s">
        <v>302</v>
      </c>
      <c r="G46" s="155"/>
      <c r="H46" s="155"/>
      <c r="I46" s="156"/>
    </row>
    <row r="47" spans="1:9" s="25" customFormat="1" ht="25.15" customHeight="1" x14ac:dyDescent="0.25">
      <c r="A47" s="109"/>
      <c r="B47" s="110"/>
      <c r="C47" s="38"/>
      <c r="D47" s="107"/>
      <c r="E47" s="108"/>
      <c r="F47" s="111"/>
      <c r="G47" s="155"/>
      <c r="H47" s="155"/>
      <c r="I47" s="156"/>
    </row>
    <row r="48" spans="1:9" s="25" customFormat="1" ht="16.5" customHeight="1" x14ac:dyDescent="0.25">
      <c r="A48" s="109"/>
      <c r="B48" s="110"/>
      <c r="C48" s="38"/>
      <c r="D48" s="107"/>
      <c r="E48" s="108"/>
      <c r="F48" s="111"/>
      <c r="G48" s="155"/>
      <c r="H48" s="155"/>
      <c r="I48" s="156"/>
    </row>
    <row r="49" spans="1:10" s="25" customFormat="1" ht="16.5" customHeight="1" x14ac:dyDescent="0.25">
      <c r="A49" s="109"/>
      <c r="B49" s="110"/>
      <c r="C49" s="38"/>
      <c r="D49" s="107"/>
      <c r="E49" s="108"/>
      <c r="G49" s="19"/>
      <c r="H49" s="19"/>
      <c r="I49" s="51"/>
    </row>
    <row r="50" spans="1:10" s="25" customFormat="1" ht="24" customHeight="1" thickBot="1" x14ac:dyDescent="0.3">
      <c r="A50" s="180"/>
      <c r="B50" s="181"/>
      <c r="C50" s="42"/>
      <c r="D50" s="151"/>
      <c r="E50" s="152"/>
      <c r="F50" s="49"/>
      <c r="G50" s="50"/>
      <c r="H50" s="50"/>
      <c r="I50" s="52"/>
    </row>
    <row r="51" spans="1:10" s="25" customFormat="1" ht="6" customHeight="1" thickBot="1" x14ac:dyDescent="0.3">
      <c r="A51" s="182"/>
      <c r="B51" s="183"/>
      <c r="C51" s="19"/>
      <c r="D51" s="19"/>
      <c r="E51" s="19"/>
      <c r="F51" s="19"/>
      <c r="G51" s="19"/>
      <c r="H51" s="19"/>
      <c r="I51" s="31"/>
    </row>
    <row r="52" spans="1:10" s="25" customFormat="1" ht="33" customHeight="1" thickTop="1" x14ac:dyDescent="0.25">
      <c r="A52" s="68"/>
      <c r="B52" s="69"/>
      <c r="C52" s="70"/>
      <c r="D52" s="153">
        <f>SUM(D27:E50)</f>
        <v>0</v>
      </c>
      <c r="E52" s="154"/>
      <c r="F52" s="148" t="str">
        <f>PesosMN(D52)</f>
        <v xml:space="preserve"> ( PESO 00/100 M.N.)</v>
      </c>
      <c r="G52" s="149"/>
      <c r="H52" s="149"/>
      <c r="I52" s="150"/>
    </row>
    <row r="53" spans="1:10" s="25" customFormat="1" ht="5.45" customHeight="1" thickBot="1" x14ac:dyDescent="0.3">
      <c r="A53" s="20"/>
      <c r="B53" s="19"/>
      <c r="C53" s="19"/>
      <c r="D53" s="19"/>
      <c r="E53" s="19"/>
      <c r="F53" s="19"/>
      <c r="G53" s="19"/>
      <c r="H53" s="19"/>
      <c r="I53" s="31"/>
    </row>
    <row r="54" spans="1:10" s="25" customFormat="1" ht="21" customHeight="1" thickTop="1" x14ac:dyDescent="0.25">
      <c r="A54" s="125" t="s">
        <v>30</v>
      </c>
      <c r="B54" s="126"/>
      <c r="C54" s="126"/>
      <c r="D54" s="127"/>
      <c r="E54" s="137" t="s">
        <v>31</v>
      </c>
      <c r="F54" s="138"/>
      <c r="G54" s="139"/>
      <c r="H54" s="125"/>
      <c r="I54" s="127"/>
    </row>
    <row r="55" spans="1:10" s="25" customFormat="1" ht="21" customHeight="1" x14ac:dyDescent="0.25">
      <c r="A55" s="128" t="s">
        <v>32</v>
      </c>
      <c r="B55" s="129"/>
      <c r="C55" s="129"/>
      <c r="D55" s="130"/>
      <c r="E55" s="140"/>
      <c r="F55" s="141"/>
      <c r="G55" s="142"/>
      <c r="H55" s="128"/>
      <c r="I55" s="130"/>
    </row>
    <row r="56" spans="1:10" s="25" customFormat="1" ht="30" customHeight="1" x14ac:dyDescent="0.25">
      <c r="A56" s="128"/>
      <c r="B56" s="129"/>
      <c r="C56" s="129"/>
      <c r="D56" s="130"/>
      <c r="E56" s="56"/>
      <c r="F56" s="57"/>
      <c r="G56" s="58"/>
      <c r="H56" s="128"/>
      <c r="I56" s="130"/>
      <c r="J56" s="19"/>
    </row>
    <row r="57" spans="1:10" s="25" customFormat="1" ht="15" customHeight="1" x14ac:dyDescent="0.25">
      <c r="A57" s="128"/>
      <c r="B57" s="129"/>
      <c r="C57" s="129"/>
      <c r="D57" s="130"/>
      <c r="E57" s="56"/>
      <c r="F57" s="57"/>
      <c r="G57" s="58"/>
      <c r="H57" s="128"/>
      <c r="I57" s="130"/>
      <c r="J57" s="19"/>
    </row>
    <row r="58" spans="1:10" s="25" customFormat="1" ht="15" customHeight="1" x14ac:dyDescent="0.25">
      <c r="A58" s="128"/>
      <c r="B58" s="129"/>
      <c r="C58" s="129"/>
      <c r="D58" s="130"/>
      <c r="E58" s="56"/>
      <c r="F58" s="57"/>
      <c r="G58" s="58"/>
      <c r="H58" s="128"/>
      <c r="I58" s="130"/>
      <c r="J58" s="19"/>
    </row>
    <row r="59" spans="1:10" s="25" customFormat="1" ht="15" customHeight="1" x14ac:dyDescent="0.25">
      <c r="A59" s="128"/>
      <c r="B59" s="129"/>
      <c r="C59" s="129"/>
      <c r="D59" s="130"/>
      <c r="E59" s="56"/>
      <c r="F59" s="57"/>
      <c r="G59" s="58"/>
      <c r="H59" s="128"/>
      <c r="I59" s="130"/>
      <c r="J59" s="19"/>
    </row>
    <row r="60" spans="1:10" s="25" customFormat="1" ht="62.25" customHeight="1" x14ac:dyDescent="0.25">
      <c r="A60" s="131"/>
      <c r="B60" s="132"/>
      <c r="C60" s="132"/>
      <c r="D60" s="133"/>
      <c r="E60" s="59"/>
      <c r="F60" s="60"/>
      <c r="G60" s="61"/>
      <c r="H60" s="128"/>
      <c r="I60" s="130"/>
      <c r="J60" s="19"/>
    </row>
    <row r="61" spans="1:10" s="25" customFormat="1" ht="70.5" customHeight="1" thickBot="1" x14ac:dyDescent="0.3">
      <c r="A61" s="134" t="s">
        <v>33</v>
      </c>
      <c r="B61" s="135"/>
      <c r="C61" s="135"/>
      <c r="D61" s="136"/>
      <c r="E61" s="143" t="s">
        <v>339</v>
      </c>
      <c r="F61" s="144"/>
      <c r="G61" s="145"/>
      <c r="H61" s="146"/>
      <c r="I61" s="147"/>
    </row>
    <row r="62" spans="1:10" s="25" customFormat="1" ht="6.75" customHeight="1" thickTop="1" x14ac:dyDescent="0.25">
      <c r="A62" s="20"/>
      <c r="B62" s="19"/>
      <c r="C62" s="19"/>
      <c r="D62" s="19"/>
      <c r="E62" s="19"/>
      <c r="F62" s="19"/>
      <c r="G62" s="19"/>
      <c r="H62" s="19"/>
      <c r="I62" s="31"/>
    </row>
    <row r="63" spans="1:10" s="25" customFormat="1" ht="31.5" customHeight="1" x14ac:dyDescent="0.25">
      <c r="A63" s="179" t="s">
        <v>34</v>
      </c>
      <c r="B63" s="149"/>
      <c r="C63" s="149"/>
      <c r="D63" s="149"/>
      <c r="E63" s="149"/>
      <c r="F63" s="149"/>
      <c r="G63" s="149"/>
      <c r="H63" s="149"/>
      <c r="I63" s="150"/>
    </row>
    <row r="64" spans="1:10" s="25" customFormat="1" ht="5.45" customHeight="1" x14ac:dyDescent="0.25">
      <c r="A64" s="20"/>
      <c r="B64" s="19"/>
      <c r="C64" s="19"/>
      <c r="D64" s="27"/>
      <c r="E64" s="27"/>
      <c r="F64" s="27"/>
      <c r="G64" s="27"/>
      <c r="H64" s="19"/>
      <c r="I64" s="31"/>
    </row>
    <row r="65" spans="1:9" s="25" customFormat="1" ht="15" customHeight="1" x14ac:dyDescent="0.25">
      <c r="A65" s="167" t="s">
        <v>300</v>
      </c>
      <c r="B65" s="168"/>
      <c r="C65" s="168"/>
      <c r="D65" s="169"/>
      <c r="E65" s="167" t="s">
        <v>301</v>
      </c>
      <c r="F65" s="168"/>
      <c r="G65" s="168"/>
      <c r="H65" s="168"/>
      <c r="I65" s="169"/>
    </row>
    <row r="66" spans="1:9" s="25" customFormat="1" ht="42" customHeight="1" x14ac:dyDescent="0.25">
      <c r="A66" s="170"/>
      <c r="B66" s="171"/>
      <c r="C66" s="171"/>
      <c r="D66" s="172"/>
      <c r="E66" s="170"/>
      <c r="F66" s="171"/>
      <c r="G66" s="171"/>
      <c r="H66" s="171"/>
      <c r="I66" s="172"/>
    </row>
    <row r="67" spans="1:9" s="25" customFormat="1" ht="27" customHeight="1" x14ac:dyDescent="0.25">
      <c r="A67" s="164" t="s">
        <v>35</v>
      </c>
      <c r="B67" s="165"/>
      <c r="C67" s="165"/>
      <c r="D67" s="166"/>
      <c r="E67" s="20"/>
      <c r="F67" s="19"/>
      <c r="G67" s="19"/>
      <c r="H67" s="19"/>
      <c r="I67" s="31"/>
    </row>
    <row r="68" spans="1:9" s="25" customFormat="1" ht="23.25" customHeight="1" x14ac:dyDescent="0.25">
      <c r="A68" s="173"/>
      <c r="B68" s="174"/>
      <c r="C68" s="174"/>
      <c r="D68" s="175"/>
      <c r="E68" s="43"/>
      <c r="F68" s="30"/>
      <c r="G68" s="30"/>
      <c r="H68" s="19"/>
      <c r="I68" s="31"/>
    </row>
    <row r="69" spans="1:9" s="25" customFormat="1" ht="23.25" customHeight="1" x14ac:dyDescent="0.25">
      <c r="A69" s="162"/>
      <c r="B69" s="129"/>
      <c r="C69" s="129"/>
      <c r="D69" s="163"/>
      <c r="E69" s="43"/>
      <c r="F69" s="30"/>
      <c r="G69" s="30"/>
      <c r="H69" s="19"/>
      <c r="I69" s="31"/>
    </row>
    <row r="70" spans="1:9" s="25" customFormat="1" ht="23.25" customHeight="1" x14ac:dyDescent="0.25">
      <c r="A70" s="162"/>
      <c r="B70" s="129"/>
      <c r="C70" s="129"/>
      <c r="D70" s="163"/>
      <c r="E70" s="43"/>
      <c r="F70" s="30"/>
      <c r="G70" s="30"/>
      <c r="H70" s="19"/>
      <c r="I70" s="31"/>
    </row>
    <row r="71" spans="1:9" s="25" customFormat="1" ht="23.25" customHeight="1" x14ac:dyDescent="0.25">
      <c r="A71" s="20"/>
      <c r="B71" s="129"/>
      <c r="C71" s="129"/>
      <c r="D71" s="163"/>
      <c r="E71" s="43"/>
      <c r="F71" s="30"/>
      <c r="G71" s="30"/>
      <c r="H71" s="19"/>
      <c r="I71" s="31"/>
    </row>
    <row r="72" spans="1:9" ht="23.25" customHeight="1" x14ac:dyDescent="0.3">
      <c r="A72" s="44"/>
      <c r="B72" s="132"/>
      <c r="C72" s="132"/>
      <c r="D72" s="161"/>
      <c r="E72" s="45"/>
      <c r="F72" s="46"/>
      <c r="G72" s="46"/>
      <c r="H72" s="46"/>
      <c r="I72" s="47"/>
    </row>
    <row r="73" spans="1:9" x14ac:dyDescent="0.3">
      <c r="A73" s="45"/>
      <c r="B73" s="48"/>
      <c r="C73" s="46"/>
      <c r="D73" s="46"/>
      <c r="E73" s="46"/>
      <c r="F73" s="46"/>
      <c r="G73" s="46"/>
      <c r="H73" s="46"/>
      <c r="I73" s="47"/>
    </row>
    <row r="74" spans="1:9" x14ac:dyDescent="0.3">
      <c r="A74" s="14"/>
      <c r="B74" s="14"/>
      <c r="C74" s="14"/>
      <c r="D74" s="14"/>
      <c r="E74" s="14"/>
      <c r="F74" s="14"/>
      <c r="G74" s="14"/>
      <c r="H74" s="14"/>
      <c r="I74" s="14"/>
    </row>
  </sheetData>
  <sheetProtection algorithmName="SHA-512" hashValue="4Tt/YXn3zxCk5hNT/g3x2zQQx4sJe9ZtSZAKec/b+KG6gS6frkHgbtxpRcxbgZSBs7K5NicvanAZhqaJBml2Rg==" saltValue="DgcPPal49KRqnDPbxOF8eA==" spinCount="100000" sheet="1" formatCells="0" formatColumns="0" formatRows="0" insertColumns="0" insertRows="0" deleteColumns="0" deleteRows="0" sort="0" autoFilter="0" pivotTables="0"/>
  <mergeCells count="108">
    <mergeCell ref="G41:I41"/>
    <mergeCell ref="G40:I40"/>
    <mergeCell ref="A63:I63"/>
    <mergeCell ref="A50:B50"/>
    <mergeCell ref="A51:B51"/>
    <mergeCell ref="D41:E41"/>
    <mergeCell ref="D42:E42"/>
    <mergeCell ref="D43:E43"/>
    <mergeCell ref="D44:E44"/>
    <mergeCell ref="D45:E45"/>
    <mergeCell ref="B72:D72"/>
    <mergeCell ref="A69:D70"/>
    <mergeCell ref="D39:E39"/>
    <mergeCell ref="D40:E40"/>
    <mergeCell ref="A39:B39"/>
    <mergeCell ref="A40:B40"/>
    <mergeCell ref="A45:B45"/>
    <mergeCell ref="A46:B46"/>
    <mergeCell ref="A67:D67"/>
    <mergeCell ref="A65:D66"/>
    <mergeCell ref="A43:B43"/>
    <mergeCell ref="A48:B48"/>
    <mergeCell ref="D47:E47"/>
    <mergeCell ref="D48:E48"/>
    <mergeCell ref="E65:I66"/>
    <mergeCell ref="A68:D68"/>
    <mergeCell ref="B71:D71"/>
    <mergeCell ref="G45:I45"/>
    <mergeCell ref="F39:I39"/>
    <mergeCell ref="D50:E50"/>
    <mergeCell ref="D52:E52"/>
    <mergeCell ref="A47:B47"/>
    <mergeCell ref="F46:F48"/>
    <mergeCell ref="G46:I48"/>
    <mergeCell ref="A49:B49"/>
    <mergeCell ref="D46:E46"/>
    <mergeCell ref="A52:C52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A54:D54"/>
    <mergeCell ref="A55:D55"/>
    <mergeCell ref="A56:D60"/>
    <mergeCell ref="A61:D61"/>
    <mergeCell ref="E54:G54"/>
    <mergeCell ref="E55:G55"/>
    <mergeCell ref="E61:G61"/>
    <mergeCell ref="H54:I61"/>
    <mergeCell ref="F52:I52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</mergeCells>
  <conditionalFormatting sqref="B71:D72">
    <cfRule type="containsErrors" dxfId="0" priority="1">
      <formula>ISERROR(B71)</formula>
    </cfRule>
  </conditionalFormatting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DATOS" error="FAVOR DE SELECCIONAR LA PARTIDA">
          <x14:formula1>
            <xm:f>PARTIDA!$B$2:$B$249</xm:f>
          </x14:formula1>
          <xm:sqref>C27:C50</xm:sqref>
        </x14:dataValidation>
        <x14:dataValidation type="list" showInputMessage="1" showErrorMessage="1" errorTitle="ERROR DE DATOS" error="FAVOR DE SELECCIONAR LA PARTIDA CORRECTAMENTE">
          <x14:formula1>
            <xm:f>PROYECTO!$A$2:$A$36</xm:f>
          </x14:formula1>
          <xm:sqref>F17:F20</xm:sqref>
        </x14:dataValidation>
        <x14:dataValidation type="list" allowBlank="1" showInputMessage="1" showErrorMessage="1">
          <x14:formula1>
            <xm:f>Hoja1!$A$1:$A$2</xm:f>
          </x14:formula1>
          <xm:sqref>E61:G61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workbookViewId="0">
      <selection activeCell="C4" sqref="C4"/>
    </sheetView>
  </sheetViews>
  <sheetFormatPr baseColWidth="10" defaultRowHeight="15" x14ac:dyDescent="0.25"/>
  <cols>
    <col min="1" max="1" width="33.5703125" bestFit="1" customWidth="1"/>
    <col min="7" max="7" width="13.7109375" customWidth="1"/>
    <col min="8" max="8" width="42.42578125" customWidth="1"/>
  </cols>
  <sheetData>
    <row r="1" spans="1:8" ht="130.5" customHeight="1" thickBot="1" x14ac:dyDescent="0.3">
      <c r="A1" s="64" t="s">
        <v>339</v>
      </c>
      <c r="B1" s="62"/>
      <c r="C1" s="63"/>
    </row>
    <row r="2" spans="1:8" ht="117" customHeight="1" thickTop="1" thickBot="1" x14ac:dyDescent="0.3">
      <c r="A2" s="64" t="s">
        <v>341</v>
      </c>
      <c r="B2" s="62"/>
      <c r="C2" s="63"/>
      <c r="F2" s="137" t="s">
        <v>31</v>
      </c>
      <c r="G2" s="138"/>
      <c r="H2" s="139"/>
    </row>
    <row r="3" spans="1:8" ht="117" customHeight="1" thickTop="1" x14ac:dyDescent="0.25">
      <c r="F3" s="140"/>
      <c r="G3" s="141"/>
      <c r="H3" s="142"/>
    </row>
    <row r="4" spans="1:8" x14ac:dyDescent="0.25">
      <c r="F4" s="140"/>
      <c r="G4" s="141"/>
      <c r="H4" s="142"/>
    </row>
    <row r="5" spans="1:8" x14ac:dyDescent="0.25">
      <c r="F5" s="140"/>
      <c r="G5" s="141"/>
      <c r="H5" s="142"/>
    </row>
    <row r="6" spans="1:8" x14ac:dyDescent="0.25">
      <c r="F6" s="140"/>
      <c r="G6" s="141"/>
      <c r="H6" s="142"/>
    </row>
    <row r="7" spans="1:8" x14ac:dyDescent="0.25">
      <c r="F7" s="184"/>
      <c r="G7" s="185"/>
      <c r="H7" s="186"/>
    </row>
    <row r="8" spans="1:8" ht="59.25" customHeight="1" thickBot="1" x14ac:dyDescent="0.3">
      <c r="F8" s="143" t="s">
        <v>339</v>
      </c>
      <c r="G8" s="187"/>
      <c r="H8" s="188"/>
    </row>
    <row r="9" spans="1:8" ht="16.5" thickTop="1" thickBot="1" x14ac:dyDescent="0.3"/>
    <row r="10" spans="1:8" ht="18.75" thickTop="1" x14ac:dyDescent="0.25">
      <c r="F10" s="137" t="s">
        <v>31</v>
      </c>
      <c r="G10" s="138"/>
      <c r="H10" s="139"/>
    </row>
    <row r="11" spans="1:8" x14ac:dyDescent="0.25">
      <c r="F11" s="140"/>
      <c r="G11" s="141"/>
      <c r="H11" s="142"/>
    </row>
    <row r="12" spans="1:8" x14ac:dyDescent="0.25">
      <c r="F12" s="140"/>
      <c r="G12" s="141"/>
      <c r="H12" s="142"/>
    </row>
    <row r="13" spans="1:8" x14ac:dyDescent="0.25">
      <c r="F13" s="140"/>
      <c r="G13" s="141"/>
      <c r="H13" s="142"/>
    </row>
    <row r="14" spans="1:8" x14ac:dyDescent="0.25">
      <c r="F14" s="140"/>
      <c r="G14" s="141"/>
      <c r="H14" s="142"/>
    </row>
    <row r="15" spans="1:8" x14ac:dyDescent="0.25">
      <c r="F15" s="184"/>
      <c r="G15" s="185"/>
      <c r="H15" s="186"/>
    </row>
    <row r="16" spans="1:8" ht="68.25" customHeight="1" thickBot="1" x14ac:dyDescent="0.3">
      <c r="F16" s="143" t="s">
        <v>340</v>
      </c>
      <c r="G16" s="187"/>
      <c r="H16" s="188"/>
    </row>
    <row r="17" ht="48" customHeight="1" thickTop="1" x14ac:dyDescent="0.25"/>
  </sheetData>
  <mergeCells count="6">
    <mergeCell ref="F11:H15"/>
    <mergeCell ref="F16:H16"/>
    <mergeCell ref="F2:H2"/>
    <mergeCell ref="F3:H7"/>
    <mergeCell ref="F8:H8"/>
    <mergeCell ref="F10:H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70" workbookViewId="0">
      <selection activeCell="A196" sqref="A19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8" t="s">
        <v>50</v>
      </c>
      <c r="C1" s="8" t="s">
        <v>51</v>
      </c>
    </row>
    <row r="2" spans="1:3" x14ac:dyDescent="0.25">
      <c r="A2" t="s">
        <v>52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53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54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55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56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57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58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59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60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61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63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64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65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66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67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68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69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70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71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72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73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74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75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76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77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78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79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80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81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82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83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84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85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86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87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88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89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90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91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92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93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94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95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96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97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98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99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100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101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102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103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104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105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106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107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108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109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110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111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112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113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114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115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116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117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118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119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120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121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122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123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124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125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126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127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128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129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130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131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132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133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134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135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136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137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138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139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140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141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142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143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144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145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146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147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148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149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150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151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152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153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154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155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156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157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158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159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160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161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162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163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164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165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166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167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168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169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170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171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172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173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174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175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176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177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178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179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180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181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182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183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184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185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186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187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188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189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190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191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192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193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194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195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196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197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198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199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200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201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202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203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204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205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206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207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208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209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210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211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212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213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214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215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216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217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218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219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220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221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222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223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224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225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226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227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228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229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230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231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232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233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234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235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236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237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238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239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240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241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242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243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244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245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246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247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248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249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250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251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252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253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254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255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256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257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258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259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260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261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262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263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264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265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266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267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268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269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270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271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272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273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274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275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276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277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278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279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280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281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282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283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284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285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286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287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288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289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290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291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292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293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294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295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296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297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298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299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3"/>
  <sheetViews>
    <sheetView topLeftCell="A4" workbookViewId="0">
      <selection activeCell="A2" sqref="A2:A35"/>
    </sheetView>
  </sheetViews>
  <sheetFormatPr baseColWidth="10" defaultRowHeight="15" x14ac:dyDescent="0.25"/>
  <cols>
    <col min="1" max="1" width="23.5703125" style="3" bestFit="1" customWidth="1"/>
    <col min="2" max="2" width="37.7109375" bestFit="1" customWidth="1"/>
  </cols>
  <sheetData>
    <row r="1" spans="1:2" x14ac:dyDescent="0.25">
      <c r="A1" s="3" t="s">
        <v>36</v>
      </c>
      <c r="B1" t="s">
        <v>37</v>
      </c>
    </row>
    <row r="2" spans="1:2" x14ac:dyDescent="0.25">
      <c r="A2" t="s">
        <v>303</v>
      </c>
      <c r="B2" s="4" t="s">
        <v>38</v>
      </c>
    </row>
    <row r="3" spans="1:2" x14ac:dyDescent="0.25">
      <c r="A3" t="s">
        <v>304</v>
      </c>
      <c r="B3" s="5"/>
    </row>
    <row r="4" spans="1:2" x14ac:dyDescent="0.25">
      <c r="A4" t="s">
        <v>305</v>
      </c>
      <c r="B4" s="5" t="s">
        <v>39</v>
      </c>
    </row>
    <row r="5" spans="1:2" x14ac:dyDescent="0.25">
      <c r="A5" t="s">
        <v>306</v>
      </c>
      <c r="B5" s="6" t="s">
        <v>40</v>
      </c>
    </row>
    <row r="6" spans="1:2" x14ac:dyDescent="0.25">
      <c r="A6" t="s">
        <v>307</v>
      </c>
      <c r="B6" s="6" t="s">
        <v>41</v>
      </c>
    </row>
    <row r="7" spans="1:2" x14ac:dyDescent="0.25">
      <c r="A7" t="s">
        <v>308</v>
      </c>
      <c r="B7" s="6" t="s">
        <v>42</v>
      </c>
    </row>
    <row r="8" spans="1:2" x14ac:dyDescent="0.25">
      <c r="A8" t="s">
        <v>309</v>
      </c>
      <c r="B8" s="6" t="s">
        <v>43</v>
      </c>
    </row>
    <row r="9" spans="1:2" x14ac:dyDescent="0.25">
      <c r="A9" t="s">
        <v>310</v>
      </c>
      <c r="B9" s="4" t="s">
        <v>38</v>
      </c>
    </row>
    <row r="10" spans="1:2" x14ac:dyDescent="0.25">
      <c r="A10" t="s">
        <v>311</v>
      </c>
      <c r="B10" s="6" t="s">
        <v>44</v>
      </c>
    </row>
    <row r="11" spans="1:2" x14ac:dyDescent="0.25">
      <c r="A11" t="s">
        <v>312</v>
      </c>
      <c r="B11" s="6" t="s">
        <v>44</v>
      </c>
    </row>
    <row r="12" spans="1:2" x14ac:dyDescent="0.25">
      <c r="A12" t="s">
        <v>313</v>
      </c>
      <c r="B12" s="6" t="s">
        <v>44</v>
      </c>
    </row>
    <row r="13" spans="1:2" x14ac:dyDescent="0.25">
      <c r="A13" t="s">
        <v>314</v>
      </c>
      <c r="B13" s="4" t="s">
        <v>45</v>
      </c>
    </row>
    <row r="14" spans="1:2" x14ac:dyDescent="0.25">
      <c r="A14" t="s">
        <v>315</v>
      </c>
      <c r="B14" s="4" t="s">
        <v>45</v>
      </c>
    </row>
    <row r="15" spans="1:2" x14ac:dyDescent="0.25">
      <c r="A15" t="s">
        <v>316</v>
      </c>
      <c r="B15" s="4" t="s">
        <v>45</v>
      </c>
    </row>
    <row r="16" spans="1:2" x14ac:dyDescent="0.25">
      <c r="A16" t="s">
        <v>317</v>
      </c>
      <c r="B16" s="7" t="s">
        <v>46</v>
      </c>
    </row>
    <row r="17" spans="1:2" x14ac:dyDescent="0.25">
      <c r="A17" t="s">
        <v>318</v>
      </c>
      <c r="B17" s="6" t="s">
        <v>47</v>
      </c>
    </row>
    <row r="18" spans="1:2" x14ac:dyDescent="0.25">
      <c r="A18" t="s">
        <v>319</v>
      </c>
      <c r="B18" s="4" t="s">
        <v>48</v>
      </c>
    </row>
    <row r="19" spans="1:2" x14ac:dyDescent="0.25">
      <c r="A19" t="s">
        <v>320</v>
      </c>
      <c r="B19" s="4" t="s">
        <v>48</v>
      </c>
    </row>
    <row r="20" spans="1:2" x14ac:dyDescent="0.25">
      <c r="A20" t="s">
        <v>321</v>
      </c>
      <c r="B20" s="4" t="s">
        <v>48</v>
      </c>
    </row>
    <row r="21" spans="1:2" x14ac:dyDescent="0.25">
      <c r="A21" t="s">
        <v>322</v>
      </c>
      <c r="B21" s="6" t="s">
        <v>40</v>
      </c>
    </row>
    <row r="22" spans="1:2" x14ac:dyDescent="0.25">
      <c r="A22" t="s">
        <v>323</v>
      </c>
      <c r="B22" s="6" t="s">
        <v>40</v>
      </c>
    </row>
    <row r="23" spans="1:2" x14ac:dyDescent="0.25">
      <c r="A23" t="s">
        <v>324</v>
      </c>
      <c r="B23" s="7" t="s">
        <v>49</v>
      </c>
    </row>
    <row r="24" spans="1:2" x14ac:dyDescent="0.25">
      <c r="A24" t="s">
        <v>325</v>
      </c>
      <c r="B24" s="7" t="s">
        <v>49</v>
      </c>
    </row>
    <row r="25" spans="1:2" x14ac:dyDescent="0.25">
      <c r="A25" t="s">
        <v>326</v>
      </c>
      <c r="B25" s="4" t="s">
        <v>45</v>
      </c>
    </row>
    <row r="26" spans="1:2" x14ac:dyDescent="0.25">
      <c r="A26" t="s">
        <v>327</v>
      </c>
      <c r="B26" s="6" t="s">
        <v>44</v>
      </c>
    </row>
    <row r="27" spans="1:2" x14ac:dyDescent="0.25">
      <c r="A27" t="s">
        <v>328</v>
      </c>
      <c r="B27" s="4" t="s">
        <v>48</v>
      </c>
    </row>
    <row r="28" spans="1:2" x14ac:dyDescent="0.25">
      <c r="A28" t="s">
        <v>329</v>
      </c>
      <c r="B28" s="4" t="s">
        <v>48</v>
      </c>
    </row>
    <row r="29" spans="1:2" x14ac:dyDescent="0.25">
      <c r="A29" t="s">
        <v>330</v>
      </c>
      <c r="B29" s="4" t="s">
        <v>48</v>
      </c>
    </row>
    <row r="30" spans="1:2" x14ac:dyDescent="0.25">
      <c r="A30" t="s">
        <v>331</v>
      </c>
      <c r="B30" s="4" t="s">
        <v>48</v>
      </c>
    </row>
    <row r="31" spans="1:2" x14ac:dyDescent="0.25">
      <c r="A31" t="s">
        <v>332</v>
      </c>
      <c r="B31" s="4" t="s">
        <v>48</v>
      </c>
    </row>
    <row r="32" spans="1:2" x14ac:dyDescent="0.25">
      <c r="A32" t="s">
        <v>333</v>
      </c>
      <c r="B32" s="4" t="s">
        <v>45</v>
      </c>
    </row>
    <row r="33" spans="1:2" x14ac:dyDescent="0.25">
      <c r="A33" t="s">
        <v>334</v>
      </c>
      <c r="B33" s="4" t="s">
        <v>45</v>
      </c>
    </row>
    <row r="34" spans="1:2" x14ac:dyDescent="0.25">
      <c r="A34" t="s">
        <v>335</v>
      </c>
    </row>
    <row r="35" spans="1:2" x14ac:dyDescent="0.25">
      <c r="A35" t="s">
        <v>336</v>
      </c>
    </row>
    <row r="36" spans="1:2" x14ac:dyDescent="0.25">
      <c r="A36"/>
    </row>
    <row r="37" spans="1:2" x14ac:dyDescent="0.25">
      <c r="A37"/>
    </row>
    <row r="38" spans="1:2" x14ac:dyDescent="0.25">
      <c r="A38"/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2019-04-25T19:34:32Z</cp:lastPrinted>
  <dcterms:created xsi:type="dcterms:W3CDTF">2016-02-08T15:52:06Z</dcterms:created>
  <dcterms:modified xsi:type="dcterms:W3CDTF">2019-04-25T19:52:01Z</dcterms:modified>
</cp:coreProperties>
</file>