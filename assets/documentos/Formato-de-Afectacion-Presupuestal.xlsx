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gonzalez\Documents\01 TRAMITES\"/>
    </mc:Choice>
  </mc:AlternateContent>
  <bookViews>
    <workbookView xWindow="0" yWindow="0" windowWidth="28800" windowHeight="11805" tabRatio="899" activeTab="2"/>
  </bookViews>
  <sheets>
    <sheet name="Ejemplo de llenado" sheetId="3" r:id="rId1"/>
    <sheet name="Formato líquidas " sheetId="4" r:id="rId2"/>
    <sheet name="Formato compensado" sheetId="5" r:id="rId3"/>
  </sheets>
  <definedNames>
    <definedName name="_xlnm.Print_Area" localSheetId="0">'Ejemplo de llenado'!$A$1:$U$35</definedName>
    <definedName name="_xlnm.Print_Area" localSheetId="2">'Formato compensado'!$A$1:$U$46</definedName>
    <definedName name="_xlnm.Print_Area" localSheetId="1">'Formato líquidas '!$A$1:$U$31</definedName>
    <definedName name="_xlnm.Print_Titles" localSheetId="0">'Ejemplo de llenado'!$1:$10</definedName>
    <definedName name="_xlnm.Print_Titles" localSheetId="2">'Formato compensado'!$1:$10</definedName>
    <definedName name="_xlnm.Print_Titles" localSheetId="1">'Formato líquidas '!$1:$10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5" l="1"/>
  <c r="T7" i="4"/>
  <c r="U39" i="5" l="1"/>
  <c r="U40" i="5" s="1"/>
  <c r="T39" i="5"/>
  <c r="T40" i="5" s="1"/>
  <c r="S39" i="5"/>
  <c r="S40" i="5" s="1"/>
  <c r="R39" i="5"/>
  <c r="R40" i="5" s="1"/>
  <c r="Q39" i="5"/>
  <c r="Q40" i="5" s="1"/>
  <c r="P39" i="5"/>
  <c r="P40" i="5" s="1"/>
  <c r="O39" i="5"/>
  <c r="O40" i="5" s="1"/>
  <c r="N39" i="5"/>
  <c r="N40" i="5" s="1"/>
  <c r="M39" i="5"/>
  <c r="M40" i="5" s="1"/>
  <c r="L39" i="5"/>
  <c r="L40" i="5" s="1"/>
  <c r="K39" i="5"/>
  <c r="K40" i="5" s="1"/>
  <c r="J39" i="5"/>
  <c r="J40" i="5" s="1"/>
  <c r="I39" i="5"/>
  <c r="I40" i="5" s="1"/>
  <c r="H39" i="5"/>
  <c r="H40" i="5" s="1"/>
  <c r="Q25" i="5"/>
  <c r="I25" i="5"/>
  <c r="U24" i="5"/>
  <c r="U25" i="5" s="1"/>
  <c r="T24" i="5"/>
  <c r="T25" i="5" s="1"/>
  <c r="S24" i="5"/>
  <c r="S25" i="5" s="1"/>
  <c r="R24" i="5"/>
  <c r="R25" i="5" s="1"/>
  <c r="Q24" i="5"/>
  <c r="P24" i="5"/>
  <c r="P25" i="5" s="1"/>
  <c r="O24" i="5"/>
  <c r="O25" i="5" s="1"/>
  <c r="N24" i="5"/>
  <c r="N25" i="5" s="1"/>
  <c r="M24" i="5"/>
  <c r="M25" i="5" s="1"/>
  <c r="L24" i="5"/>
  <c r="L25" i="5" s="1"/>
  <c r="K24" i="5"/>
  <c r="K25" i="5" s="1"/>
  <c r="J24" i="5"/>
  <c r="J25" i="5" s="1"/>
  <c r="I24" i="5"/>
  <c r="H24" i="5"/>
  <c r="H25" i="5" s="1"/>
  <c r="T20" i="3" l="1"/>
  <c r="I20" i="3"/>
  <c r="J20" i="3"/>
  <c r="K20" i="3"/>
  <c r="L20" i="3"/>
  <c r="M20" i="3"/>
  <c r="N20" i="3"/>
  <c r="O20" i="3"/>
  <c r="P20" i="3"/>
  <c r="Q20" i="3"/>
  <c r="R20" i="3"/>
  <c r="S20" i="3"/>
  <c r="U20" i="3"/>
  <c r="H20" i="3"/>
  <c r="H24" i="4"/>
  <c r="H25" i="4" s="1"/>
  <c r="U24" i="4" l="1"/>
  <c r="U25" i="4" s="1"/>
  <c r="T24" i="4"/>
  <c r="T25" i="4" s="1"/>
  <c r="S24" i="4"/>
  <c r="S25" i="4" s="1"/>
  <c r="R24" i="4"/>
  <c r="R25" i="4" s="1"/>
  <c r="Q24" i="4"/>
  <c r="Q25" i="4" s="1"/>
  <c r="P24" i="4"/>
  <c r="P25" i="4" s="1"/>
  <c r="O24" i="4"/>
  <c r="O25" i="4" s="1"/>
  <c r="N24" i="4"/>
  <c r="N25" i="4" s="1"/>
  <c r="M24" i="4"/>
  <c r="M25" i="4" s="1"/>
  <c r="L24" i="4"/>
  <c r="L25" i="4" s="1"/>
  <c r="K24" i="4"/>
  <c r="K25" i="4" s="1"/>
  <c r="J24" i="4"/>
  <c r="J25" i="4" s="1"/>
  <c r="I24" i="4"/>
  <c r="I25" i="4" s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O29" i="3" l="1"/>
  <c r="I29" i="3"/>
  <c r="J29" i="3"/>
  <c r="K29" i="3"/>
  <c r="L29" i="3"/>
  <c r="N29" i="3"/>
  <c r="P29" i="3"/>
  <c r="Q29" i="3"/>
  <c r="R29" i="3"/>
  <c r="S29" i="3"/>
  <c r="T29" i="3"/>
  <c r="L21" i="3"/>
  <c r="M21" i="3"/>
  <c r="N21" i="3"/>
  <c r="O21" i="3"/>
  <c r="P21" i="3"/>
  <c r="Q21" i="3"/>
  <c r="R21" i="3"/>
  <c r="T21" i="3"/>
  <c r="I21" i="3"/>
  <c r="J21" i="3"/>
  <c r="K21" i="3"/>
  <c r="S21" i="3"/>
  <c r="H21" i="3" l="1"/>
  <c r="U21" i="3"/>
  <c r="U29" i="3" l="1"/>
  <c r="H29" i="3"/>
  <c r="M29" i="3"/>
</calcChain>
</file>

<file path=xl/comments1.xml><?xml version="1.0" encoding="utf-8"?>
<comments xmlns="http://schemas.openxmlformats.org/spreadsheetml/2006/main">
  <authors>
    <author>ARMANDO PALOMARES GARCIA</author>
    <author>Admin</author>
  </authors>
  <commentList>
    <comment ref="S7" authorId="0" shapeId="0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2.xml><?xml version="1.0" encoding="utf-8"?>
<comments xmlns="http://schemas.openxmlformats.org/spreadsheetml/2006/main">
  <authors>
    <author>ARMANDO PALOMARES GARCIA</author>
    <author>Admin</author>
  </authors>
  <commentList>
    <comment ref="S7" authorId="0" shapeId="0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3.xml><?xml version="1.0" encoding="utf-8"?>
<comments xmlns="http://schemas.openxmlformats.org/spreadsheetml/2006/main">
  <authors>
    <author>ARMANDO PALOMARES GARCIA</author>
    <author>Admin</author>
  </authors>
  <commentList>
    <comment ref="S7" authorId="0" shapeId="0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sharedStrings.xml><?xml version="1.0" encoding="utf-8"?>
<sst xmlns="http://schemas.openxmlformats.org/spreadsheetml/2006/main" count="145" uniqueCount="57">
  <si>
    <t>TIPO DE MOVIMIENTO</t>
  </si>
  <si>
    <t>AMPLIACIÓN LÍQ.</t>
  </si>
  <si>
    <t>REDUCCIÓN LÍQ.</t>
  </si>
  <si>
    <t>SOLICITUD DE AFECTACIÓN PRESUPUESTARIA</t>
  </si>
  <si>
    <t>SOLICITUD</t>
  </si>
  <si>
    <t xml:space="preserve">FECHA </t>
  </si>
  <si>
    <t>HOJA</t>
  </si>
  <si>
    <t>xxxx</t>
  </si>
  <si>
    <t>xx/xx/xxxx</t>
  </si>
  <si>
    <t>1 DE 1</t>
  </si>
  <si>
    <t>CALENDARIO DE GASTO</t>
  </si>
  <si>
    <t>CONSECUTIVO</t>
  </si>
  <si>
    <t>UR GEG</t>
  </si>
  <si>
    <t>URD OPD</t>
  </si>
  <si>
    <t>PROCESO/PROYECTO</t>
  </si>
  <si>
    <t>ÁREA FUNCIONAL</t>
  </si>
  <si>
    <t>FONDO</t>
  </si>
  <si>
    <t>PARTIDA</t>
  </si>
  <si>
    <t>IMPORTE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</si>
  <si>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</si>
  <si>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</si>
  <si>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</si>
  <si>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</si>
  <si>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</si>
  <si>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</si>
  <si>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</si>
  <si>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</si>
  <si>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</si>
  <si>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</si>
  <si>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</si>
  <si>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</si>
  <si>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OPERACIÓN</t>
  </si>
  <si>
    <t>REDUCCION</t>
  </si>
  <si>
    <t>Incorrecto</t>
  </si>
  <si>
    <t>Y23.300X.010000.P000GB1184.252.2523161010.1320</t>
  </si>
  <si>
    <t>EJEMPLO CORRECTO</t>
  </si>
  <si>
    <t>Estructura 2023 CENTRAL</t>
  </si>
  <si>
    <t>M000GA2005</t>
  </si>
  <si>
    <t>1130</t>
  </si>
  <si>
    <t># de dígitos</t>
  </si>
  <si>
    <t>Estructura 2023-REFRENDO CENTRAL</t>
  </si>
  <si>
    <r>
      <t>M000GA2005</t>
    </r>
    <r>
      <rPr>
        <b/>
        <sz val="18"/>
        <color rgb="FF006100"/>
        <rFont val="Calibri"/>
        <family val="2"/>
        <scheme val="minor"/>
      </rPr>
      <t>2299</t>
    </r>
  </si>
  <si>
    <t>CAPITULO 1000</t>
  </si>
  <si>
    <t>TOTAL REDUCCIÓN</t>
  </si>
  <si>
    <t>AMPLIACION</t>
  </si>
  <si>
    <t xml:space="preserve">TOTAL AMPLIACIÓN </t>
  </si>
  <si>
    <t>JUSTIFICACIÓN</t>
  </si>
  <si>
    <t>REVISÓ</t>
  </si>
  <si>
    <t>AUTORIZÓ</t>
  </si>
  <si>
    <t xml:space="preserve">SE SOLICITA LA AUTORIZACION PARA </t>
  </si>
  <si>
    <t>CAPITULO</t>
  </si>
  <si>
    <t xml:space="preserve">CAPITULO </t>
  </si>
  <si>
    <t>0</t>
  </si>
  <si>
    <t>TITULAR DE LA DEPENDENCIA O ENTIDAD</t>
  </si>
  <si>
    <t>L.R.I. Rodrigo González Guerrero</t>
  </si>
  <si>
    <t>DIRECTOR GENERAL ADMINISTRATIVO</t>
  </si>
  <si>
    <t xml:space="preserve">MARÍA GUADALUPE ROBLES LEÓN 
SECRETARIA DE TURISMO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</si>
</sst>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#,##0.00;[Red]#,##0.00"/>
    <numFmt numFmtId="165" formatCode="_-[$€-2]* #,##0.00_-;\-[$€-2]* #,##0.00_-;_-[$€-2]* &quot;-&quot;??_-"/>
    <numFmt numFmtId="166" formatCode="00000000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10"/>
      <color indexed="50"/>
      <name val="Arial Narrow"/>
      <family val="2"/>
    </font>
    <font>
      <b/>
      <sz val="10"/>
      <color indexed="46"/>
      <name val="Arial Narrow"/>
      <family val="2"/>
    </font>
    <font>
      <b/>
      <sz val="10"/>
      <color indexed="49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5"/>
      <name val="Arial Narrow"/>
      <family val="2"/>
    </font>
    <font>
      <b/>
      <sz val="18"/>
      <name val="Arial Narrow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4"/>
      <name val="Arial Narrow"/>
      <family val="2"/>
    </font>
    <font>
      <b/>
      <sz val="18"/>
      <color rgb="FF006100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" fillId="4" borderId="8" applyNumberFormat="0" applyFont="0" applyAlignment="0" applyProtection="0"/>
    <xf numFmtId="0" fontId="1" fillId="4" borderId="8" applyNumberFormat="0" applyFont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" fillId="0" borderId="0"/>
  </cellStyleXfs>
  <cellXfs count="129">
    <xf numFmtId="0" fontId="0" fillId="0" borderId="0" xfId="0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textRotation="255"/>
    </xf>
    <xf numFmtId="49" fontId="12" fillId="0" borderId="3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12" fillId="2" borderId="21" xfId="0" applyNumberFormat="1" applyFont="1" applyFill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2" fillId="2" borderId="22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1" fillId="0" borderId="1" xfId="1" applyNumberFormat="1" applyFont="1" applyBorder="1" applyAlignment="1">
      <alignment horizontal="center" vertical="center"/>
    </xf>
    <xf numFmtId="4" fontId="21" fillId="0" borderId="1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64" fontId="13" fillId="3" borderId="6" xfId="1" applyNumberFormat="1" applyFont="1" applyFill="1" applyBorder="1" applyAlignment="1">
      <alignment horizontal="center" vertical="center"/>
    </xf>
    <xf numFmtId="164" fontId="12" fillId="0" borderId="32" xfId="1" applyNumberFormat="1" applyFont="1" applyBorder="1" applyAlignment="1">
      <alignment horizontal="center" vertical="center"/>
    </xf>
    <xf numFmtId="164" fontId="12" fillId="0" borderId="22" xfId="1" applyNumberFormat="1" applyFont="1" applyFill="1" applyBorder="1" applyAlignment="1">
      <alignment horizontal="center" vertical="center"/>
    </xf>
    <xf numFmtId="164" fontId="13" fillId="0" borderId="32" xfId="1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2" fillId="0" borderId="35" xfId="1" applyNumberFormat="1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49" fontId="12" fillId="2" borderId="33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1" fillId="0" borderId="1" xfId="1" applyNumberFormat="1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3" fontId="12" fillId="2" borderId="37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2" fillId="2" borderId="32" xfId="1" applyFont="1" applyFill="1" applyBorder="1" applyAlignment="1">
      <alignment horizontal="center" vertical="center"/>
    </xf>
    <xf numFmtId="164" fontId="13" fillId="0" borderId="38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49" fontId="23" fillId="5" borderId="1" xfId="14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3" fillId="0" borderId="1" xfId="14" applyNumberFormat="1" applyFont="1" applyFill="1" applyBorder="1" applyAlignment="1">
      <alignment horizontal="center" vertical="center"/>
    </xf>
    <xf numFmtId="166" fontId="23" fillId="5" borderId="35" xfId="14" applyNumberFormat="1" applyFont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/>
    </xf>
    <xf numFmtId="49" fontId="12" fillId="0" borderId="4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13" fillId="0" borderId="37" xfId="1" applyNumberFormat="1" applyFont="1" applyBorder="1" applyAlignment="1">
      <alignment horizontal="center" vertical="center"/>
    </xf>
    <xf numFmtId="164" fontId="13" fillId="3" borderId="43" xfId="1" applyNumberFormat="1" applyFont="1" applyFill="1" applyBorder="1" applyAlignment="1">
      <alignment horizontal="center" vertical="center"/>
    </xf>
    <xf numFmtId="164" fontId="12" fillId="0" borderId="37" xfId="1" applyNumberFormat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5" fillId="0" borderId="39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6" borderId="35" xfId="15" applyFont="1" applyBorder="1" applyAlignment="1">
      <alignment horizontal="center" vertical="center"/>
    </xf>
    <xf numFmtId="0" fontId="24" fillId="6" borderId="1" xfId="15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29" fillId="0" borderId="37" xfId="16" applyFont="1" applyBorder="1" applyAlignment="1">
      <alignment horizontal="center" vertical="center" wrapText="1"/>
    </xf>
    <xf numFmtId="0" fontId="29" fillId="0" borderId="46" xfId="16" applyFont="1" applyBorder="1" applyAlignment="1">
      <alignment horizontal="center" vertical="center" wrapText="1"/>
    </xf>
    <xf numFmtId="0" fontId="29" fillId="0" borderId="35" xfId="16" applyFont="1" applyBorder="1" applyAlignment="1">
      <alignment horizontal="center" vertical="center" wrapText="1"/>
    </xf>
    <xf numFmtId="0" fontId="27" fillId="0" borderId="47" xfId="16" applyFont="1" applyBorder="1" applyAlignment="1">
      <alignment horizontal="center" vertical="center" wrapText="1"/>
    </xf>
    <xf numFmtId="0" fontId="27" fillId="0" borderId="48" xfId="16" applyFont="1" applyBorder="1" applyAlignment="1">
      <alignment horizontal="center" vertical="center" wrapText="1"/>
    </xf>
    <xf numFmtId="0" fontId="27" fillId="0" borderId="49" xfId="16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wrapText="1"/>
    </xf>
    <xf numFmtId="0" fontId="10" fillId="0" borderId="46" xfId="3" applyBorder="1" applyAlignment="1">
      <alignment wrapText="1"/>
    </xf>
    <xf numFmtId="0" fontId="10" fillId="0" borderId="35" xfId="3" applyBorder="1" applyAlignment="1">
      <alignment wrapText="1"/>
    </xf>
    <xf numFmtId="0" fontId="28" fillId="0" borderId="50" xfId="3" applyFont="1" applyBorder="1" applyAlignment="1">
      <alignment horizontal="center"/>
    </xf>
    <xf numFmtId="0" fontId="28" fillId="0" borderId="51" xfId="3" applyFont="1" applyBorder="1" applyAlignment="1">
      <alignment horizontal="center"/>
    </xf>
    <xf numFmtId="0" fontId="28" fillId="0" borderId="52" xfId="3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</cellXfs>
  <cellStyles count="17">
    <cellStyle name="Bueno" xfId="14" builtinId="26"/>
    <cellStyle name="Euro" xfId="4"/>
    <cellStyle name="Incorrecto" xfId="15" builtinId="27"/>
    <cellStyle name="Millares" xfId="1" builtinId="3"/>
    <cellStyle name="Millares 2" xfId="2"/>
    <cellStyle name="Millares 2 2" xfId="5"/>
    <cellStyle name="Millares 2 3" xfId="6"/>
    <cellStyle name="Millares 3" xfId="7"/>
    <cellStyle name="Millares 4" xfId="8"/>
    <cellStyle name="Normal" xfId="0" builtinId="0"/>
    <cellStyle name="Normal 2" xfId="3"/>
    <cellStyle name="Normal 2 2" xfId="9"/>
    <cellStyle name="Normal 3" xfId="10"/>
    <cellStyle name="Normal 3 3" xfId="16"/>
    <cellStyle name="Normal 4" xfId="11"/>
    <cellStyle name="Notas 2" xfId="12"/>
    <cellStyle name="Notas 3" xfId="13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617653</xdr:colOff>
      <xdr:row>14</xdr:row>
      <xdr:rowOff>49408</xdr:rowOff>
    </xdr:from>
    <xdr:to>
      <xdr:col>1</xdr:col>
      <xdr:colOff>947766</xdr:colOff>
      <xdr:row>14</xdr:row>
      <xdr:rowOff>398658</xdr:rowOff>
    </xdr:to>
    <xdr:sp macro="" textlink="">
      <xdr:nvSpPr>
        <xdr:cNvPr id="17" name="Abrir llav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7454879" y="5953270"/>
          <a:ext cx="349250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112529</xdr:colOff>
      <xdr:row>14</xdr:row>
      <xdr:rowOff>20182</xdr:rowOff>
    </xdr:from>
    <xdr:to>
      <xdr:col>3</xdr:col>
      <xdr:colOff>1469842</xdr:colOff>
      <xdr:row>14</xdr:row>
      <xdr:rowOff>369432</xdr:rowOff>
    </xdr:to>
    <xdr:sp macro="" textlink="">
      <xdr:nvSpPr>
        <xdr:cNvPr id="21" name="Abrir llav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6200000">
          <a:off x="3593124" y="5885994"/>
          <a:ext cx="349250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414150</xdr:colOff>
      <xdr:row>15</xdr:row>
      <xdr:rowOff>62094</xdr:rowOff>
    </xdr:from>
    <xdr:to>
      <xdr:col>3</xdr:col>
      <xdr:colOff>1184087</xdr:colOff>
      <xdr:row>15</xdr:row>
      <xdr:rowOff>526676</xdr:rowOff>
    </xdr:to>
    <xdr:sp macro="" textlink="">
      <xdr:nvSpPr>
        <xdr:cNvPr id="22" name="CuadroTexto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852179" y="6393418"/>
          <a:ext cx="769937" cy="464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10</a:t>
          </a:r>
        </a:p>
        <a:p>
          <a:pPr algn="ctr"/>
          <a:r>
            <a:rPr lang="es-MX" sz="1100"/>
            <a:t>GI</a:t>
          </a:r>
          <a:r>
            <a:rPr lang="es-MX" sz="1100" baseline="0"/>
            <a:t> 14</a:t>
          </a:r>
          <a:endParaRPr lang="es-MX" sz="1100"/>
        </a:p>
      </xdr:txBody>
    </xdr:sp>
    <xdr:clientData/>
  </xdr:twoCellAnchor>
  <xdr:twoCellAnchor>
    <xdr:from>
      <xdr:col>4</xdr:col>
      <xdr:colOff>478121</xdr:colOff>
      <xdr:row>14</xdr:row>
      <xdr:rowOff>29416</xdr:rowOff>
    </xdr:from>
    <xdr:to>
      <xdr:col>4</xdr:col>
      <xdr:colOff>1069589</xdr:colOff>
      <xdr:row>14</xdr:row>
      <xdr:rowOff>379133</xdr:rowOff>
    </xdr:to>
    <xdr:sp macro="" textlink="">
      <xdr:nvSpPr>
        <xdr:cNvPr id="23" name="Abrir llave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6200000">
          <a:off x="10628261" y="5802835"/>
          <a:ext cx="349717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503985</xdr:colOff>
      <xdr:row>14</xdr:row>
      <xdr:rowOff>24934</xdr:rowOff>
    </xdr:from>
    <xdr:to>
      <xdr:col>5</xdr:col>
      <xdr:colOff>1095453</xdr:colOff>
      <xdr:row>14</xdr:row>
      <xdr:rowOff>374184</xdr:rowOff>
    </xdr:to>
    <xdr:sp macro="" textlink="">
      <xdr:nvSpPr>
        <xdr:cNvPr id="25" name="Abrir llav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6200000">
          <a:off x="12245594" y="5798119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473822</xdr:colOff>
      <xdr:row>14</xdr:row>
      <xdr:rowOff>40997</xdr:rowOff>
    </xdr:from>
    <xdr:to>
      <xdr:col>6</xdr:col>
      <xdr:colOff>1065290</xdr:colOff>
      <xdr:row>14</xdr:row>
      <xdr:rowOff>390247</xdr:rowOff>
    </xdr:to>
    <xdr:sp macro="" textlink="">
      <xdr:nvSpPr>
        <xdr:cNvPr id="28" name="Abrir llave 1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6200000">
          <a:off x="13806666" y="5814182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595239</xdr:colOff>
      <xdr:row>17</xdr:row>
      <xdr:rowOff>15790</xdr:rowOff>
    </xdr:from>
    <xdr:to>
      <xdr:col>1</xdr:col>
      <xdr:colOff>925352</xdr:colOff>
      <xdr:row>17</xdr:row>
      <xdr:rowOff>365039</xdr:rowOff>
    </xdr:to>
    <xdr:sp macro="" textlink="">
      <xdr:nvSpPr>
        <xdr:cNvPr id="41" name="Abrir llav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6200000">
          <a:off x="7432465" y="9763270"/>
          <a:ext cx="349249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101321</xdr:colOff>
      <xdr:row>17</xdr:row>
      <xdr:rowOff>42593</xdr:rowOff>
    </xdr:from>
    <xdr:to>
      <xdr:col>3</xdr:col>
      <xdr:colOff>1458634</xdr:colOff>
      <xdr:row>17</xdr:row>
      <xdr:rowOff>391842</xdr:rowOff>
    </xdr:to>
    <xdr:sp macro="" textlink="">
      <xdr:nvSpPr>
        <xdr:cNvPr id="43" name="Abrir llave 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6200000">
          <a:off x="9043382" y="9276473"/>
          <a:ext cx="349249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455707</xdr:colOff>
      <xdr:row>17</xdr:row>
      <xdr:rowOff>18211</xdr:rowOff>
    </xdr:from>
    <xdr:to>
      <xdr:col>4</xdr:col>
      <xdr:colOff>1047175</xdr:colOff>
      <xdr:row>17</xdr:row>
      <xdr:rowOff>367927</xdr:rowOff>
    </xdr:to>
    <xdr:sp macro="" textlink="">
      <xdr:nvSpPr>
        <xdr:cNvPr id="45" name="Abrir llave 1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16200000">
          <a:off x="10605848" y="9635247"/>
          <a:ext cx="349716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470367</xdr:colOff>
      <xdr:row>16</xdr:row>
      <xdr:rowOff>663670</xdr:rowOff>
    </xdr:from>
    <xdr:to>
      <xdr:col>5</xdr:col>
      <xdr:colOff>1042150</xdr:colOff>
      <xdr:row>18</xdr:row>
      <xdr:rowOff>44823</xdr:rowOff>
    </xdr:to>
    <xdr:sp macro="" textlink="">
      <xdr:nvSpPr>
        <xdr:cNvPr id="47" name="Abrir llave 1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16200000">
          <a:off x="12120285" y="9677399"/>
          <a:ext cx="512947" cy="57178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462619</xdr:colOff>
      <xdr:row>16</xdr:row>
      <xdr:rowOff>690940</xdr:rowOff>
    </xdr:from>
    <xdr:to>
      <xdr:col>6</xdr:col>
      <xdr:colOff>1008534</xdr:colOff>
      <xdr:row>18</xdr:row>
      <xdr:rowOff>33618</xdr:rowOff>
    </xdr:to>
    <xdr:sp macro="" textlink="">
      <xdr:nvSpPr>
        <xdr:cNvPr id="50" name="Abrir llav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6200000">
          <a:off x="13710076" y="9698365"/>
          <a:ext cx="474472" cy="545915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1305486</xdr:colOff>
      <xdr:row>23</xdr:row>
      <xdr:rowOff>53691</xdr:rowOff>
    </xdr:from>
    <xdr:to>
      <xdr:col>2</xdr:col>
      <xdr:colOff>872940</xdr:colOff>
      <xdr:row>25</xdr:row>
      <xdr:rowOff>121585</xdr:rowOff>
    </xdr:to>
    <xdr:sp macro="" textlink="">
      <xdr:nvSpPr>
        <xdr:cNvPr id="51" name="CuadroTexto 9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00000000-0008-0000-0000-000032000000}"/>
            </a:ext>
          </a:extLst>
        </xdr:cNvPr>
        <xdr:cNvSpPr txBox="1"/>
      </xdr:nvSpPr>
      <xdr:spPr>
        <a:xfrm>
          <a:off x="2791386" y="8807166"/>
          <a:ext cx="1053354" cy="486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14(2299)</a:t>
          </a:r>
        </a:p>
        <a:p>
          <a:pPr algn="ctr"/>
          <a:r>
            <a:rPr lang="es-MX" sz="1100"/>
            <a:t>GI</a:t>
          </a:r>
          <a:r>
            <a:rPr lang="es-MX" sz="1100" baseline="0"/>
            <a:t> 14(META)</a:t>
          </a:r>
          <a:endParaRPr lang="es-MX" sz="1100"/>
        </a:p>
      </xdr:txBody>
    </xdr:sp>
    <xdr:clientData/>
  </xdr:twoCellAnchor>
  <xdr:twoCellAnchor>
    <xdr:from>
      <xdr:col>1</xdr:col>
      <xdr:colOff>3932985</xdr:colOff>
      <xdr:row>13</xdr:row>
      <xdr:rowOff>484375</xdr:rowOff>
    </xdr:from>
    <xdr:to>
      <xdr:col>1</xdr:col>
      <xdr:colOff>4524453</xdr:colOff>
      <xdr:row>14</xdr:row>
      <xdr:rowOff>340566</xdr:rowOff>
    </xdr:to>
    <xdr:sp macro="" textlink="">
      <xdr:nvSpPr>
        <xdr:cNvPr id="53" name="Abrir llave 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6200000">
          <a:off x="666836" y="1026374"/>
          <a:ext cx="189566" cy="91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95250</xdr:rowOff>
    </xdr:to>
    <xdr:sp macro="" textlink="">
      <xdr:nvSpPr>
        <xdr:cNvPr id="3077" name="AutoShape 5" descr="data:image/png;base64,iVBORw0KGgoAAAANSUhEUgAAASoAAAB6CAYAAAAIwx5sAAAAAXNSR0IArs4c6QAAIABJREFUeF7sXQV8VWfyPc8tngAhOMHdSpECBUpxKLQUKA7FKe5WXIO20FIgOFSx4g6F4i7BJUKEJMSe239nvvuSQKntsrv/bfP21wWS9+6795PzzZw5MyNzu91u/A+/XG5ALsv2AG7ABUAmc0OG7L/4H37InFvPGYG/+QjI/peByg0nZFAg3WjBmq93ILRIQTRrUFPAE+GvLAeo/ubrO+fx/yIj8D8NVGQ7WW1uzP98E1Zs2QYfP2/MGz8Qzeu/CfzC1PqLzFjOY+SMwN9wBP7ngIo8VWEoCWtp7fcHMWvRWri1alhsdhTK5YsV80ajbLFCf8PpzHnknBH4a47A/yRQMUzJZLj3JA49hs1ETGIq1BolyMIyplnRpulbWDCpP9QK+V9z1nKeKmcE/mYj8D8EVMT5v8g5fRb+Peav/BY6Ly8xbW437A7AT6fEmkXjUbFUkRdZdv5XDm/1N1vjOY/7FxiBPwdUv8SKXwwBvSX72wQsSIFFtwQSMvGOP3C5F95D/LjL7YJCLofFaseg8WE4eOYqtHoD3HCDLuuWyeAwpmHaqI/RuU1jpqrIXVRkhgZd0g3+jrWV7eaywqIUSfS8Xniyl376F1gZOY+QMwL/j0bgzwHVb944IYL0hpfkAgQev2rL/C5aueF0unEp4gH2HvkZsXGJKJg3DyqWL4mVG7fj8p0nUOt0kLkoAkhAJYfNlI6eH7VGlTJF8dPpqzBarChXOhTNG9RE/jz+IiBI7/4N4+qFR3mVgIPBVnpl/302/uz/0Tzn3ErOCPxPj8DrASoJbF6FU9nsqRcGSthTbAL9hoxAXPjYmSuYMGc57j6MgkJtgEqtgo+XFnK5ElaHiz8vl+RgBFQylwMGnQppJjPMJgtsVguUMhla1K+OGeMHInegP2utfsumEs9CFpTHRqR/y/knnmeiv72Eyb8OyP/TyyTn5nNG4L87Av8CUGV38l7ertI25z9kUpTOAw0el++PAJUYnLiEJDyOisOl63fwza7jeBSXCI1GLYBGrmC8o6vyFWUyyNxuuFxOdvvgdKF2tXJo07g2ioQEoHjRwjAYdH/I7RTfLq4rXlnuqoyhzuPnZkHW7xqI/935zvn2nBH4nxyBfxKoBMi4PZyTFIX71RFgr9DJanFhgyiygOJPCjNv3HuCcXO/wvV7T6DSaCBzEzBJoCGcPwYrujeXzYaeHzTCkI8/hJdeI92esOL4Tn6LV2cLTbiHBHgeO4pAUEjhX/VhGhMRkcx55YxAzgi8vhH4F4BKcoyypbC43G6YzBZYLFYGAq1GA4NeC3nmxiUim36j4H3+a65i1uPROzgh5gVH7fDpyxg8aQnMbjnUfG2XACfIIXc7+b1mqw2VSxXGV/NGIbe/D72Dv0/hpj+F0/fH8ISAjdxL+owAIKvdAYvZAqvNBqVSCb1OC61GnRU0yIksvr4VmnOlnBGgnfevpNB4jI74Z4k4eeEmLl67jaiYeKSlG+GCDD7eehTMF4yqZYujRpWyyJ83t7CqmJfKcqx+MydPMN8SSAjQik/KQK8Rs3DjwRNoNToGP7dczpaPwu1gi8ZotGBgt1YY068jAw1xV3wV6esFzAoL7FXWkfipx72Vw2xz4MadRzh94QYi7j9BYmIyTBYz1GoVggL8UDq0IN6oXBZVy5eEXkuglfPKGYGcEXhdI/CvAZW0xXfuPYzhM5bB6lZDLlOxqeKSAzIXWVBOaBRu5M8bhCYN66JDi3ooFJInm2LBxeAh8II+5AEwAhWyjgjUPLS3sMGMFicGjg3D0fPX2Zoh+YFToYDMRaS6A26ZEzazFZM+6YyeHVoII46SlDNNOBYzZEtazqLOPdBFHyLAczldOPTTBWzefQJXbtxBWqqRMwzdJCYlk4xw1O2C3ZKGKmVCsWL+JOTLE/C65ifnOjkjkDMC/6pF5RlBsqBGzlyOvScuwmDwgdvtZFeMdjFF4whubFYbnKZ0zBrbB13bNZfQyAWXjCJpbnIGGZSePI1HUnIKKpQuDoXCQ5HLGRDonQQOKRkW9B0zD6ev3IFOpwUR206ZEgomk5xwyWSwGk0YP/Aj9O3Uir1Ht4y4K3ENYS3Jcf9JDIxmK8qVKMI6K0H3OwWHRdyXXAaHw4mwz9bis827oPbyg1pBAEfX8vBsBGZOwGnGtBEfo2OrhjkLK2cEckbgNY/AP2lRZbFLHsfp9sNofDx6DqITUgVfQ+5Ypp8lh81mR7G8fli1cAIK5ctN4TjJuZKzEZVuMmP91n34bvdxGNPSsfDToahTvTzcEnywoSV92cOYBPQYOhNP4p9Do1ZDBgJGBfNTIvKngMloRLc272LGqB58L04pGsjfJgNinz3H4IkL8DAqFu/Wq4FeHzZFsSL54XaT0yqcPoZOAsa0DPQbF4Yz1+5ztJEBj91XcXcWkwkdW9THtJG9oFFRKk/OK2cEckbgdY7AvwBUIupHUTf2qWQybN1zAmPDVsIFBVRygiIFe0f0a5PJgm5t62H6yD58/2RnuSCHQgq/xSeloPPgT3HzQRzUShWK5AvClBG9UPeN8tlIb4FUe3+6gGGfLoEDKsjI5YMDMjf9KYAKMiVsFjPKFM2P1QvGIDjI/wUm6kFkLKYvDsfxc9cBuQYKpxUr541C/dpVGQxdjGUEWMKSI2Bbtn47wr76FkqtFBxwkcXlhtliRrliBfDl7FEoEBwkkf85OYavc5HmXCtnBP5JoPKYNy8KNklBPjHsK2zcfhh6gxc7dOyuuZ2w2WyYPf5jtG9aXwIqCQMkspysmKmLN2DNN7uh89LDZLXBz6BB+xaN8E6dKiiQxw958+SCyebAkCmf4eDxi9BptWzdsCyT/TYCTDnrqMj9dDnsmDq8Fzq1ro/U9DQ8jk7E5Zt3sP6H/bgXGQ+dXge71YoyoQWwfvEEBPp6s2OYxWBlyQw27jiKyQvCoVCpOIpJrq3T4YBOCSyc/AnerVOVv1Mo3nOAKmdr5YzA6xyBfwGoXrwNjxwqJj4ZvUfPxvX7MfDSG9hu4mRhqwWzxvVBx2ZvZyrShTHmEu6WXIkVm/Zg5rKN0Bm0vNntVgcyUlNQJjQPZo7ug9pvVsWGnYcwZeE6KORqKOSC42IstFvgVqogk6s4ykfRRYfViqL5cuOLuWPgpVViLPFopy5ArTXAoPNim8liSkfDWhXwxcyR0KpV7JCyyp1cxUxIlWHm8q+xYtMO6PQGYWK5HTCbjejfuQ1HFuUyjwA0KyDwOicq51o5I/B3HoHXB1RsZBFAyLH3+HmMmPo5HLTflUr2nixGE95vQuVXBgq9JHNY5DpK1TjlMq6EsCR8O/R6Dax2G1RuJ2pXLYdBvdrjjfLFcfTMNYyZ9QUSU9KhUmsEB0bWlNWKdxtUx90HT/AoMh5KlRYusq7cbo7+1apUGrPH9YVWo8LSdd9ix/7TSMuwc2kYu92BquWLY23YGPgYKIIoyRKkYAD9KzrhOXqNmo07j2Kh0WjYgqN8wjcrFsfnM0chl78P4BJariyA+zsvq5xnzxmB1zsCrw2ohCNH/wk90+xlm7Bi03ZoDd4sr3Q4nfBSKzF34gA0rlNVUrZ7RJcyPE18ju7DZuDKrScI8jWgZGgBfPReI7R8pyY0ahV+2HcMYV9sRtxzK7RaFQOKSy6DJSMDJQsEY83Syfj53DVMnLscLqUecnLRJMW6OSMDVcoWwaThvVClbHGcuxyBtVt24uz120hIMUGjVGLV/DGoX6MCSx1YykBElVwGu8OJ2Z9vwJrv90Ol1UMmUzC4+WrdWD5rFGpWKZMltSAI+2Mq0tc7izlXyxmBv/gIvD6gekGYCSQkp2LAhAU4f+0+dDrKrZPDZrcib6AB4z/pjqb13uByLZ7XdzsPYOeBoyhfoRJqVinPgKLVKHH9zgOs+3Y39h47BzsUUCrVDCZklJF0oFBIIGaP6Y03K5biKguLw7/Byq/3wAEFFMwVCauLXM9AHx3atWyE9q0astbp7qMY/HThJs6ePYeSRUIwuG9X6FhhLl5JKelYvnYr1m/dD7dKDwVJHOCG3WzGyH4fYmCXNtlI+hzX7y++V3Ie7784Aq8NqF6l7z579TYGjJuHJJMbapIRuF1w2EzQqxVo3LA2WjWshTLFCkKv1SI1PR0KhQJ6nQ6kdL8S8RAHT17EmUs38TzNCJVGB7lcwdcg8YDL5YK3wYB27zVG4dzeSEtPh1ypgZePNw4fP4fjZy9DRkAopdYQ607kustuQ97gAI7wvV2zEsoVKwSVQsHpMN7eXpDL5UhISMKZKzfx/e4juBTxBEq1lqOLZKGZM9LQqHYVLJo2DN56bbY8oCwte06m339xRed89V9yBF4bUDFFlT0ZRcqPW7pmKxau+hpqnRcgU0DhtsPhdMFkc8JHr0KhvIEI9PeHWq2F0+lEakoa4p4lITnFCKvTDaVGBYVKKZRNEkiJ71JALQfkLhsyzA6ploEMGoUMOp0GFieJNiVlO9tfnv9csNvtsNtt0GmUyBvoh+BcQdAT8e8GLBYLYmPjEPssGQ6ZHCoNyRGEBWe12hHs74WV88eiXAmqyU4ZhKTMEjmJWbLVv+RayXmonBH4r43A6wMqDznOj5JVRSAl3YQhny7G0XPXodV5SRaR2NROl4s5ILeLAEXUhyKOR6GQQ66k8jAkNRD5fRzdywaFIh3GxbIEl0LJ1g7l+ZGGyyUjTZX4HP/J6TOS2pwJb/F9TpebQZOvQek+MgoGyCCXq6Gka1JU0ZMO7XDB4XJg4pCu6NG2kVT+RQoG8M1klbH5r81mzhfnjMBfdAReH1Blqo8EUJGD5gGfq3ceY8DYeYhNzhBuFIOPpACnSH9mknJm0p/4LPFeklSAAEi8hHVDAMSMkVTVgMSeXD4mE9woFSZ7jqDQN3l0UgLEKDeQLiYkFKJqDdlHMsgZ5xwCIF0yWE0ZaNu0LuaM6weNKquAXpaEQbInsyVc/0XXTM5j5YzAf3wEXhtQvczQEOEtEn+pDpUCG7cewKeLwiHTGKRqVPQJKvcigIcTi90uuFwME2xdKSn/jqNonlRhYalxQTx6r5S3J6cieQxC9DmRukMOmVwmh5y1EB7AcrE0gq5BbqbDKb5LppBxrh/9jutNcWoMfU7cn9ViRuGQQKyaPx7FCubNlFYwaEp12kW8M6fSy398Bed84d9iBF4zUHlqRxEaSKVVpCoElPw7euZn2H3kHDR6H+GUuZ1wOl0cvVPKnDDotPD29oZWp+cmDunpRqRkmOCwWwGXE3K5m4lv0jJReRWVUgG1ivIK5UKTRdf8h3vmcNhgs7tgtVtZEW93ueEmUJIrmbgP9PdFYKAvE+fp6elIep6ClJR02BwuKJQqqFQKotMggwouB4GRDXPG90Hbd99iN5WAV4hVhQVI3y0l3AhdWA6b/rfYPDkP+Z8bgdcGVFn1eiXbStqsggRn8gmUuNx/bBjuRz/jPDmqRBAS5M+t2PMVKMC5f9ExsYiOjkZ6ahor1n28vRCUKwABAf7w9/PnyByDBxfLI46LLk22jFQuRiaDSiUnXBMWllyG1OcpSE1LRXxiIpKSkmAymaHXaRAUmAuhoYVRpGghaJRyPHkUieu3buFBVAJSjVZALofcbkXXds0waWh3qMj7ZCz+7cYQ/7npy/mmnBH4e4zAawOqrFoIHp5J8D2Z5efcTshlSmzddxJLVm1B5YqlULlCGSiVGjyOjMKFqxGIjnnKaSyFCxVA/nwFGJSIz0rLMCEpOQkJcc+QkpGOtHQLE+FWp5NBR6OWQyFXkDgcdpsdKpUKWrUSPl4+8PXSwNtLj8DcueHn4weDl5ZdzJTnKYh6GIVHMdEc7StdvABqv1EZZUoVZQfy6o3bOPTTWWjkbiyePhohwUGinHImV/b3WCA5T5kzAv8fRuC1AVVmWZRMhbqHZqZomwRZxP24Zbj38CluP47G/mM/4eyFm1zOt1TxoigWWhQGgx7xCUl4+CQKj59EIzElA06XHd56Pfx8fRiU8uQJwp27j6FUaVCnekUc+/kcklItCM2fCxUrlEZKqhFP457i3sMYOOl/TgcMWi/YLBYu05I7lz8K5M+H0MKFEOjng5SUJFyPuIfb9yOhVLrR8M2qaNXsbRQtlI8BL4hSZCjJWdDskgWXQ0j9f1jAOffw9xiB1wZUUhnNLH7Gg1wewwpgANl3/By+3nkAd+5Fo0ih/KhRtQK8/QPwMCoGt25EIPppNMxWO3NFpYsVRvGiBXHl+lVUKFca1au+iWB/LX66eAvHTl2AXq3C8lnDsWHrAXyxfhtqVymF4f27Yu3mnXi/bROs/243Lly+gc7tWsLX2wCTyYSd+08g5lma5L25YdDIEFooBGXKVkTe4GDEPY3Cz2cuIiYuDlUqlEants3QoGYleBuk5hCZbbk8Rd+Js8qqp/73WDY5T5kzAv/ZEXh9QCXJEzy4RPwS/10m55Ite46ew+oNW/Eg8gmqVquEmpWqcCOIizdu4va9hzCZrPD38UHVKhUQE5sAtcKFIb074uqVWzh0+jIeR8YgtEAIRn/SFSOnLUVswjN0er8lyhfJjeKlS6LH4GkILVIAg7q3xYBRM7BoxkhcjniI6KeJ6P5hCwwYOwvd2zdjYefUpRugUmqgVcoRWjg/YhNiEfs0DkG5cqFiuVIoV7oEp9ycPHMBt+7cR6UypfFxp5Z4p05VqKUkaymvWsglMmu6/2cnL+fbckbg7zICrxGoXkhLlpKT3aA0mmVrv8XZi7dQuVJF1KheCelpGTh95gLuP4mCXaZkMWa9qmXQvV1z7DtyCk+epSMmOhJDP34fwQE+iE0xYfL81axfWjZ3DL5YsxWPo6IxuHdn7Ni+F726t8OBE+eQlvIcHVo3wqYdB9C2aQMsXLYOb9WuiWrli6PXiOmYMroPcvn7YtiMZVzbPUCvxpJZo3H11h3cuvMA+09ehdGcATVcqFi+LHNWZCkeOX4Wdx7cQ+O3a6B/1/dRoXRRsT6yZF4v1nr/u6yenOfMGYH/0Ai8NqDyqKY8As34pDSs2rwTm374EfmCg9GsSUOYzDYcOnEe9x7eh1qjhkrtxZonqqwQpFdi4dThePzoMQ6euY5zl2+g3psVEJIrAJUqV8S0BathsdnRvkUdXLl5Dw+jk1AwJBdu3rqDfCHBXF/dbrYgd65AOBUqxMfGISo2AXnz5kHnds1hyTCiZLEi2PTtj7h49wknSDeuUQl9urbBsImzMG5Yf2zd/zOuXL+NKhXL4NzFa8gwGlG5fGnUqVkdRqMR2/fshdXiQJ+PWqHrB03h62OQ2n+J5hFSVfcX6li9OI852oX/0LrO+Zq/2Aj8eaCSlOK85fj/qPyvKF7nKXFy5vJtTF8YjnuPItG21bsoUrgg9h8+ibPnrsLg74uu7Zvh3u1HOHb+BufykbDTZEzDsN4dULZoARz86QJSjDZYrVb4+nrj/MXLrHPy9vGBQaeGn58fvLx8oFSqRJVOhx0qpRpOB4k47XC6HDBbrLCarUhJTuZywf4BgXgaF88JzhqdAUqFDAvG90dUVBS27z2IJXMn8T37eXmhR8fm2HXwDB49TcKRk2eh16rwdq1qqFalAs5duIwDh4/hrepVMXZwN1QoWVhKGXKIiKCkfhf5f9krfXrSbDwK+7/YSsp5nJwR+DeOwJ8AqleVMRFSBNI/0Za0OZzYuOMQwpavQ/7cefBBm/dw++ED7Nh7GGq5Am9UKoOrtyIwcXhvyk7B8OlL4R/gz0JLs9WEGpXL4q3K5XHk5Gk8iX3GavHC+fIif/4CCAoKYrElCUTT0tOQnpEBs8XCTSNMZjPsTheLP6l2FSUbUxstL28v+Hr7cOUDq8WO5ynPERMXj+iYaBjTTahWqQwCg3KjVNHCiImNxa4Dh7FwxigkxCVxkT4qmHf73iOuFmo0mZAnMAjtWjSAyqDFpq+38f1MHNILbRrXYb0WiVQFsf5qzWem1flvnNCcS+eMwF9xBP4EUHlSgsV2E5uR+1CxADIp1Yj5X2zA9zsP4d1G9VCxXEn8uPc4rkU8QM0q5VC9alk8jYnBibNXuUHn0hkjsXrD98idryB+PHIK0U/jYFBpkNffG8VKhaJA4UJQy5WIj01ATGw0EhKTkGE0QyZXQK1UwMdbBy+Dl8gdJLB0O7i+lbdBCEJjnj5FckYGJx1TwrKvtzeCc+dGSL68CPQP4LIud+7ewaPIGI5GJj03olO7xujYui5WbdgOSqY+c/0BNFoNnFYzfH18WeuZ/OwZ6tapjjq1a+DwgeO4eOU6+nR6DwN7fsBt40XddNEJWvBYIiWHrM6Xbay/4oLKeaacEfh3jMAfBirJnuJEYdGzT2xCcvei45Mwbs6XOH3uCrq2fx9KjRpfb9uOuMQ0qGQqdG7dED07tcDWvccR8SAW167dQJ9ubaHVe+OHnQcRFReH0sWKoGKp0lCoVYh8GoWI27fx7FkK9Do9KpQvheLFCkMlkyNXYG74GAzQatwcgSOgVCncCAjwQlBgAINo3LM0xMUnwWh1It1oRGx8Ap4mJOBJVAxi4+NgtdkRnDsIZUuXQa7cuZGelorLV28g6VkSQgvlQ2jpsrh65Tqu3XvCLbgavlkWH33YCtciHuPanfs4fPQEihQogPatmyLi7kNs3XMA7zWujYlDP0aeQF9O96HOzZz4nK2g4B9lqF7UpGXZZ1lHxK/ZbK9aIlmMP9em57n7teYTUhaBB2V/LxVI8v/Fff3JhhbSZ0XqER14NFx/7BqezoxiFH5vVEVaF+edZg3sn9tLXLJIpEllSphFBrvEf3gO8d8bME8AhtK5fue9UpK8xyT41RvmUkZi7Dy9v//Uw3maHfypD/2RN0uDnTk9f2BsMi+blTmcWYTgj7Z0F18rdRvOTGiTIeJhFEZOX4qnT5+hT49OiLj/ENt+PIRceQLRqnE9OEwWfL9zP0YO7IRihUKwbe9PUOkDsO/QQajUalQoVRJVKpZDQnIyrl65hifR8ZwqU6ZUKCqWLoQ61SsgMDAA8XFJ7H65nG5WpVPTT6XcjUB/H/gH+vPPniU/R2pqOtxOGeTURkvm4nw+hUzJVRWsTuC5MQNPoiMRcfshbt66hwxjBoqXKI5y5UtBr1Ti/NlrePQ0GhlWOyxOOXJ7afDV3FHYf/gEtu49hh7d2uPrbUdw70Ek/HyU6NyuNYPS6vXfoGbVipg+ph83lBAljUUydVbL+t/bVBL+S/lIYmN50nXoH9KihBIutxvxic9x91E0g3JKajocdifUWg3y5PJD8cL5USR/bmi1WlEOR+IQo2Kf4dL1u6LKhCQF42qpTicKBOdGtQoluMuO0WzByfPXYLLYpU0lFhqVw/Ex6PBWtXKif6P0Skh8jrOXb3JlVXKVGRq49ZiwJAVUUFVWB8oUL4zSoQU5RYpbpslcnGh+9sotUHMQ4h7FavPY7gLAnE4bihfJjwolinJmOhXHoOe6cPUWouKSoKCDyxPKcDmhU6tQq1o5+HhRQ46sPFTq03j60g2Y7SJJXbS5zdpIYsbccNodKF6kACqUKsJfRAnynhR5z3N7sM/tcuPc5auISUyFXEm9JkVKl+fK9HxqhRI1q5ZFgK83HkfH4dLNe5ApKH3ec6DJeB5o/VQuW5IfJS3DjJ/pXi1WXsueFUQUiL+vAbWrlIFaTc8tDsanCc9w7uodLqNE8+BZUWIleSbczXxu2ZJFUbIIyXMSuTy3mwpTZnoCYu168PjXoInfLjWj4g9T7wC7BW9WKY+QYOrfKdZMTFwSbj2IQnRcAtLSMph/pnJOlNubO8CX55XwQaclvaKU50ITLOXU/mGLSpwZmdWZ+LGv332MIRPmwmR3o0fHD3D2wmXs/+kcGtd9E9UqlsXVm7fQr0tb7D56FrsPHsXE4X2xa99J/HzhMooXyYfaNd9ESpoZx46dQLrFjJIliqJa+fIoWSg/QvIEoFDB3DBmmPDoSTScDsrtI4G4m5OGA/x9EBToT6uXNywp2OnuFFRPKvOkE70HRZVPOvzkUEIONS0OpQLpDhsio2Nw8sxFXLxxB/nz5kW92rXgcNpw/NR53LofhTyBPlgwZTBWhH+L0OKhuHPvPq7eeogObZrjwtVruHHrLj78oCVyBQRi9drNKF68EJZMHYbQ/HlEdx3+bg9UZR+/3zqVXiTeBeiJLeh0yXD19kPsOngCP1+4juj45zBabXA7JasEMqhVMgT46FCueGG0ePdtNKxTVVQjBbBt30mMnLYEUGoplTETRCwmI1q9Wx+LpwyCSilH5NN4dBwwGdGJGVArqT0Y3bsSVosNpYrmxZbPp0qKfYENdx9GovMnnyIhjcS6tPHI5abNTR2l6fntPC+kl6NS0PMnDuASO1kHrgxzv9yIz1Z/B60XZQJ4xoDuWgCQ1ZKBhrUr4YvZ46BTi6AEJZ9/MiEMu46dg86gkyquyuCw25E3yBdrF01CyaL5CSLhpt6PMtrMyeg6+FPciUqERi1qmQloFS46IQzdm9lkRvOGtbBs5ggouRyadFxndigSQCRBAD5btRFzv/oeGoOvgD2p0CP9nXhYX60a4YvGo2r5Eti89SDGzlsJpVYparBJVThMRgs6tayDuRMH88/vPn6KrkOmIy4xiTlYD6BSgcdKJQth/dJP4U9t3iTv5vrtB+g+fAYS06xi3ui6bN2LZxKg4uayRV0/fA8zR/bA1YgH6Dl0GpJNNigV9F6qAyeNhwfsPAVMshlGtLcUXCVFDhf39pTDaaI5qoh5k4ayEfEgKg7fbNuHw6cu4mlCGsx2B6ei8ZrmGicKqBQyBPpqUbF0KDq0aYq6b1bg8RZ9QwUG/ymgEtMkNt3tR08xYNxsWG1O9OvRBTv2HcKZi1eg0XmhTaOaGNC5FQaOnwd/f2+0bNYIU8PCeeH6GVRo0bw51Fotdu3dg5jYZ2jxTh20a92E3SQSWvr56ZE3dwBi46g/cKN9AAAgAElEQVTaZ7JUmsXNXYiDgnwQEODHVTrjEpKRlmIEnctcH91jIki1XOiU85xoxF/RoqQooZdBB71eD6VKwRZaUkoa13bfe/QUrt28gVLFi+PdhnURHRODHXuPIbRgCFo3ewdVyxbB2FmfoUyJYujfpTWmL9mAyzcfIN2YhuYN3kLpksWx5KvVKFcqFEumjkSB4ABOvXGTVuy3cOkXv8u0XyUekBaBgiOWK7fsxNfbD+FZShp325ErVUzke042wdeR1QlY7Q5olcDbb5TE2IHd+dTaduBnjJyxVACVjBaYqAJhNaXjvXfrYNHkT3ixRj1NQMdPpiAqkZpf0OIV9b4sVjtKFwnBpqUTBFBJL+p0TZ2yT199CLVagJOCLCYqQyHxmbRRTFY7KpcqgDULxnP6Em8wXowyXI54gN4jZiPZaINSSWWns0506n5NVTZ81TJ8FTYW1SuUFEDlcOKTiYuw69hF6Ly0ooYZdQlioPLD2gXjULJIPr5/N5/Q1I/RiSGTwvDj8SvQ6ajzEB2CVGpadL6m+mS0hSw2J4rnD8L6JZMQkjtA2lxZ0W3J7PPk3OPG3Sh0HzINKUYrZCriK+k6Yi7p3r10KoQvGItq5Yph87YjmDB/NRQ6CkQpuSQabXaTxYaOTWth3oSBPK/3Hseg+/CZbKmpVFJ2hAwwmy2oXLIA1i+ayEDlOQJpjfQeOx/nrt6GTqPllDWp7VOmm0zvtZszUKtqBawOG8vFK3uOmIPz1+9AqyUVoehe/ltuZ9YKJfCjgwxcNbfIP/pvrpg3HiWKhODs1QhMmPMlY4VKo4GKDAQqailVOqEVxUBKbrXTCbvFAoNGiSEft0Pvj1qyGiCrW5WAtuwWouDHPbOQ+cusCpaRT5+h/7h5SHxuRJ9uHbH74EGcvnKH8/QIMKymNHRr1wwftngH2w+c4Prn5y5cRYM6NVlEeeSn0zh/7RbKlCzG72tYsyLu3XuMtAwjChTMBy8vHSIjo5GaamK3TaNSITCXH4MeRQcTklJgTLOK2lX08IzqkqvBzUfBZqVWI+ca7N4GPQMTDYjdbuH28RlGKywWGycx01JR67RwypS4+/Axdu89hPuR0WhQrw7KlCqBXT/uRVzyc/j5+MJLp8S8SYPx6ZzPcTfyGQb27o7NP2xnrqrlu/VRtlRRfLZiHWpULYel04aJ0442uUtskj/TpEZsOe40iPjkdEyctwIHT1yATK2BWkX9C+mSWbySsAponsRnIFeJyZdZ8WXYBLz1RgVsPXgGY2YsA5QqTq92kTshA6wZRrRpVAsLJg9koIqMTUDnwVMR9YyAioBHnJgWqw2lCwdj05IJfGLyTXDHHmDG8i0I37wTKgpAyBVQOsk9E9YsfQnBHSWSB+kVCJ8/DuXLhIoNJgUcbHYnRk5bjh1Hz0Kj10PuEqe6pyIrWUT2jDQM/fgDDPn4w0ygGjJpMXZRQ1oDAZVoDmunRiIB3lizYAJKMFAJ69pTq2z5uu0IC/+B80x5PxBQSXXNeJ7cLthcMngrnVg1fzTeqFhGspDpaSSJCU9QFr9mpfuf/jl2HzoJlcFH4sWIx3XD4XDBS6vmazFQbT+EiWFrJIuKgEq4lmQpdWhWC3PGDWAX/P7jGPQYMRsxielQqUTfARpIs9mKCiUKYt2icexKCo9BlFaasGgDNn27EzqDj6h2S9n6ckEbkEtI8+202ZDXzwsbP/sURQrkwbiwcGzZtg86rZ73AY0TW3mZteCyTlOPccUYyL4hHUiiuOSovh0xqOt7HLXvP3oWbtyPhsbLTzimbocQgrOJJAXjXFleB4273WqDRuHE7AkD8d47taQS3+wa/xKofnn8Z7kiFN0bNikMt+49RN+Pe2Dv/sO4ePUmQkLyIN1o41roZD0q3Q4M6d8VFy9dw8kLV9GxTXOoFSps2fYj8uTyR6e2LVEqtCBKhubH/fuPYLGYULhIQa6A8PBRDNcnN+h1bEH5+HjDYrEj8Vky++z0iOyv02nMR6CL60cJi0nDgKnRUoNSNXMiFrMVGRlGWMwW2Bx2rpYgkotlUmcZD5er4H6BFocTpy9cx497D8PbR4/3WzbBnfuP8MPO/ajzZmX06NASS1duQsNGDXHjZgSOn7oAhUoDm82CVo3romC+ECxbtQktGtXDrDG94aVXc7ljtnv+AF8sNrZk5MtkbIVMmLsK3+46Ap2PNy9gOZVdZreK6tBTpFHIRPiQ4ckHnGQh2CwY3bcT+nRuydO67cAZjJ5JQKUWB61U64/Gps07NbFg8oAsoBo0FVFJ5PqR6yXsIovNitKF82LjkolsUXlcDvrt7BXfYMWGbdBqdHDJFRI4kalPACFnQKLKFW6HDWETB+G9RjWzboAnUo4N3+/DlM82QK7S8KEnOg55JDBuWCxmvFG+BMLDxsLboGWXasikRdhz7Ay0Xr6ZrqzD5kDeIC+ELxiPEoUli4p4G+lJPl+/AwtXfcubn4loHlNPDRB6E323C067BeOH9ECv9z3lpz0+xcunOw2PDIdOXcCwyYthgooPS7E+BVD56NRYPX80qhBQ7TiECWHhvN7IBxe0r4yb2nZoWhtzxw/k9ckW1ci5eJqYCjVzd2JdEGdVsUQBrFs0ng9DJvnYDJJh4uKNWP/NDu5W7pKRa0twL0ptcxVcbmnngsJhxbJpQ/BO3TfwzY+HMXF+OKDQSDjMNrFwGcka5bUljAKxEkQtEfon2V9Wpx25vdVYt3gSyoQWxKzlX+PLDdugN4iGvR7XmoMSLhccdhGlJ69GTp4PF6tUsJVvMhlRrkQ+hIeNR3Cgn9gLvyDTPadEptGaFVkhrdLksFX4budhDBvUE6fPXsCx0xfQtMHbaNukFpdaWbDyG9x9EguNSg2TKQP5cwegS8e2uHM7AvsPH0fNmm9hTP8OUMncXBMqMf4ZzA4XChUugGeJSYiJiYNeq0euPEGcSGy2mhGfkIj0dDNkbgr7SwapzAWNmrrWaBmYqNgeFdWjjWA0mpGRYWJCmFxEQj+uv85RJTmf8jynEg/iMXFprmnBkn5Lq9EgNvE5tmzfjVu3H6Jju5ZQKJTY/P12VK5QDtWrVcXZs2dx5dYdFC5YCC2b1MX+o2dw6uwl9OnSGkqVDp+t+hpj+n2EYb0/YHD53QDVC4atqPNON7ruh/2YtmAV5DofruNFXBvXh6cqyeQ2cD14J5xc2ZQAQcbAnZGejtYNq2P+xEEsWqVn37b/DMbMWgYXWVRsSogvJVfivXdqYuELQDUNUUlpElAJZ+DXgIryOfuNC8OJc7fYfWA6hN0pcn3F9hJuGW0yMwZ2fQ+j+7TPBlTCfvxu5xFMWBAONwGpZPrzmc2WgYNtRSq9syZsDKpXLJ0NqM4ytyWuQt2OnMgT5MUuZkkCKgnYaVORZGXolKXYdfQstFq9IMk5N1VizPh+BbDSAfpBi/qYO/pjHi/mTX7Dj09MNaH70Jm4/iASGo1KzKHk+v0SqFZDpdZl9YLMBKo6mDO+P6+Ze4+fovvIORJQiWa+dE2L1YJKJfJj7eIJ8PfxZj6MADctw4J+48Nw8uINGHQ6Yb14XgxUbD7yOrcZ0zCidzt80qMdrt19hC6DpyA5xcz13BgO3YBKqeR1z0GRzGKRNIouON12yFj+A1isZtR5oxxWhU3E83QTOg+agoexyUz0i7YHgit2OR1Qyx0omq8AEp+nICEtgw8Lt9shHRYyOKljlN2ExZM/Qct3agtgzA5UYppot3rqj8uE2Sh9yapv9mLOsrXo/tGHSIiNxw+79+LtOrVRqkQJbN/xI4b2+wguqDF9UTisdgsqliqBts3ewe5DR/HgUSRGDeiC5o3qwpyRAovdDrPVAZnLCT8/X0RGxsLucCE4jz8MXjom0RPiU2A0WRlQFAo3VCTkJH5Jp+cFplISOjthMpqQYbIwUWu3ExchBkUUPheukScsz04in9LSgvN0Rs5WRZjJdxkV9tPA5Vbi4E/n8P3uPahX+w1UqFAO4eu3IPl5Oj5o1Rw1KpdEQmwM3qr7JmYsCMepy7dBPG/fLu8jJjYRu3bvR9j0YWjbuO4LVeWzVs8v/5adoH389Bl6DZuBR7HPeFF7wuwU0WS+hUoq2+ygwI9SJYfd5oTNIYfd5UCpIsFYMWcMl0+mhSCTKTOByk3cVrYd988ClefuHz9NQJfB09lFUStpUQuSlQlz6e80j7RtLVYr3qlRFl/OHs1clLT7ePV9s+MwJiwMh0ypYatZRJo9FhWVnFbAbMzA4K6tMKrfRwKoJi7C7uPnoTN4SQEfqkvmQN7c3nwqM1Blazjy7LkR3YfOwK1HUVDzmNJ2JvdFWFKeaCv902o14Y3yxbA6bBy89bosMPuVCUw12dFr+Eycv3lXRFx/E6jCucuRCA6Lg8BsIYvqLcwdP0CyqF4CKsndMnuAapEAKlE8W447DyPRY8QsxCWLxrpOqXemOJTFuvZEZKmWW7O338DiqYN5HR37+QLS0kwSoU60qJwt8NMXI6DUqrIiuWRj2Y3o2Loh6lQtB6eNskFcyB+SB5XLl8KB42cxeMpiOBR6qby3GCziTuGyYnCP99GtbRPcehCJMTOXIyqe3FrBizGTIHfDYjSi63vvYurInnxAvABUmQFcAipyK9jkIv9WgTNX76D7J5PRsGFdFMiXB1+t+Q4mm4MJ2J6dW2HclIXQaXR4660aWLF2MyqWLYumjRvih+27OHqWP18eVCpZGLXeKMdlU2QKNWxWK2+gpOTn8Pf1gY/BC8kpGYh/lswlhIk8p8Xn5WWAQU+5gQoO35rYYjJLwGQXXBWdiuzLSASbJ2TKoV8P4yZFaDJPRI8HLiwsrvgg/iJMW4pqyOVQqfW4FPEAqzZuQanihdG0yTtYtXozK9+1SgV6fNgUUKsxevpSuGQqKBUK6OQuDOrbBdv3HEF8fALWL/kUpUIL/BY+Zf5OSAnEva7YvAuzPt8ItcHAm0kQwoKLIFJYLwMa1amK+rWrwM/HwKWbz16OwLlL1zGib0c0qfemcHWlOvIei+p1A9XxszfQd/x8licoWZJA9yg6TrPrRqFvyYolortoiD/WLfkU+XJTwIF/IQHVIUxYsIbJaBGOp2iVR9Mvoojk/hGRvHbRRPgY9Bg0fhF2HT8PvZcEJG4CbAfy5hIWFbl+me60TIbz1+6iz5h5SLc4OBjBdf0JDKV1QgAurCxy2RzI46dF+OJPUapwiMRT/br/nmq0odfw6bgQcR8aDUUhs1tUKqwOG83NdTNdv+xAlWlRvYU54wVH9QuL6mWgWjhB4kEFUO08+BNGzvoSLuqkRE9GbiXBL8kGaCaYHiKnjfgwJ0oWDsa6heMQnMv/lWtz8sK1WPv9QWgNOo7ckldD42SzpGPuhEFo36zuLz63cOU3WBz+AzRevlLXKbGtSGRdOH8QNi6ZhHy5AvhzU5duxKote2AwSDIaOijkbpgtdlQtHYrw+aPg50MFNLNxVJnSOInFFwa7DM9S0tFjyFTmj1q2bIrFX4ajaJGiCC2UHwcPHsHQ3u1R+42KOH39EdZt+g7BeYLQoF49bP5+J2IS07j7MEXmCHgyUhJRv2Z1TBjaE3qNnF0O4jRS0tORkpLKTUZ9vH3h5aPjfn4UDTCbLOzOEUDRw1KkztNc1JOykn0hihIzYoOITS+HmydKshglS4IjDuKDnNTMi4rdQhoschcJpJVQKN3w0nrh4T80XktWbkTe3HnQomlDLP5iFWRqA6fdrPhqAw6duojWTeuiauXKmLVoFYqEBKB7p3ZYsGwVKpQMxZdzx7B6/Xdf0sY1mmzoPy4MRy/eZNeWuCh2bOQURXJBrwLGD+qOD5vVYXD0vMi1SUxOQVCAL+c0CqGiAON/F1B9SYC6bCO0/yijIzwM1pLw3NPhYuNGGmKsKSKpVbiwfOYI1K1e/hcW1cSFa+BWqZlRkpwx6dGIy1BwGpVG7sCKOaNYzzVw7ELsPHGeo7nCcJDDYbUhOJcv1iwYy0CVRdrLsGn7QUxaSPyQlrVDxO+Qi0q1+HkTEl3A9+/mdSNzWrFw2gg0r1c1syvSr80hAVXPYdNx8fYDaDSvsqhGoUq51w9UnvuZvXwjvty0i/NZaUU4JTPFoFSyx2JjGYPQeNmdgK9OyZHISqVD2T0WotssSc2EeSuxYftxaA0aCdCJXgHs1gxMH90XXVo1EGQ6rzKaGzdGzfgCP+w7Ba2XQXKpBc1islhQv0YFLJs+FF6SXOabXScwdtZyqNlaFdFDOpisDjfyBfhg3cLRXIrpJddPWBKiWYIn8gfM+3IzwrfsxMjBfbFz936cv36fo1uN61VHUlIqjp44DS9vAxKTUxGcJxfatm6BTd9tA0UHCYQoCkWPUaRgYZQvWQS7d+9Fq3frYNSgrjCbjAxWVChPqaLTjcxfcuMEz0RRAAcpvaXKmgw6Uv894RYIYp3ng3vyyQXZzJ1lRM10srRYX+X5mUwOhVL8joCROjQz4PEzE0jRiUoBAbIsyY4hF1jGOp19Jy9h/PRFqF29EhrUqYXVm76Dr68PvHVqFC1SBHWrlYPd5cK0xauQnpaOd+u/hdDC+bBo+TpMGd0PH5P1lbntxF9+QXlIu/P2wxh0HzIT8Rkm1jYJ3RGfj7CZjOjTuTnGDPhIsrSk/c4bjNxawTHwWEm8BP3x7wAqAsYhU5Zi55EzXO/L81RumxVVKpVD1NOniE9MYa6DFqzzH4Svw2LGtOHd0aXtu9lGQ7h+2YHqF4Ag8V3k/vXu0BzjB3bG4EmLsPPYBQYq5pQpVG6zIySIon7jUZwsKunn5KJQ9HTTj8eh1eszR99ls6Fq+dJ4npaBB5HRUHLTEMGpkRsyuNcHGPHxB7/v+hmt6DlsJi5GiPSrP+36EZne7M+7fnSfRosNfcfOx4nzt1iGI1xmiqpYUb1SeTyKjEJ8cobom0ldy8kqt1sxe1QvtG9R/yWdpBh5AVTHOKIqrFvRMdNmzsCMMX3RmYCKo40CqMgS6jd2AY6du8FWmCeFjNai0WRBh+Z1MGds30z38sDxixg0KQxQ6YVBwdIQEiC74KVRYO3CMahUuvjLUT8RZmQuQbIuLt68j+5DpqB544ZwOKz44cdDaP9eU7xVpQzcLhtKlSmDn87fwLSFqxDs54NeXd7Htj2HcONeJHQ6gxRpELyQzWLD+83qw8egwY49B7B0zgQUK5iHeSiLyQKLhbrG2KWmDHJ+GP6PVp5SyaF0Nf2VOA8abLmS3QwhoZLy63jAmLrlRUgnClmCpOkhuKMYlIubnpJW1MUWGy1eikTQvznxmfxkJ0kK6O9073IWmlJU8dD5G1j77Q5Ow2nydm2ULFYIX63djHeaNAXMGahaIgQypQppdheO/XwFl67e5AKApAa/ffcONn02DaWKFmAQoXujaRc8jkcUSoStcGX3HDuLYVM/g1NOETApIiVTwWG3IMRPjzVLpqB4oWCO4DBIewSJEhFK12CdFJv6Yjz+NaACLDaSJ2RF/Wgxk+C269DpuBOZAK1Kw3ogjhDZTOjXsz1+PnsdF6/fgkarA2nbiEowGTPQrXU9TB/VV3LZPa4fAVU43CoNuy7CBhMvz2lLP7ZYHShdKBhrF4/H9CVrsP3QWXjpvYQOSu5i1y8k0Btrw8azuNgDVInP0/DxyFm4cjdKuGZSezW7xYQB3T/E/UeR2H+UOiXpM3kfs9GEJm9VxtLpQ15Q47/KqqKmID2Hz8JFdv3IohLvIqvSR/uKqB+7fp5Aiyfq9ydcP4mjou94HBOHrkNnIiohjeUr5HoTcsucNnzSpwMOH/8ZVyIiuSs5ARW5hWQo9H6/MSYP756l3c9mxo6fvwobth2BQa+VWtdJujuLEdPH9EWXlgRUWa57utGM7qPmsjFDKnOPF0O3kmGxoVubBpg+vEcmP0rJ//3HzYFDoaWYH+SQmgg7nVApnfhs5ig0rF7h5aifABR2m0jTYbOj/9j5eBKbjI/eb4YFy9cizeLG29XLoUOLBrj94DHOXLrOLD91d+nfoyNOnr6Mwz+fg6+fr4gueM5XGZh3Cg7yw/B+H2H+knD06/YBWr9TA2kZGdz4gdpZ8XbleRMt3GmLEbCQ4+Yg943KuDhJoe2i2WdTXcabmNJqABu5GQ47S4kIABxsvgueg67B5CJ9lt1bkr/S0pZcxUxy2RMHFDoguiECSyJ+1247iCOnL0Kt1sBkNKJTm6bQ69RYueE75Anyw1dzxuHOw6fYtOMQ7j6ORLrRhBIFQ9CjUzvMW/IlmjSoyWI+had3oMzJEMIpDy85Opt3HMT4sDVQa/WQsdtHZoEaFlMG6r1ZGivmjoWOFqQEbK/aOC//7JVAJXPDbLTgvUa1Xor6ZZcnSNaFzY7ShfNh4xISfHrz5c9cuYO+Y+bCSCkpbDUJsFfLnKzLOnD0PLYdOMkWjEfLZLZaUaN0EawOGw8fb32mYPHrnYdZX8TcEVm6vB4FR5W5f2jsaE6dNiyZNRIHDp3Cd3tPcShcRkeRTMFi13yBXlgTRuJDAioR+b125xG6DZ+FNJNdIvKFxMXpNCFs8mDcuvMEyzfszLwWne90rRJ5A7BuyUSE5An6zWEmoCIy/QJZVC8BlbdWxfKEquz6HcSEsDXsfopADx02CpjNZnRoWisbR0XyhFmIfUbRsWwyEVam58daiaOimzpy6hIGTl4MB0WF5Uo+COng1csdWDhtJL778TCXAteSm+UWKVQk3alZuTS+mjsiM3sh62iQYfy81diw4zBLhTxqcpoNmyWD08W6tKz/QjQ79R+ZJN2Gz8aliIfQk+DUk0ZGSn+LFb07NsWkgZ0yx/DkhQj0HT0LNpJz0N6kQ47mw+2EEg4snjoMTepUfUXUTxKNMZ9x4BTGTlmCvr07cZrJ9Yj7KFemhNA92e3o3K4Va5PWf7sDPTq04VSO4z+dRb78IYi4/xgKhUf3IdTZVqsFoSHB6NfrQ8xdtAKDen6Ilu/UQnJqRqY1RYJC0lg4nA6+WRB5J4kCSQFCpKwDRBQ6oJK7IFdpmdRPzzDB7XTC22CAF5mpLjucdtGYlNX9nkahZFpyagMtDSmqRFG+bHIyDyHPAjr2m2VQymnBOrFo1WbcjowXIVWnEwqXBR93+YBTaahBROP6b+HkmUtIyjDCx8sX+fIE4EZEBJrUrwO1Socd+/ZjZdgk1H2jjGQWe2yGLILWAzzrftiHyYvWQaOlDUjbVAg5rRYLPmz5NmaP6s0REbvDgcTnqWLz8sLwZK9R6zBK0QBzYxq1RrKoPhfhfw8w/wZQRScZuX+iZNOwJVmqSD4h+PQTQLX2uwOYtmQtlFqNkIG4XbA6nAj08cLmJePx48GTWLpuh+CvWG3u4mhdbi8tNiyagBLFCvIhQg78L4BKylNki9PpEJwSW59uWM2UBtIGKUkp2HGQeBQiXe0i1cfuRAgB1YJxAqikqNiOQ6cxfNrnUJB+SSwKuB0ykOg7PGwUbt+Pw+Swr6DT6tgy43ig0w1vlRsrwybijfKhvwtUv+b6eeteBVQkT6BLCnkB0SD/LFAtX7cDc7/aAq2OiGkSdtLacCKvrw7ffDENa344gJWbdkJHuY9EmdA82JwIDvRBeNjoTEs/e/b2BAmoyJUUrrAIcJDrx0DVilxGzxqWcccoBqpbD3gMxf6RUpIsFvT+qDkmDvjoJaCaQzQ9UzO03wXn5QZRB7PH9sMHzer+Ukfl2SQpGWZ0HTIDKrkCNWpUwGcrN6NR3Vro06Ep7kbGYcPWvdBptYh6Gs+VM6tXrYyln3+FYQO6IVeuQJbOy9VkvotJcLiVnKz4cftmSDdZWbLwxdyJKBIcyJU0iReiE0iukPOGI7LYZiP1uAUWhxtOiw1umx1WSXmu0qqRYjTh1NnLuBoRiefpRridVvh76VGueChqvFkJuYMC4HRYhNXkFhNHKmchwqMXWWMCrF4EKg9vJJ3kMkCjVCMy4TkWfBGONAuZp0oE+upRMCQ3oqOe4uMenbBm07ecyDqgd3u47HbYMoyoWrUC+o+fj/T0FAzp2xNrNn2PcsWLYtms4dzhRvBIHqL5RbZq7Xd7MGXJeqi1XgKopI1Fh0P7FvUwewxpe+QMVDMWrsLh05d5sxLbLpORHEHowZxOKwZ274Bmb1fHtv2nMWYWAZUmE9ToJugkJyXwizoqsqiMXFZHGi5YWZkewoLPQMmiGjd3FTbsPAqDXiMOBRKp2uwILZgXXy+ZgEM/X8SE+WtZk8MBCkmj53JYsWTyJ2je4M1M6YaHo5JRYq+k8/JEowsG++NpfDLsvMkAh93G6U3eem9cibgNhVpEjohHIas6JNCXhaHCohLu9JzP1+GLLXug05EYUgggHVbarAZsXDoRj6Ni0XdcGKDUiS7eBIokULRaMHVUb3Ru7dmYr8Yrdv1+haP6Q0BFPA5ZVBM8Ub9fsahekieYrTYMm/IZ9v50jtPYPCl6FHyqWLwgvv58Erb8eATTFq2HRk8yDuGukWRA6bJjybRP8G6d6pIxJYlH/xHn+02gGiu5fpk2rwxkUXUdMRuXbz7iZr9sD7NxQBaVBb07NsfElyyqPmPm8JxyQIuFtuK+QPzZmL74oHm9V+mohIbqmz1HMXXOCgzo2w3f7z3IrgElGt6PuIGSJUuysHLDtsM4c/4iPunbA+s3f48SBYMxe8JgmO1OTJj9GU5fvQO1hngJGchqpbK+wbkDsG37HrzfohETweQ+kX1DJwmlzJCZrVKqoNWpodWooFMpoFDpRBSOXDdy6eBExOM4LFy5BbfuPYaLwmA8IG7eDHkC/VEoX240rleLOTCnzQK3TCXpZMjVIpePBkXwPr/9EraXRqvFqSt3sHLjd1Ao1QwOxfLnxYCenfDVus3Qe+lRrUoVbP5uK/KH5EW5AnnQs8t72LjzCLZsPwKnw851rKg/4A/f/4hlc8agUZ1q2U4jj2OT5eJs3vaBzmwAACAASURBVL4XE8LWQqX1koSuYmNZTGY0eLMkVswZy4UC6XXw+HkMnLQARifxeioeI16ITsBuMWPuhIHo0qYhtrMy/XO4lGoOMEh6jF8HqmQjC2lFsIJ0RaRMJ9dPAFVqhhU9RszEhVuPoSNRKUs75Fx7vk7VMux6XbpxF71Gh8HudBM9xRYPXc9oTsfgLkIP5fEfPEDFynnhCcBBi9fpQOc2jXHs1DlEJSRDpSCQd3MWBPExZuI2pUoNxEfaHDbk/cc6YIuqcAiPEXU36jdmHo5duMGnvaiGIOfDsGqpQli3eCKnbnUeNhNpVnL1PfIIJ/OoXT9ojJnDu//mckmTgCrT9ZPeTbl+BFThYWNQpWwxbCG3fsFa4fpJhzm5flQEsmPT2pmCz7uUQjNyNmKfkdYom+vHQJUPaxeKXL/o2GfoPmI2HkQnQKkRRDpZTHS9FvXexPKZQ3Hw1HkMHL8QUOhZEMyJxC4ZHGYjRvfviP6dW//i2X4VqCwSmU4cldh9vEAYqIbPwuWIx5xr6OEA6X7Y9evQHJMGZXP9Lkagz+g5sFEVDY5nEVCR6+eCyuXAoqlD0KRutZeAStLbpJms6DZ0KtRKHVsEn63agOCAADSpVwPvNanLIvw13+3DzkOn0L1DK47onL90CYtmjEGh3L5s4p+7cQ9TFoXj+fMMPvW1ahlbYFQOpMnb1TC0Tyd4q1WwORwcHVOr1TB46WG3u7hUS2pqCm8KiiRQOoVcSVIlBfQaHU/EZ6u+wY4DJ6EzaJArwIAgX29YnVT6JJXd0ZA8uVCpbCm0aFgTGpkLDicRy5w8ILLxWanuKZvyqrWXBWByEn9qddi86yh2HfyJQctuNaJ2tcoY1P1DPIyMwbxla/B+q6Z4+PgxDp+6gCWfDkGG1YxJYV9CofTi6gYGjRwDen6E9Vt+QLkShbF05ghoMxdfJpuXycXsPHAcI2Z+CSj1HKEUQlDAabcj2N+AdUunoFiBPPwzipJMXRzOh4eGgI1dCeJS5XDYLJg5shc+avU2tu3/mVNoiKz+Q0DlsagkN9FqNaN04fyZQHXzXhR6DJ+GpAyRSOwRLpqM6ej5YRNMHdYDj6Lj0W3YbK5bRsmpxFPRmBqN6bwIl88aBRWn9mdF/cii8gjnmSeymjFrTF+cv3QdW/cdh95AIkdpjqi5rQhL8DOTa58JVGHk+gmguv/kKXoMn4loVturpQCGi4n9do3fwsJPB/P67Dx0Ou5GJnIPSLLGac2YLA5Ur1gMq+aOgq+X4dUJygB32O45jMh0ivoRmS7mjIDKR3L9WJ6w/QAmEFARqEhARauT1u4vLSoCqjRurCte2ZTpEkd18vx19Bu3AGZy/+mgYqPIBbPFhE+6vY+Rvdsh4lEkOg+ahlSjAwqVlL/ppqoUJrRqWBNhEwewhCj767csqsyoXzagYjJ9xGycu/EAenKfpWAFrV6jyYxubRth+vCembTD4TPXMGDcfLjklFwvRUwkIbMaDiybORL1a1Z8FVABh366jMGT5qFHl/Y4eOwM14GqUr4Etu8/wRnvPT9shksRj7i6QOumDbFs5QZ80OJddO/QHL4GLe7ej8bi1ZsRERkPm01KOmTxnAt6jQrN61dD13ZN+UGMxgwEBvgjKSkZz1PSWF8RGBQAtUrD2qnk1DR+j80u+ARaPBduPcSy1etRuGB+fNCiId6uXQm5fSnvzMVlJX7Ycxy7D56Cr68Xpo4ZgHKh+ZCebmIejDat1e6C3SWy6EnZLkqxZNlWgtAXmg42RtnwUOCz9Vtx4cY9obexmfFe8yZoULsKoqLjsGX7PjjsVnzYtjnWb/4Wb1Qpj5joWDyIToTRbofS7eLs8mYN6nJ10l37DmPd0qncIUfUi/LII2htC5eDSs/0GjkHGVY3FJwYLJGutLjMZgzv0w5DurXJPM0uXX+A3mPmIsViF3lmkujVZrVhlgRUOw+ewagZZFEJ8pKsXXqjx/WjXD/Kcuek5E+mIirRCDUtXqmSAV2rpOT65fL3xg/7T7IOhpTkrG2T8NZqMaNbuyZo27g2klJNmP35Jtx/EsNjxzY7aWVsVhQrlBfrFk5ASC4/Xu7f7DiEiQvXQgCVmBc6WswmExZNHshpNGNmfwGlRliZIuCUCVni3xS4oaTklyyqY2evo//4MNgoPzJTse3kxrStm9RDl7aNYLJYMfeLzbhx+wnfK212bkBicyG3vx6rF4zjXLZfC2AIwecsnL9FUT/6vHgJoFJjddgoIfjcfpCFrZlkOol4QVE4Mzo2I4tKcv2eUPUESqGhSJ4AEVqfJqsZlUuQ6FUo09d8fwBTF4VDpaMwvxA5c70vhx29u7yHRrUrITYxBTOXrEXCszQoqcIFzxXpxmwoUzQ/W5+5A6REc+nOf5uj8uioPOEOGVd/6DNuAY6fu8EFAbIsKhlLjj5sXgfzxvbl9UmvfScuYtDEhcw1k9BT8KsU3HDCRyXDmoXjUansy/IEKv/gcGLwxMV4FBOHhm/XxPLVm9H03XehkdtgcQDPn6eBFuGVGxEY0Lszfj5/Gc+TUvHlnLEI8NYhLj4eBj9/DJq4CLcePIROIyI9tNvpZLLa7fD+R8Lw9GG9UKNKaRZ6Jjx7jnwFQqBRKBAd/RQp6UZo9V4I8vNhsCG3LyPNxK5hms2OtV/vAFw2jPmkJ8oVL8T9Aem69JB02hG3QWU0Fny5FhUrlsOQXh9BR0nLShnkahWUSjVHCx0OG4MVWW70n93uYHkE5TQSqIpMe0Cr1iLZbMP85WsQLZngFNkqGBICh9WI+GdJoDPdanPg/RYNuHbW9z8exIRhfbBv32EkJifjo/atcOrSTVy/fgt9urVH+Lpv0bzRW5gxqpcAAbFmJFmm4HGePU9H16EzcPtRNNRkRlM1AdYyULKsE/4+Wiz8dCjqVisjLIbHseg6bBZiU9LYfeYMIjiZ65sxqjc+alUf+09cwtBPl8Aup0gmAYtIdxFAVRMLPx3E5TUYqAZNQWSSqJ7AC04uh81sYQtl89LJCPLzwpRFa7Dmu4PQ6ShnTiSwMs8gk0HlCQC45aydclKkiXUCwtpzOAC9Ss6iTAHYAqgmLFwnAZU0KG4XA9WccX1Rp1o5fDDgUySmkLaMLGNJK8QBFxIyioCLKPPig7XEUXEKDfDl+m2Y+9W3UOoMHAX2ADndNRVh5IghPQH/zlOgRRxYInBiw3zKP2tQI9PoeBmwktPN6DZ4Gq49iGIdFenvaOxetqi+23MMxO3JCeCzkekmkwUfUfUEKYXmzsMo9Bg5B3FJWVE/1hpKHNW6RRPg5+ONkTNXiKR1g7coDcQJFlRBww0lV3igFaaAg8Cd1Swi8s2VwlxO+GiUWDl7OKpVKv1CqtdvuX6Z8oRMi4oD8Rg2fTm2HfgJBubCRMIx37PZxtVyP58+lOUO9Pp211GMnrUCKoOXmBPpYHI6bAj288YaCrYUyfdLMv3m3cfoNGgKWjdvhAdPInHu0k0smDYCwX4G3LhxC3cfReFxghEpKWl4t0EtfLVmI2aOG4xalUri3v1IhBYvhJT0DEycF46Ltx9CSxyKyGbkm7ZarKhQsig+nzkcyfFx8A0MYP3So0fRXMkzf95cXD44OjqetTJqlYJVsYG+vggM8MWTuERMnrsC1StWQLECufA8NRXXb96DW6NAusnEWozmDd9C0YJ5sWrTLpy7egND+3ZHkZBccNrNcCsoxUPBbgpfW6OCmmrlUOkUNXE7Li654XC6YXfb4bDYkWq04/iF61izZSuHUXkJs3lKuisXWxK0NCgaly/IG53at8G6jd+jdZO38Wb54sgTnJu1Rhu+34sTp8+ha8cPEBufhLt372Lzsmnc9os0XmQzechEUf1AhokL1mDT1j1cskMAldiMxLORfKRALh8M6tEO79Sthpj4JPQdNQ+xqRm8iTkrHRSUMGHWqH7o2Ko+Tp69hv4TF8DsBJRyOlUFEUQuBwHeF7NHcoTw1oMYdB08FckmBxc2E/NHTTJMqFCyCDYsnsAi1F4jZuHU1Qdc10mQ3lJlSwJBSiJ2sYQWMr6GJ1NGClJQGNpmwfThXdGpTWNeuF+TRbVgPWQqKr/isUecoA08a3QfdHmvAQaRwPPIOeh1tBGoigSdwlKqCEetyUqg6gmkoyKOKh+ohMzgyYuw98QlKTwvtIIiw4Uac5C2Tjwj8WjC7RQmqeCy3LAZjRj2cXsM6dmGDzVaA1kRUYFdF2/cRZ/R85BicUKpJN+bfirnVBw/nYrLvFQuVxwHfjqHTz5dLtxgyh5gI17O2RfN6lTGspnDWUN45vItJveNVhdnGYij083J+rXLF8f/sfce4FFWW9vwnUzapPfeCQm9hB56772EjlRFUUEFRWxHQRARUTrSO4QaAkhvoYQaCCSk997rTCaTmc+19jNJ8Og5x/PJf13/+73PdVkIM0+esvfaa691l+1rljLinCAXkS9TRMdPmvBCp59BgVKiS+9BZL38N9K7p2BLsi/fLZ3HHbaGwfePA5VGAnzOx1Sp68fLBS9CMqzecggb9pzkoCmyXpEpURLg72KNvT99AWcnO35eKzbsxdYDZ5lQznQ9aWtDJOc2TXyxc81S2Flxt/iVvjx78W3cfQKzZ4zH9gMnUaXUwNnaCJ3aNsfIQb2RWVCCL1ZvwuTgsXj88BEXcz9fNBtFubnw8vJkMmxZeQVuRUTjxx0hMDY1kTxqNAKRXFWBScP7Y8aEIbAyNwahrwkiX6NSITE5g9v+Hi72sLQ0RUZ+AfLzS6WaBhjnkZSWhe+3HYSxiQUczQ0xdkRvmMstcfLCZXQKCkRWUhrsbGyQkpmP6loZbt+/h3HDB2JAjy5QVVcxcplHBS8rgrDMUhWkn2QgY8oHpewqjRa5ZaWIS0zB/QfPEZOQjKpqNaOrmemtpa0j4blqYKBfC0tLM3i4uCIzIxe9e3biJsHNO/fRt3dXJCalIiYmHi2bN0NecRnM5Abo26s7du87jFXLFmBk/64NMXPSai3e2PWIp3jn0+9RrTVgdQqR+9dvVYkqQoPOz9cNJiYGSEjO4iBE5W9KvmhDoaqpwgrKqIb3RXR8KmYuXoX8UgWMSG1CAp2SIYalqSEXcfsEBWLznuP4eccx6BmbSZ06mthU7KW6UidsXvEBUrPyMP3dr5BVXM4ZnG49lLQp6kASdelH3XQRjQ/6IwF9pwzvgRWfzOfMguEJP+yBHjVRdBONlEEVCqz4aA6mj+6LkDNX8fHqXyAzNgWBV8QrFTg04rRR/ZG6fi52ltjFNSo3ZOcXYfJ7K5CcVQATadsjkawa4LN0Q0JkmbotJd+Xvh4UFUoM7x2I9d8sxNMXCTgcegGtW7WAj6crb5dJbvfgiQvcPNCjJpIQ3uGASLVYB0szzh6bNfZCTEIapry/AmWVCtbE0m1eqUnjZGOKtf9YyLSWtdsOYceh85CZyLk4zhoshPJWVGLcwC5Y98V7iIpJ5HdaWKFmQjjncEwEFwqZOknieiyaTsNMBD3KcKtIdWHqSCx7Z2ID2IzU9Tt1hZHuQntLBL8aRTm+/vhtCZ4g1RiYF6yPsMu38cE3G6E1oO2c0IummiRRpwhismzBVEwfOwAvktKw6Is1SMgogpGhrvAubW0rKxA8rBdWfTyPA/YrgYo6J/M+WolqtR58G3kj5FQY3poRjIK8PJy/fgfGBoaws3PgAt2oEcOwbcdezAoejU6B/nCyt2JXmNi4ZAQ08UZKRi6WfPMTcopINkLsrak96e/liLVffYSq0jK4ONmhXFmNrJw8NPf3ZuY/aYDTs7OxMoebuyNIVygjswBlimqYmBrj/OXbzNUi0bYVi+dwa5u2PNfD76B3r25wd7BleY39xy9i0/7TyCooQa+OrTFrwghAXc1ARB2DnFNffcM6nR+SQ07OykdMfBJbuWfk5HLNQg8GjLth2g2h2BnlUAtrcws0buSN7p2bo01zX3g4u+LA8QsI/fUqxo0Zja0796O4ohIDewZi7LC+8PXyxKbdJ3DuyjW8OWsawsIuMfjvhy+Fqqbu0FFw6c+kYLnkm404To0DInlSG6+usC66VoRMryGCN2phzPw16qoRdoVlI6GqUWL5klkcqAh2Mufj75mYa2IsaBG6bElTUw1HGwt4uDkjJj4RCqK8cWZGpF2BO1MqKrBw7ngsmjkOF28+wILP10JrQJNIl7TTpwy4k0stZlb45AxQ6JOLDZWQlaZBT+KFgU29sGvtMlhZmErqCbsAQxL2022/tNzpXLFkNqaN6ofk9By8sWg50vLLpOKvJCEsKS0wxaiWApVFHeAz/FEU3vx4Daq1Mt7acjmCtyUi65FwzlJNipIgoSXFUrvMStLjmpq/uwMObfoaBYXFCH7rcxSVKxm3R4sCjd9qaISypiRKKLaYWpbH8Xa1ZUVOTxdHlJRVYuYH3+HxywTI5XLO4un3EO6PaC2u9jZwcrBHbEISlLUiExKgYMIWiprdFx/MwNxxg3Dw5CV8+SMRuU0ExkySY9EFJnGvkpSNICiI9U4K0fRuKxVV6N2pJbZ8+xG7ROkOzqh0gUqX8dcFKsJRUddPpwAgdhpEnaOGREZuaV1dTfd81VrAzFjGEJ08MlzJyoMedfUZkCuSh1qtDGplBb5f+hbGDRVwkFcCVXRCKmYs/BpD+vXF05gYnrDTRg1GUKfWsLIwx7PoBHy/cTf69OyI2hotnr5IwuK3Z8DPxx4O9jaIjk6Cuakcni4OSMnORUZROVb9tIe3gjRomzbywcxJIxHUyhfFRSUoLi5hnfT4pDTWs2ncyAs1tbVISs5h8LixTA+uTjawtrVBXlEpCkorsOvIeVy4EYE2Tb2xa80nzPrOzMxFQlIGlJoatG3uz/ipQiJSL/ke9yNfol1zPyycNREmMsqAaPJQN6yWszfqBiamZCIqOh4xSSnIKSxClaKaV2VKySkwcHrOAmsSo75Ghb5d2mDogO6wtrCEGQUxmR5MTQ3ZnODT5T9iUP8+ePj0JXc6Vix9E2EXruHegyccRNKyizCkb3fuZL2IicXBTcvh5epQVxQXuZQOOqGP2N8MHN5asgqJmYVCiExC2euIs3WSNRIJm8XSeKqIzI+yruWL52HyiJ780rfuP4VVm/fDQG7NIYWySxa6o0miqmGwrYGR0IPizZBUIKegaW1igK2rP0KHVk2wbsdhrNl+Aqakcc6H+CDXd2qVDLollLiohWi4HsOAzXrGBZvH2luYYt/Pn7Ecy9FTV7DsR6LQEClZ6kxBF6hmYdqo/vxbPl6xEYfP3oKc6yACwFt/6KNarWIKjQ6ZvuNoGJb/tA+GptIWQ3fFBGmoJSYDbSFFEOXgYkCAUCNpi0SZAm311ZAb6mPb6k/QpokPZn6wCncj42BoIugq9Jwoc9DSU+XtYq2kgEmI80p0buuPbas+hpU5ZQ96+H7LUfy06zhMLSVAL2P9xFPU1Kj591FJgnbRrOsFQ8YB1qhVsDUxxL6N36CprzuWrdmO/SevcsBjXYQGIoB0DqKH8fOhYEDcV8KoSQuLToqHANxeTlbY88MyeHs4/2GgElkma3hAzYBPietXN3J1Y0APX63djZ0hFxhcqsfjgEoMokZJc5BqyoYsnEfPTmwPdcsS1bKaeDkwT9PNmeYFbyvrt357T1zET1uPYsak8dh/NARl1TVciFNVq9GqmS/8A/xw8cpNBI8fh+Mnw9CmhT/mTx0LN2cbJCSnsxdeswAvlBeVoUKlZdH4n3YehKpWFCh9XGwxbkhfBAU2g72tJWJeJvKF2NhY43lcCr8QStPVGi2Sk7Ohp6HSrBpmZobwdXeGSivDwq834P7TaNZeX/ePD9A3qC1u3XmIxNRcFBYUol+PQC6gU0r99rJ1uHbnMfwbueGDeZNgTgA0tUCaU22hsFyBkDMX8eR5LJRSzYHBHFyvppqAFtbmZrC3d0JWbh4UKpXIDjQavD97Itq3aMReg/o0GKgOQVxEIwPsPHwaVVVVCGjaHFduhOONCaNwJuwCPDy80LFTW+w7EsoWX726dcLug8fww1cfYHifjnXobBGo1JxxCGV74Ma9SCxZvgHZxZUwkeuQ6kJvS5QqBWKbsioqoktCK7xCU7a1/KPZmDJSYF5y8goxd/FKPInPhBnLd4jamEgrxKooNL10vVDBFqwqLcKscYPwzeK53HR557MfcP52JMzlptBqdEqeBKBUonenFhhGCp7cLtdDQVEZdhwMQ155NXcwZVzLZZFmEtvGhm/ex8Ae7TlQfbZ2BwgqTlxO4VRDW8RKfLt4NqaNJqVN4Oy1u1j4DwKumgi9fB3FiIKkPpk7VMPV1pIztcbervjo2804GnYDpqYkz0uSuCKgUhBv19wLwcP7CN0jPS3KlDX4ZX8oMgvLmcpDDQnmSmq0UFUruL1OHcLPVv+C/aeuwcicFDFoMlGUoXdG74KyUOGeTYtAeXkZ3pkyDMsWTK8j/yam5eLNJasQn54r0YvqFSb4+oSAg5QCCWkfrYakvssxf9IgLH3vDc74Zy5ZjXuRcVwPpvfNaCRtLZdTBnQLxNBe7blpRJ6YZGzxy+EwlClo4ZDqVeRVoNHCxECNTd98gJ6d29QFqk+/34H9Jy9DLnEf6f44UCnLsfyT+Zg6vI8IrBykJTFKMqVIzsKcj1YhObeQ3c3r7oOHFF2jaKgIEQSp9kYNFgJK1lRh+QdzMWl0P2kb+rtAteib9XgZn8HuMNv27sfo4YNYO0pRXoH41HRsO3gKrZo0Ro+u3bH74FF8smA6RgzsjpTkDOTlF8HOzhruzg7MATQyMcPaDbvxKDYZhsSop4dRWYrRA/tg7NBe8PV0QmpGPqPSm/p7oaRUiYzMPBgb6cPPzw3qGg2SkrNYSpXkJ0xpufptW/Pl+j1ISMmCRq3GyH5BWPflAl75o+KTQa1zYlpT65Myqrkf0wuMh5+3M1Z8PBemhkYoI7cayjL0jbDn8AncvP8Ueiam/GIN9UmA3xROjg7w8XCDt5crfDy9oFCqsX7bNpQqRUeLis1L5k2Gp6MNb5OJ1MMtVchgbqKP8MiXOHL6ImZMHIvtew/Ay9MDvp4ezMzPzM1HZk4+DPRqMSN4HPYdOYHJo/thyVuT62slUmYiRku9MiiBCFf8vA+PnsVw4dWAsFDMhxOjmmEWkmop/bCGNMZVaqgrS/DD529j8qgBdZw3yjSXfEu673kwMjZnxxJW1KxDawkpXjof6Y/XqqrRt1tbrPzkbbjYUw2wAG8s+hYpufkwMRJ4I+6YkcSKohJfL3qD6xC6g/A1FBzvPEviYraMC/3i9gjHREqT788ciyOnruDzH3cAjJzXAXn1oKiqwIqPZmHaaHHOzLxCTHvva6RkF4msowEnkJ4FBSqqUe398XPY21lh+qJv8DRadOKEVhaVXAjmUYUP5o5jMTfdQTSuBct+wOV7UTCUVAg4a9XqsWjfxGE98d2y+dh/6iq+WLMDMho/kvge3T+3D6TAqaa6XlUFfJyt8MuaT9GskRdPWqESoI/wh1FYunwjkrILYCKXs9UW3bcOmMGfpXxUQ5CLGmhqFBjZPwgrFs9j/bG45DQupOeVKHnxrQt1pP+uUuD7L95jLXzdkV9YihmLvkFMch5DfXSbZgo0NTVV+GDORCyYXg/8XPb9Thw4dZnfmfAlEIGKalQUqKYM711nDSeyNvqXqBNevv0Yy1ZuZCcjQxMzbsoIBItucWV4J3+fuLuqaiUr186ePApL3pokMSLE4qmn0Wi0NMApA5n67ldwdnLmdP3B4yd4c8oIVgkktj6MrLFxbwiCOrTmVSghMRG7f/qaUc8p6TmMdCW/toLCSuQWFcPe0Q6ff7cBz+MyYUiZDL04tRrvzZnEovTO9pYwlBkhPiUDlhYm8PP0RFJyBsoVSgZ3NvJx5zBNBXZq/ZvK9JFXXIVV2w9yQZpqInbmcnz2/gykZmbh9oNHMJAZoUvbVqxxRAVxknBNyyuFl6M1Vi59m4Xr1CoVI2SPXQzHpu37eSvl6OgIL083NPb2hKeLMxxtbWBhasBLBJ3zRkQkdhw+Bj0DU7Zh8na1x4dvToe5iQw1ah2IVDx80oUqqqrFdxt2YnDPTngcFY384hL06hmE6JhYZKZn8vavpKIcwSOHI/LJMzjYmGHTqiWQ19UGdNBOseJwdsPeCnrIL63Amct3cP5SOOKSM1FWqWQZHJEhSDUrWs31tZAbG8PdwRI9gtpj5vhh8HSxZZI2balotY5JycDuw2dx484TvkbyPaSwy+FKq+ZtjLGhDF6uTqwFP2lUf9hL/L5L4U8wb/EqbjpQg0EXW9VaNUxkMu7W9OrSSmQ6pCGl0WDpym3YefQ8TMxNIWMALtUIiRBdhkE9O2L7mmU4FnaNpZL1ZUZcJxJjnwJEJb7/7C3MHC9kcuh8n67aAqIZGcktpEAlsmW6ftKvd3WwQcjWFRzkxr/1OUqqtFIHk3MOaGqr+Vw/L/+QnZMadrtIrPCnHSEwIlwSb4+FOodSUYWOrRrj4KZvEJ+UijcWEtiVPCZ16pmSrhnjojQ8f1o08sDi+VPQtWMrSfWEoB6SAiqAqNgkbD8UhjsPn6GotBzVUveRi/3cVQbMjAzh62qPkUN6IXhkP8706SBT3/e+XMda50yVk54XAYCtTWU48POXCGwZIGXrWtagenPpapy5eJchJYKaJQj69IxHDeqCLd8ursOZLflmM2O0hB4VjTEZU4+IlLzq8/cwkzJcTqek7JuzI6neBAM8iUnC3iNhuH0/EgVlSqhp+8kmGkSmJ0kmmt0apl819fPGhGH9MXxAF8hZwliyiRM0JhGoYhLTMHPRcpYWfvQsGiqlglUOyMyyoqyCI/CWXUcQPGYIrt+6g6BObTF38jAkxaeBCmR2tpZwd7RjyyBDIwN4eLrg/c9W41lcOtNoCFhJROIvF82Bh7MDF84ae7ohOjGV+lJyfgAAIABJREFUjRw83Z35YuMS0th/jdJwPx8SPKtFfHI2jGUGKCiuwKqt+5BXRvwzSoNr2TCirLwSippq5hV2bR2ARfOn4tnLRKzddhgaA2NYG8vw3uwp8PNxgtzICE72NtxxeJmQzDbv5nJzlu8w4vavkH6hmhoFCEIDU8v83M27PGirqxRMDSE1BL0aBbd+ub7D6Ta9IC0X3jfuOcnyqja2toh4+Bijhw6ErSn9bmvoGRvjo+Xr0bVdayY7xybE49DGr+HWgJkvlYUkZxEpUDEtRmwHaWGJS8zAy6Q01p4mMijV1ijTsjQzgb2NFUM0mvt5wNHBvi5bqvMAkPYWBLFITM3C4+h4ZGTnoaxUwa18uZkRbKzN2Dm6bdPGbBelmwb0++9FRuNY2FUYGIgCLhfuSQeqthZWZqaYN3UkHO3IbEFnWquHq3ef4uylcBgZE3KarLoEPIAWDyJvvzl1JKLjUhFy9jpvU1jgjYOmDMoaFcYN6Ymu7ZrVrcePnsbiaNgVpgNx34yoF5KSKFGWrMxN2daMsH17TlzisWDIQEjRWdLUqmBkbIBZk0bAx81BBAVuk8kQ8TgGx8/dFEGYswDRLKD6HbEg6P4os7546yFDOUrKylmJoKZazcGd9JtsbS3h7+WKjm2awsFWmBSISrZ4VoQr466gBKeIT8vG0+g4ZOXko7RUybrvcnNDWFtbwt/XC+2b+sCezA6kWiR970r4I5y/dp/HnI78y4RtjQaOVuaYP2UEYxHFMkoLmgFCL9/BtbuRLMnDCwFHIIIPqODr6YA5wcPr5GxOnr2J8MfRMGD9dwk+QwUGVTXGDOuNoLZNJUhBvR57Q2ceOj9BM+KT0vHkZQrSsgtQUVrKCyaxJixMjeDiYMNO6c2beMPaQqdnJnXkJWyhnlbo+OLCzYf4dNUmjBk5GKfDLqG4XAFDvVrYmJugQ9tW0Dcxx/VbdzF2xFAcO3UG8+dMR8tGzlBUKngVI10mkhQm1157e3u4ujnhsxXrcCXiBYzkZkwgtbcyw09fLuS9e1mVAs38vFiJMo8dNvTgTxlZQSly84tFIRsa+Pl6cTEwK7sAL5Iy8POOw0xSZlQ1NFBWKuBoZ4M2LXzRNygQndq2xM37T7B2RwgqFSro6RvDQFuNt6eP5w4bOSPTeyEJWycHW1hZmTF/kJyGC4uFRjsV+4Sgnj5qavWwcdcRPEtM4QIz+Q6OH9ILI/r3RI2iUsjsMlOdxMiolgFO4c9ev4+b9x6gT++e2H/0GLsQL5kbzJiqDfuO4cKtx2gT4I9WLZsj7NcL2Pbdp+jcxr8uRX89/yMck0Ww05lH6CbPv/uNUv2KPyb4WA0k1//gyzoMkmS88++/0EBi6F9dS4PJLhkX/Ks70OWmOrWvPz2zFESEfpeo+v3Lq9Bp7f/uIbAz1R8oFesCtsj4xLMhaIiwkarvxP27tyAKqKRGIgwYxK8S1/qHp2kQP8Q759T839yb7l1LAox//tDE5Uj1NF3Uk9SX/80T/Pd32vATdRnV5n2nsO/ERQwZ0Bd7Dx+Hi7MjZk8aBhtLc+w/dh7hD6PRprkf2rZqhjPnr+Kjd+bA29mKC7V29tZwdLADgUW1ajW8Pd3YXvvm/Shs3H0UxRVKXom83V2xe/ViFBUWILe4kjMIK0szxBMkgazCzeXw8fZEXHwKk5Pp5VKu0tjXHXpyOVZu2I9zF2/AwMhUtDHV1egXFIj5M8aheWNPFBcW49t1uxCbmo2cknKGPujDEDWqKg5iM8eNRHU1OSrzcsbbUcrczOUmsLa1goWFOWrVapSUlKO4tIILxDklVYxlySst4+CpVWvwzvQx6NAqAGqlkocHBSphGiQ05slWPSo+Fb8cOIbgMcNx6MgJTJ0yFo09nPDD5n0gcwHiUdtYmGJw3744fOwUvloyB+MH/bP+9L97nX9Fi0o3mMWmQ4eJkYCYOlheg+KtqHZKGYhu3kqdaMHOl6ZG3ZyW8sC6c0h4KUkWWhS8RXOg3jesPgDqlFQlkdK6iSfqNdLSz1sq0W4XeY5UcSZb+AaABl3znZOXOp2fVwUKdbNMTDSpPidNZNGH0onD6Lpm9UYUdQKT9YUZqeEvBSKdPE3Da6qj/Ehvte6ZSpBIKehxnbFOSJFL1dIXaIEQnWd+ahLbow5voLP7YtNXEZSE87P0NHhLKRmf8O+mTiL9TKpzNgh6rMtfpxRbb7Wle+5M6JeaPWycJRXx6RR13gt/Nnj/g0Xr91+t6/p98cMOPHgWj8B2bXHk2Cm890YwqtQq5gr5eHvh+0170SLAl9vx959EYdl7c2FlasT7/MaNfRhXklNQyujZpo08kJNbxJ2/Y2evIuxqOKfyJNK+47uPYainQXpuMSsAkrYRkUXJ/oeClYeHC8MGklLSWbWTlDVJmC6vshIr1u1AUUklZDLyc1PBy9kKO1Z/gkZegnRaUlqBjKw8hjN8/t02XL0fxdmNWlMDc0M9zJs0Dm2a+bEuFnu58XKgZXoE/T9tSchIwsbaCnJOdWtx+e4zrPh5jxDw06phYSLHR29Ng6eTLdTqmgbyMPUzmVqutE39bsMODB/SDzdv30VFVTUKi0pRWFqBEYN6w0JujMvhEZg+eRyOHD6CmVPG4N3po/9kWfzX4eqfJGoaDHgxAcXBA0giq4plvAGoRvchUb2tMw4Vw7jhWi2VQiV3IoYf/FNCUL8ii9NK2526BjNNFglsWDdoJTCThJYW70eX10gTVTK2EOeTzsk3Rv37hmFY9/eSwGx9XJNCnthusZieLht5JTCIoMW1F9310J9fSZV0NZk6tWERS6UrEzSWhti4+ileF9skGktdasqPXjIYkbqwFGRFmBZ0l1cPEUpFZ0B6ntInxdsW3xSofcbkCGE6hjDorlYAWcS40L3IhguD7p6kn9Whr3R/lmBUHAAbdi3r30H90JLu5F+n4n842DlQUav53S/Woai0Eg5OjrgZfg/zZ0zC/uOhyMrMxuwpY3Ar4gka+/myAUNhUQmWvD0DGrUK9rYWcLS3R1x8MjXUWZ7Fx90JiUlZ7NSbmp2LNVv3MgWANJq+WjQTXdo1R3JqDq90pFmkVKmRlZ3H3Q7KWpr4+yInpwD5v2VIVN9SqNT4efteRCdnwoS4g6yrrkK3wADsWE1FaCq8UVSv9/1bt52cME6w9g5x1Khl7m5rgXdmT2UCLBGExaOsB/TRgiRZLUJubAAXZyecvnQXP+8KYQt6wq/4ODlg0bypsJBTgVga0LoBIY0jQ30DKKprsXLTLnRq14q5etm5eRg5oCtM5YbwdXNCfHIO45lmTBqFXy9cRP+e3fHlImpd/z3HH2VaPIkYMEprIJfU+ZdVKGtQTbUVYwOYESaIu5jkyScyDVWthgMtbYUpwBJCmjs1Er+Rba2oPqSp5S4k1Wh0wE4igKvJiUYynpQbiIlBmCx9QsYTgJblWvRhJNNnbE0VZdPkdq2vx/VLmlUEQqSuEf2cfo+yphb6ejKm8dDPSShPzfFMCyNDIRkipq4+Kun+atS84Ml19lz83glCQM9AuBuR2B972BHWTqNhqAnVLUWbjupvGn4W9BzIxIC1nPQJ6qLPgEyCrQhVYaERpiKGgExQraimynI5kh6X2IML+y9VjaZOE1+X/dUFl/r4wO+qWq3h8gRdA9XISCmWro1+ziULidrFmv/kT0kQBGhRRaR+PfD90HXQ8yfqDb0Xeu6kA0cu1mycwtUBquGJ7JXKMvR+aB5STVXXpSPUOTuSS/QoHRL+z/TV/mhk/6c7Ag5UNOlnfbSSSYSE1D537RZmBA9F8OAeIMnYyJdp+HHrfoweNhjPIp/A0pqKdGO5QB7Q2AN5ecXILyxj2RQHO2tYWpgzhIAoH5TRrNm6D09i0qDRqNGrY0ssWTATeTk5nJGQTRZDGuJTuLhI3SZbK3OuccXFpbLEy73IF9i27yRgKNEIiESrrEWHZj5YtWQefH2coV/HvBYUgpeJqSwJm1FUBRMTwgppoFQo0LFVM8yfPhaGeioeIHVpsy5oSYbdtNbWygyw93Aobj5+znrfZNPUv0tbfDRvMoqLi7gGxkV0nU2XtJrJaBuib4Cf9x6FraU1FGo9ZGVm4O3Z45GZkcWZmszQFBt2HsaoIf3x5MlTNG3shXX/eP/viVJ/chZhfyZtf/SAUoUKNx69ZIUHIo+T1b23ux2GdG7C6GG6txephbj5KI7fFRW0nWxt0b9TE7jYmnPh/Mytp4jNKIaJiSFMDfRRrqiBu6sdBrRrDFtzOZ7GpuLigzgOavbmhhjfrz3jlE5euY8qjSFn5cZ6tcgpqkDfzi3QqYkHHsZl4sqDWMlJlxRNa2BiaoIBHQPQ1N0eRPw9cT0S2UVVCPC0w5ierRGbnIXQ2zGwtTTB+D5tYWspZ4HDKw/jkZqRB30DKsjXoHsLX3Rs7i3MRKWkgoJLXkkFTl95iGKlhlU9COemUCu5Q925mQ9MDWRIysxFWHgUqrRGsDIxYPxWUXEJBnQKQGBTH94R8CTVk+Flai7O3I4GIaksjfQwplcbuNhb1am06sZdfmkljl+8g95d2iLA3V4qekvZWINiD+Gc7sek4vHzRNbkp7ErlxtiUFBz+DhYIzIuDRfvx0BfZgxrU2MoKZhXVWF8/w7wdLDB6ZtPEJVeAAdLOSb264CK8gocv/aMdZ/G9W4Laysz7L8YwQuskb4Byy2ZmhigoLwSPVv7oJ2/Fw5fjEBhmQJmchPuqucXFbNc0ZDOAZLrtsh8xRb87z04UFVUKTDt/a/h4e6JovIqXL/zgFeAzi2bMLDy1pNYVNZoMWfyOFy5fBlNm/lj3KCeTHMh3ezYhBRGzRLCt5GvKyqqapCVm8+X6+nhil0hZ3DozHUYGBmyNtSXH74JD0dbVFZWMvivqZ8XMjJzUVKuEAqftdVcqyLoVFpeIbYfPoubEVFM+WC0tT552qnhbGeOicMHwMnKDAP6dmFn5YbHvhMXsHz9XuYrUieSMjzqTo0d0AWDegWxHhPVznTYRoGQFR0sWu1p67pu614eoLSdo5b3lGF9sWDGWCbZkmoDkbMryit5BWVCKxF9aeUykmP7oWN8fgdnV5w5dxGQGaG4sAh+Hi7o3KUDzl+9i2GDeyM5KQlWJjJs+34pi8C9roM7mqSkSHQQdS12nX+Ax1EvMWlwENo09sKlh9GIiIzDJzOHwcHKDC8zC7D+yDU0drbDxEEd2Pl235m7cHO2xtvjenIgeplegHWHrsLCQo45I7vi1PVIPI5Jw/wxQejV1h8lldXYeOI2iPUQPLAThgc1ZUDvgYsPce5ONEZ1b4E+7f2xJ/Q2Ahq5Y1S3liiuUGDjiXC8TMrBtBFdWfVi56lwNPF2xPsT+nDWd+d5Kn4JvcuZ9IxhndCpuTe2nrgJNwdrTOgTyNnF/l8f4mZkHGYO6wI/d0ccvvIIz+PSMHUIXVsjybFGdMOItnEq/AVCLt1H70B/DOvWCqE3HyIiOh3De3bAmO7NGE2979ITXLifgNFd/dGjbQD2nL2H1r6OGN69tdSNo8zegOVOdp6NwPVnaRjfqwXG92wl0YxE51a3rb0WmYidJ66jb5eWeGNwR6kjKVWoeQEUx42nSdhz5g46t/LByB6tkVFQhu3HL2Pq0G7o2sKXFW7Xn7qDF4kFmDM0EO4udjgUFo5RfdsjsLE7U8PWnwhHZr4Cw4ICML5PG4TeeMwOzG+O7c1S1puPXmKe59P4DEQl5mPm8C54FBUDF1sLTBrUBeciYrH314do7eeBaYPb4mz4c+jV1mD2yG6iuUXNJIm83jAB+DvGMwcqushJC75AYOu2SEjLQExsHJo3CYCivJKF5+49jcGdh1GYPW0CQs+eR9fOHTGyT0f4ebkhOzsX+aXl0NMz5NqTv58H0jPzuatHHWt/X3ecvxmB1ZsOwkAuZx2l3p3bYnbwMNRWq5jE7OHqyB5+KalZvHUg7hphrAJb+uHGoxf4x9pdKC4tF951VERnq3ANNNVKTBw7FDKNAs+jXqBDxw5s4+Vsb888KRsLOW7cf4IrdyORlJyKpLQ8FJYrYQg1ggJbYuKoobC3NOb6GNcsJDwJjRaCQyRkFWDtb7bsJIFCgYm2+HPHD0OX1gHMsKeam62NJae/5eWVKCouY6Q6ofDlJmbYf/I8rzqNmzXH3oNH4OnqjLGDenG96/jZS8jOL8W44YNQkJsLZWUZdv/8RZ3f2d/xcv/5HMJkk8Z/TGoOvj9wA35ezlg4vitMjQxQrqhGanY+mnq5MJZu+9kIhEclYVFwL7Rr5MLN7R2hEbj6+CVmj+qG/m0aoaiqBt/v/ZXNBOaN74PTN54gPjUb80cHoamnE2+Ptoc9wL3n8ZgzqieCmrrzZV18nIh95yMwoV9bNHKy5QZGk0auLBVEJh7bQyNw70U63p/QE3Y25li+6wIcrEywZEpf1jxLzinDptB7KCyrgoUh8N6EHkjKyoOJkTG6t/RBbEYRfjxwCZ5uTvgguDtMDGWIyyrEd4euwdXGEh9N7AkrUxLxowyIJIIMERGXi43HrqF/B39M698OGb91o7/ddwXWpnJ8MrUvLM2McPpeHI5efoKJ/VrB28EKlUo1Z3XUGGHYgMAy8Bbw+M0o/mf2sM7o28ZXQmcLxyChKVWDnWfu4nlqMUwMavF+cE+W5mZYkugCcFZbrlBh7eEbyCwoxeKpfdDYxZazwZikdLg62sP6Nzwh4aa2n3uA21EpmD26K0xltTDUahHg5crb5jKFEltC7yE+UwGtsgSzRnVl6aakjAKM69cZVQoVcgqK4e5sh+1hd/E4IQeLJ/WGnbkxl1k8ne3wJD4D60NuonVzPwzv4MtqHeTCTdm1ULAgFN7v9qp/00DmQJVbUISJ73yBoPaBiI5PBu2IenYOxMVrtzF+aC82/dx24AQmjBmL0HPn0b9nEN4YMwCmchLJS2aTTtrTW5qbsK0zyb1QlYPErwgf8TA6AZ+u3MwDnQqYpgYGeHf2JDRt5M7pqZncGO4+nkhKSGXuF2FsyNKHCujbD5xATHwyjMjElAubokNBqyBtR8hAYNVnb6O8uBB7j19EXEI6M9VtbCxZ5ZNIwwF+3nBzsWcVUcLeHAm7iLTMXLRp5o95E0fBxdaSNb5peyhj3zIZjEwMGD+y43CoKKKSFlNNLfp1bIFpYwajtlYlNIr0ieNnCisrK5ibCwPM0rJSVCqUjOhNSStAQNMmOHnqBJZ++DYTZYmGkZZdgvXbD2JQ3x4oq6pEaX4e9q3/EuZmNOBfzyFoDpT5GeD203hsOh2B9i388c6IDigsKUUWGTkYGcDeUg5LUxOsO3oLKXkl+GRaL/g5C1mO07ef4dCVp7yqT+rVCgUV1Vh76AoDTwkJnpJVyMFvxpCOcLYk/JwW28/cw90XiZgzoge6tvDk81x4kIAjVx/B28Ua+fllGNatOQZ2Il0tAiVqsOP0XUTEZqNjC08O/sSPnNCnLbq39uHvv0zNx42oFFhZynHuxjM0beQKDwcr+DrbIKilN+7EZOGXEzfQppk33h7RidUNcorL8d2hG6zd/9GUPnC3FxNeR869F5uJzcduoG97f0wf2J6D4HeHrrOM9CdT+3GWefp2NI6Hv4S3kxVK8vMxvn97dG/jxwGZwIvE8xMQAD2EXH+KE7eiMXNIBwxo51dXaKfyBmVdD2JSEJtWADNLcxy//BhDuzbHxD4iM+NgJ9p1yC+pwMr9V5ke8/GU3my7FZuaA5mhEcyM9ODr5shzbXvYfTyIy+CgUlKUhzdHdkNTAk4DKCyrwJmbkXBwcUHolUcwt7BAc18HWBjqYUyfdty3poPwTZtPhCMyMRvvB/dCKy/HusH48GUytoVGwMrWFnrKCrTwdcP0IZ14y0tWdnQI67e/O5+SSMmklTT5va/QpkVTxMQlQ6s1wPB+XXHl+lU0+017qFFAc/y4aTcmjB6JE2fOY1j/rlg0azwSktKZFmKgb4harZr1wIlOkZySBT0qmmo0CGjkidTcQnz0jw0oKCmDgSE5bajQvUNLzJ08CnpEz1DXohHBC0rLkZ9bxCaWSZmF2HbgENJyirigzmRPJhTLJOKn4LMpqqrRsrEXtqz6EA62Vrga8QwPo14g/O5jxCRkcCHVzMiIwYfNm3iiR1AnGJKscEgYXsQkoHXzALw5fQJPTMJ6Ca1xciWRIyTsMs5cvQ1DI7lgz9eo0dzTGYvmToYREZxZP0dcF63MZDlvaWEBW2sLmFuaYsPuE7h1LwZNmvrh0YMIBI8eio07DqBWU41506fhzMWbaNUqAFXKCpTnF2PfT1/BjAmrr+cQQEfSUTLAo9g0rA+5gwBfNywcH4TU7ELsCLuHknIl5ozqgkA/N2w8dotX1gXjuqJjgBjwx25E4tS1x5gypCsGdwxAYaUKq/df5ixt1rDOuBuVissRMeja0htzRnbmZ/nLmQjce56M2aN6oHszIWJ3+WEi9l56hJ4dGsNQq4aPoxU6t2gEqnUTrm176G1ExOejmZ8rElOy4GRthUXBPWBtJpj9san5uPU0ARP7BWL3rw9w92Um6z1NH9gRnZq543FSDjYfuQwvD2csDO4Fc0MDZBZVYOXB67A00GDxlL6wsTCTAKliZj2IzcDmkGvo1akZpvdvh/ySSnx78AqMDfQ5UFmbmuDU7RgcvxGFnh2awKBWieZeDmjj7yXMbht02mhBPXrjBY7fisHswYEY0M6Xsx4yp5UbADVaA/xy5g5nILSoXrgbC2tzIyya3BfuNoJyJqKVPsN7Vh+6iuLSSnwypQ9n8rvD7uFRfCb6BfrxosAZVehdRLzMwICuLVFdXoKglj7wc3diU97CsnKEXX/Ion9XHyXg9O1Y3gkMat8IwX1bS5I81BjUYsuJW4hMyMe7E3ujlZddHbvg4ctUbD5xm8UD/JwtIDfQQ7+OzXgRELtUQZ3RgTr+znDFGVVOQREmv/Ml2rVvx+TiyGcxmDdtHIb2bsf8opWbDuFFdDymTxiDkNCzmDl5GCYP7Y1n0fEc5WUa2pKp4efnieKiMuQXFEOPdJs0GsZAlZRV4LM1O/AsPpWJk4RkN9LXYO7UcejY3I+h+4SAt7SxQFpqDgrLa7Bp9xHEp6bBmBnhhjDQkl6SAUqUSimFFlgROlRVRGvwx+rP30F1eSlepuTB18cd+YUluBL+EFfvPGLpCepuyo1laO7vB18vbzx8Fo2M3Dz069YBM8YMYjkTtj8kA8taQ2zecwSRLymbI1NNPaiU1Wx6uWjeNFCtWXT9uJXG/2FuHHdeAAtLMxw7dx0v4jLg37wxTp0Kw6K3ZsDbxZbR0Dn5Ffj2p93o16cLazyV5hRi7/qvYP4aA5XuGgnzUlihxLrD15BTVIb3J/RCC28nbDlzB1Exqfh8znA425rj6pN47Ai9i6DWfnhzRBAqa9T4+fBVFBUW44NpA+HhYI3cUiW+2/srS/ksmzkEUfHpWB9yF4F+zlg0qQd3wzafvof7z5Mxd1R39GghAt6Ze7E4cOEhxvdqibE9W+FmZDxik7IxdUQQDPX0senUHTx4mYH5wX1YCiT0KmVxzTChd2vuDj9LzMKVxwl4Z2x35BVXYMOJm8jKL8H8MT3RpYk7Sqqqub6WmFOC94N7o62vE25HpWLr6dsYQplLb8pcJKE2CVtE9aQdp26gW7sAvDm0I8KjUrDj1E0M6tIcE/oFcoZz7NYLHLsaiYl922JUt2a4+jQRScnpHLjlLBIpyMN0HLjyDKdvx2DW4PYY3KERfr33AoWFZZg8tAsSsopw4NITtA9wh4mhPh7HZ+FxfCbG9myN8T2ai+xLMpalxs7hy48QejMKwX0DMbpnKzxIyMZPB69gxuDO6N/Bj7t4W0/fxb0XqXh7XA90aeqBU7ciOeqP6d2O3/PhX29j8rCenJFtOX0bd16kY3j3Vpjat1WdWgfRWX8+eh0vkvPxXnBvtGvkWMcPpYxzw7FwvuZ3x3RBbHoeLt2NxPj+neFKiHkJJ1e3+fsvYAh/tkRzoMqnGtU7n6N9u3asa/3w0VOYGBrCxs6GuW2FJZXsBjP1NxzSqbDz3BHs2bYZcvKLubBNSpLGRjL4NvJEUmI6WyrpVAhI0K2ivAo/7T2FC7ce8nkJqEZw/Wa+nnhv9kQYy4TDXpPGXkhIy8WP20PYWZcCBIUCtZ4halVV6BPUHslpmUhKzxLuNjrjTZKqVSrRIsATXyyYgVplNcIjHsLe0R6dAlsyKTri0XOcuxiOxy/iUF6tgbWVKeSmJigjNr+mGu/NGI92zRujQqlkc9G84kqs3bYPeUVlkl459aeVmDR6GPoGtYdapWiAQ2oAyuO9uoxb24eO/4qcoiI0adkUuw8ch4+rC0b278YdqLAL4ewYMmZEbxQV5qGypBx7f/6KtY1e2yFpK0mbCjxPzcOxSw+4JtjIx425g5bGRpgzohvsrM1YUeLUzad4EJUMbw9HlmcuLC3HyF5t0cHfnWtxZ8Kf4ty9eCYGN/V2QmFBAXcDR/Vsh/YBbohOzsaucw9QVKlEOx87zBzeFaUqLbaduIHUnFK4OVihmacDnkSnwNHZnus0sUmZ2E3fKVOgb3tflunZFHIN1Wotpg8IRGt/D66jxKXmYvqQLujU1AOP4jOwO+wOJg4MQtdmIhjGZRbh8K/3eYHydrdHelomlybGD+gAKzllZjoMkh4X8HefvoWo9FK+96bejsjPyYWXmxOGdm8NMg/NyC/BzjN3kJqvgKe9GRp52iIyNgcejlZ4e1x3GOqwaXp6SMrMw+4z4cgs08DbyRqeTtZ4FJ3I1zq+fxdsD72O5PRcfDB5IOxtrbD19C08isuBg6kB5o3pAT93Un2l9oz4d365AkcuP2SjDMIplpcrkJlXjOD+HdChiTuiUnKx62wEyiur4eduA2dbCzyITkW3tk0wsXcrnLjxBJfuPUf/Ts1Rwm56AAAgAElEQVQxplcg17t+OnIZLfw9MbV/B55/BHH49e4LXHmciIqaWjRztcLkgR3hameJqmoVdp+7j0fxObAxl6NVIycWIVQpqrBwUn+Qfr7oBAgvxD9Cff3fjGsOVNSWnvr+12jk7Y2conImEJLnHNkbUWpKnTjSlJk+dSIuXLiILu3aYESfrlBWE6mT8BY1XFR2cLRGfHyGsPOmzpkeKSF4sPbUicsR2H/srKRJJLIPqFWYOWk0enZoAeVvA8XbxwOHwy5h28FQxi0xe14yH1AqKtG3RyeuK23YugcaI1OGPzCSiTMa6sJVs072B7PHoWv7Vgi/d58Jt86OzhjQuxP8fDxx50k0Nu8PxYv4ZG6xUtFeUVWObu2a4qvFb6MkJx9KtQZRSRnYsDtEPAN9IrlWoX2LAMydOgGGhH8hwKNIp6T/NgDE6enz9e8iuRdlFdw9vHE09ByrGNaolIyMJ6F+svkaN6I/UhPjmCm+44dP6+yv/m9e6p9/V4D9BKJbqEWWVql4a04dTBKuc3GwhSXZXknue6TKmJ5firxCAvMawMPFllvcdFD3LpWel0rw40hVkzBUrvaWvE2io6C4HDkllaA9naGmFt4udjwh0vOIJiVjjBF1cAm3Q4RnV1sLJp3nlZRDX9+QtxduDjZIyS9BpUoNF0tTLh4n5RTzd+2s5DyRqElAnS0yOrBl2RWxbaJCNCksVCqq+bNeVKukznIdMJPzTDb+oDKDWt+Qtz+0lXK0NoOzjbnUrdOitFKBjPxSlp+hgj/rdunrw87KnDNQVgSVCuBFZZXIKSxl7SfSS6caEokjOtuasa4/qSVQEkAKHCQfnJxVyM+TZDBJQpkaQUJcRid/J+NObVp+CYpKKlid1cXJFg4Wct4BUGabW1wBI30Zash8V00yRTJeCKyp+ZBdgMpqNZureDnbMcaKAi8dbsQ/ZZ6mRijjkny0TJ9LIZQ121iYME4tJauIdxZ0mdW1asi0+rAxM4KbI8GaBDtD4G7//iIVBypqpc788FvYWVpBqZHh8t0HMCUJCAnwR8RgAndOHDMSERH34GxjhzlTxrCxJfuuaTTwcndiAnF6RgF37igFJhxY48be3E24/SgWW3cfhpIdQKhrp2LN7wBfb3w4ZxKs5HLcf/ESW/cfRZVaj7MOPY3oIchAYm4amJsYYf3yhbj/JJplcmXGcpbAFWhbIb9LEAKNtgZ9unTGO9NHwtvdCdduReBI6EX2aVswazJTfNZs2Y+TF+/CgCx96FpRgy8+nI9hPdsjP78QO46ex+GzRNcxZk85I5kW786dita+7ozHEozz3yGwiWTKSEU9Fn7bvCcEZiaEOTHH+es32bBCFEkF2I9Weur6RT2NRCNvV6z/etHriU91Z/0dwpyAmH/ES2NhPlEYFfOuISJaMmtlILJEx3jlqkV2yY0PWuTqvAPFh3Sh8o/rF4II/vsdwz+BAhveBkF0OVMkMIwEwNWZZUgicg0vT7ARJJqLRGmpK17/0VaF5WtEaK+TAv6Dt8TrFsvPS+jsf7ntEVkSHXWo8AaPWAD4Rb1HLIVEVxEqFLrv6S6B753VU/+AZVD3ofpz8Zk5oNJyKZVPdNQbJki/apcl6vqCWyie7z8ftZJOPlfpJLuyOqrO3zSiOVBRkfidz9ahqqIatg6O7GJMAEcmGDDMn7RwVBg7sA9S09M5k/pg7jToaVSMV9GTablonpNTyPbsBtQF1GpgYKBF40Y+yMws4Jb1D7/sRYmCVhZp0GqoR6LFu7OmwM3ZDj9s2Y60vDLeejHORKPlmg0ZRFInkqANZPtDki2HT13Epr0nUKWqhbEJcf8kfWgKl6TFrayGvZUpxg7uhpnBIzhD3H7wJE6eD8f4ob0xZ/JwfLf1MA6cvgK5iSkrjLZv3RwfvxkMdyc7LN+wB2FX78FEbg41mSg4WuGD+bO4TkZaWH92MM5ZJkOVGvhhyx60aBKA3PwC3HkSxc9UCO/r6Bs1CB49CtevXkPPrm3x9Ydz/qbX+ien0SnGSqu0wL1Iet084CUZW+ap0XpOmZVA7osgI3hmtKrqHF9IsVPw4iTSSN390TwTsrmChCOZtvMEoeAiVmAx9sUsF2RdSUhNklsWwGtdYCEBNWEey248Es+PxqhghQp+G289dKQB6VHo5Kd1BgR1LTid/pZ0Ol0HkBHwenosRazLQXXa4yIb05lDSP+VKCQ6ooywrhf4/AYMHr49AT0QHFFqbgiTCd2KIdFMXiFc19NVxOPRqdKL505/ywqgumBVp5MukPy650IlF8H/E++ZFgX+a1bu1L1hnaidQKCLT4gmFt+HVOQXHELdvYvP1f3slbv+e4Y0Byq6lE9Xb0dUTBJat2qNg8dPsqSJgPGLLY5KqcLAHh05xYt6EY2l78+FhRGlo2qG8vt6uSI2LpXTR8GjAoyM9eDr7YXUtGwUlVZhzS97kZZTAkMyPxRPiMW9egR15PQ4/N4DGLKInUbIdWi08PfyRHpOLiqqq5kuQHZNw/sG4dP3pyMqJg7rdoYgOi4d0Dfi1joNJp0cBdMYqivh7+WGd98YixGDeuBGxDN8tvwnjB7WB9MmDMf8JavwJDYVMpkhm00sfms6bK2sOcgkpGdzRqWqrkZgU2+8M32S0NTmFa5+8DR8FcwZ/A1+UVhRjZU//4Ih/fvi/qMniE4muRtyCBFkYJKSMTXWw+TgcQgJOYGp4wZh4axxf89b/bM4Vcf41/HQ/niFfK0X8b8n/x/5BETWK+b0f0qL+SsPQk+jFdLvP+86wV2qvr2748Axwg7RlkqiQbJwvRqtm3ohoLEfzl+4go8XzoOHnRUUNSq4OdrC3EyOxKRMdp3g+KrVwsRExiahJIhXA33sOHwadx5Hw9CYbKwlJxgI5wyVWvi+ifWdOFAGrBndrkUAB6rcwhIY0WKqIYOBKgS28MXit6ejsY87jp25gpCwK0jIyOXrJnwJZTWM6dAniy4Fg9+Ch/fGp+9Ow5PoJCz5cjXWfbMECWk5WLbmFxgam7J64qzgkfDx8sHq9TtQUa1imAVJu4we0BVj+vdiTpwwSvzjQEW3ZWxkhNiUTGzYfRgTxwzFybDLyCupYrcRzlAIq0WIdWs5hg0cgEPHTuGzhW9g4jAhZP9aD2mJJ7HDhLRM3k7UGa3+yS291uv535P///cJsGlHLZr6+8DJgXB2YgF8ZWf+N91dnXoCbXP+8cMvGDViCI6d+RXllSpRa+IoKXzJqGBIpgUhx05g+qSx6NyqCXfbGnu7oKJCgZy8Ei7CcTKv0cDMzAgebi5ITEqDzFCOq3cfYc+xs/z/NNlFykr1DLpFAy6okhQpi5AQHKCyFJ3btERltQrRiSkcgPSFJQiUNUruxEwa2hszggcz+fPXa/dw7tp9vEhIQ2WVEsZGxuxmwql1bS0UVcUYP6QHVnz8Dn7afpjVSYcP6csW1BVKDbTqanTr0AotmjTFL4dOSGx5PdTWqPDl+7MwsHsg4pJI6I+ClcRIlwKWTgaY7olUIa5FROLs5RsYPnggDhw9xe4nOkogKRvSVrqJtzM6BrbFqbCL2LhqCbr/VtB/rQfXOeiF6mPt5v3Ye+g0DEzNoKViIi0Quv7Aa72I/z35/4wnIIrqUFVg6cK5GD+CJKLFSlevevH33ameRqNlx6AXsUmY/dEK9OvdC/ceP0NSeg4MSQtbhBNRzNPUYlrwSFy8eBktmzVD8PB+rNlEUi3JGVkoJ097RqgSnggwtzCCs5MDkpLIr88YKVl5WLN1PypVxFIXnRf+t4ZkacU2U6juyqBSlMPP3QVvTJqIyKhnOHnhEmQmVsJ8k/bZMnKfVaNGUQMvDye8MW4gJgztxcH1yYsEHA+9hIu3H6KcVAF4O0kZWy0bJ65YMg9tm/rhzPnLGD92GGYs/BaZhWV8TU42VnB1dkJkTAyz82tr9VgW9eO3p6JruwB2eM3NK2GNeFFnlnbxUseHAqyxsRw7Dp9EZWUVvH19cSL0VxiYEIhPVDfoO1QT69a+JSzMzPH8+Qsc2PgPeLrWo4D/vlfc8ExCspieLxk8ZGQVMPizXkHi9fzW/z3r/8QnQIGKupK1aOTpBDvreiv415JR1Wq0VGNjobgp734Jn0a+7NZK7i2sF81FQSqeku13FSaMGIDs7Bzk5ubhw7ffYFqBi6M14hJTUcvATyFUplUDVlZy2NvbICk5W8hdaIG1u0LwIi6VvfeorKqzcRaFOLJSV0Ojqsag3p0xbEB/WFubsTbVui27UVqlhsxQOKSIjoWGMVkk/6qpqUXLAG/MmTQEQ/t05ozn2t0n+HnnUURGp7KLBptIKqrRobk3mx3ExcTC1tEJ85auRamSzEVFlZ/UD0h+hAIKYYdcba3x4VtTYWVqyJIy7m5C/yozKwcVFVVct9OtIiQTUlUDfLd+Kzp1aIeMnALcefgYRmxtL4qWFBgIpjB2xEDEJySwrfm21UvrbK5f17CuX+/oN/xvfep1Pef/J88rKaS+rmHFNSrdg6XOX1ZeIVo1b4YDIWcgk1MmohPuEp20Tq0ao3mzZjh5OhQL589C947NoaeuYQdjfX3yQhNyt5Q82Nmaw9rKkt1kiAJD6gfHb97H8dCLbJ+uZYcZ0XWg71CAsjA1Rb8enfDWlOHcDk5OyYCx3Jx5c7/evMceauLQua8IVU3GUSlVMJZpMaRXR3z01mR4uDiwz96Kdbtw/uYDGBA8QF0LKxNg/aqPEdjEB8fO3cRna3fD0MgE+vqklS4p5EsYLbVKiVYBXlgwcxJzELVEs9GvgYOjA+zs7VifKzenkJsBeqTFZGyMp7Ep2HUgBJMnjcex02EsYSII1eLKtbUaGOprMW3yeJw8dQrD+nXD5+/NeO3jW6x0utf9e0G2/5cKVL9rCb72J/8/9RfUo9F0knmie/j3r4Ov+PptO3CGSbjB40Zi78GTqKgRAHNdy1WtUcNGboxpE8di7/5D7Ez8yduTkZGWgYLiSuYU6Q6KHY4OljAzM+VARRkVYZ7SCyvw45YdyKfisrHgWtX+5uRroKlBk0aeGD54AAJ8PGBhrMdSxWS9BQOhmLl22wFkFpfDmPANDRF7OtVKKsNryX6pEu1b+OHHLxawwQGpQyz6agOuP3oJUyMZjPQ02LTqI7Rv2QTzlnyPW49iYCwXEjI0hDVaqpeJTRIV0gf36ISJIwewoL3ozmqYBmRiYgJ3NweYGcmQmZXHJFZjE3McPHUWaWnp6N6jN3bsOwQ9ci9mTXUio+pDpVLDx9UBA/r0xM79B/Ht0vkYO6jHa+mWNJwi9RgmCZTX8C//mnD3qzOvYa7/ZwP135FVf79f+CsD/l/sNeqDs1glqHZKdVU5AYobKnZK7fkGMpf/Jrr8hQ3OKx/9kxv7T0/XYGGXVPpEXPjLCfIfXMc/XWf9Sf/o8upTmN8/qn+nOP/XA/crgeppdALmfLQco4YPwa2ISMQlpcGAOnR1BEk91CiVmDByAFKS01BaVoLN33+K3PQcVCilbpgkpUMlLWcXGxgZGiE1XWz9KCORGZvh+v3HnGmUlVfBQGYIFxcn9OjSAUHtW8NCbgSVSsFKlNRNyM4tYPlekgg+ffEOjoRdktr8ApGoUxXU3ToHGuihsqwU4wd1x3efvQ1jIwPcj0rA/KXfCRVTKyvsWbcMCfHxePQiDbefvBBQBBPhD1e3KhB+RK3G9LFD0adza1Y9EK9XAB2J66cPNRxszOHg7MKW33EJmfjH2m1sK0bUpGsRT2FiTA4hEhiQ6lOEB+veGWamRrgd8QgHN/4Djb1c/wPDhL/+gv85ojR8Uv/9+ag2SdZJjOpteDBBW4JI/d74QDKp/P1vFXidP0Iz/7n6tvhOgxn6iszu72dtvf43Gd3eiHiM2ROGsdMKa1hKwGZhmkAnJWaFuJ4/AmSK65eu7Q9Q2FKCL6l5sk97Q1Vi8fXfxwmeNzpkez36RSiGMpG0wTNiZTG2m2IXa/pQHdatDnUmgYtfzW50ys/C+lXXEJLeCGPkxE9fObjZJUo6Ym40NKdt+Mn/NNr+9XH3SqAqr6rG7A++gbmFNSxtbXD67EUYkmeaxAqnl8cKAn7u6Na5Iw4dPoYli+bB18WBVQyEt5e4EY1aC1d3e76xjMwCRoXLSAFRX8a2RYlp6SgtLeEOmbOjCzsno0bF0i304Kl97+bqCFO5HHFJGSzRUlihwE/b9rPeuqFEAH2l1sIvVYDQSFrWwtiApYrbtfJnYbslKzfiwKnr6N81EF9/OBvxsUmwsXfEvafPse1AKBQafXaPpesU11DLsrYLZ09j0Ta1SgA9GZEuAfq4EK2pZUfdxt5uuHjzMTbuPoI3pozD3sMhKFBoYERAO+6oUTdTA9SqMG3CKNy6dZs14jd/8wFzA+vkw//6e3zt3yCplQvX7iIxIw0d2rRmTTFVjRrHQi8go6AIxjJ92NtbY8KwQWyESd6J566HIycnny3HRg7sDSd7W9x98hxXbt2DhZkc1ubmGD6oD2ytLKCoViHk9AUUlpRxKcDd1RHjhw5gVsOh46GMZ+OmS60ak8YPhaONNWegl6/dYaxeI193ATCnn924jUdRL2BmagF7G1sMH9Ib5nJjlFdUYs3mg1DUqvHpO9NgbUF28EBhcSnCIx6hT/dOsDCTFBWkyUojmrirR85cRFZ+EdNR7GzsMLhfN5ZlrlIosO/4OSiVKmg0NfD39cbQvmTSQZOeDdOhrlHjyJkLyM4r5t2AlaUpJo0eyt/ZdzSUVTgI02dlaYGQ0Aus/T9zymjcvHsf0dFxmBY8hhUT6CAZpuyCQvTt0r7OnjgqOhZnL9/GuJGDYWFmzGWbnl07oV2rJmyccjrsCuwcbJBXWIjxIwbB18NFGr/kPnUP/t5kkOvGngAEAM7PL8b5a7eRX1SEgb26oWUTX5Zy0eljva461L8axK8EKvrgzzuP4+DJS5g4YRS27zsMYlOTaqXIqgSalbYw86ZPwLnzF2BpY40FM6dCT62UYP7UDdCy9rKHhyNqa9TIyhWwBd76MLaJVmIZvDxdIdNqkJyUJgnX0a5KCNhptKR0YAg/Xw/EJ2WxIQO5tR4JvYbQK+Fc6GeSRgPgZX2wJ81ralKq8MNnb2JU/+587XtOXsbH327A6k/mo0tga+aY2dlaIDE9C0fDruP0hXDICM4gI00h0vVWMbnzw7dmscBe7W+a71SQr8/iBBuLFSRAEh76WLdjP9xdXGHn6IADx0NhIieypuTHR67D6lp4OtlgxJD+2LH3IJYtnIPJOrdZqYv42qPOf/ELzly4gR1HzmPU4O78HGZNHMlwkjXbDrG33PwZYxD3MhELZgfDxMQI328+hNTMTMyaOBwHjpzCmOH90bVjICKexeLDZd9j0fxp2HnkDAb17sJgXDq+WrMFSdklGDeoG4+JBXMn4cXLZFy+GY6n8Wkw0jdCgLczRg3tDT9vDw5qwbMWo3v3Lvhy0Rt1tuLnroWzscaS+XOxav1ufPz+GxjWJ4i5gQs+XYXqWj1sWbmY+ZZ0XLr1EIs+X4UN332GXp3a1PkGiscksoSVP+3CnUdR+HThbGzYGQL/Rh74ctFs/p2LPlvLyrhjhvRAblYO5s4YyzuIeuCjPtZsOYjwe5FY+OZkPH78DLOnjmGFjQVLv2P4zc4fPuOO+ZEz17Hos+/wzafvws/DAafOX8PyT99j+V86Pl65CY+evcCJX76HpbnQLsvOK8SEN5fBxsoC679djC07jyB4VH+0adEEN+9F4sHTaOQVluPW7bs4tusHyaNRD9l5RZgwbwkG9e2GZe++Ickky7B++zE8e5mAwNbN4GhnjbFDekjKCAJzJ2hgf38d6j8MVOKFPImKxxuLlmPihDG4/zgSj5/HwUQuUVqkhEmhFCqdvl4eOBByCovemo2W/t6oVgrPPMZy1mrg6enM25y8vHImpVKg4nIutf3VNXCwt2Jb6iQCisqEN57o6NFBEIdadkyurFKxOQIJ7BEjfNO+EKhB4ND60rA4rxDipxRVQ6RMbQ02rlyEPl3a8Rl3hlzEmUs38c3iN1FSUMxcQ28ve5hb2CAmMQOHT1/CjTuPoaFAxW67KrTwc8fC2VOFbTtLeOgCldj2McYMMpiaGLKV+/6jxzFn+iScPHsFqVkF0mSg1VW43tQoqjBioLDBvv8gAgc2fgM/Xs2k3cFfrjX8F1Hnv/hKdHwK3l22mm3UPnxnBtoGCAG7oxfCsWVXCFo29sHUsYPQoU0T5JeUI3jup3hv1jiMGtwTJcVl3OUltYr07CIsXLoG7du3xvPYeMydOgK9OpHkCrDn6BkcuRCB1t4OrFXmK9mf02td+u0OfsaffzC9LvP89eptnLtOJYpkbF75IXwoUwDwOCYBS1duQM+gIDyKjMKXi2aiVYAv/92X329FZa0Waz55i/9MdLC9xy7g2v2XsLcwxE9fL2ygvy9eBv17x5ELCI94jF1rl+LExXDmrR7Ysgr2lub4btNeXLnzBIFNm+CdN0bDg8xMmYJE8GWxnTv16w3sO34WPbq2R1CbZujQpgWf++sNO1FWVY01S+bzn289jkZI6BU8eRqD8cP6w8rCCJPHDmJDhuT0bOw7dR3hd+5j3oxRLAdOQaNSocDa7cdx5XYEugS2QiMPLwzq2Qrubs4cVeIz8jB7wZd4Z9YEBI/oIzpdevo4ezkc1+5FISouCRtXfAg/D/o8cOn2E3y+cgM6BrbCwnmT4etuz98hu3pBUBJg6v8vM6t/yqiU1SrMW7IKCjXQsqk/dh06DWNTU8EjIl4fXTBIKlgfb06fiFNhYbAyt8S7c6ZDplVxai64RYCXtyvKyspQWFDBTHly/aCDGH6EybKwMIGLiyO7IwtbIl03RpB3aPvmYGsBBwc7xMSnsD12dlEFVm3eg9IKJW8xGjJZxHZd1C4U5eXo2rYZNq5azNruNTVqbNl7DG4e3nC1s0NlJckL10KrIZdmN9jY2eH8tQdYtWEXW5sLBxQV+ndrixmjB3PQErxHCTfFxXGurHMGRsFq9cbtcHK0h5+fL/5Pe9cZEMW5tR96BymCCoIUlaIoCFIUI9jRay+x9ySSiC2xG2ONsccuGkUFNUawYsOuqFgAFQUERESQjlK3wPLlPe8uJWosX/QmNzt/QNmdnTkzc/a85zxl576jUCMEPt9IqlVSATWFSowfPQQHDh6Bm3NTrJw7kXO3KFG91dXzA1LMX/OWlLQMxKWk4/CJc8jKeYFdP88nFYMDYRexN/QkfDt4oYmlGbzcWpC66aAvZ5IS7NTxg7hDHpm6KiItIw8T56yCmo4WKkQlCFg+Bwa6XOt++94QXIpKQiePlmhq1RAtHRpXqUnM+GkbDULmTxlDry0uFeCn9TthYGSIY7/L9/Ts1BaTxw2kv0XHJWHm0k2oo1cXaopibFk+k5Ice7LmL9+EknJg5Ww/eu39+BTsOhAKfaN6OH7iAtb/OB0uzbkRbM1G/C/7T+FqZDR2rpmFwNDTOHn6AnasXUBfnks37Ma9R0/R2cud2Bst7awIk0f3itTvM+TkJQTuD4OrswM6t3OGu1Nz+ozFP+9AcYkAy6THczYimhr+Kc+ysXzdL/Ab0QfTJgyl1waFnsLjp5l4lplNIpO7Vs8jZ52CFy8RevwSbJs1wbc/rEU9A0NsXf4tjI30icw/bcE6UsdYOnMC2dnp19El1dTlG3fB2NgEIcfD0bdHJ0wc1YfO+l7cYySn5yAw+CBsGjbA8vmT6XngxQDjW/Lf/3uJSkoBY98Y85cHYNywfgg5cYFG/EoE/uRIcvaolghE8HJxgL2tNXbuCcEXIwahjWsLMDkWsveuVICllSny8vLxsqCUKiYJI6myU2R4K0kFUWwsLM2RmJyGcjFjgMvG5zKSqwIRmG1tzPH4WTbEQgmeZGRi9bZgst8i2JOMMSt7HhUkEAuEMDHUw5r5/nBnltNkK12B67fuktuIgb4+4bxAdknsy6IC1jYWOHExEis374GimpZUFaIcw3t3QTdPJ5QyXfWqCk5G1FWmc2WQhPDr0Th28gyGDxmEw8dP4UlWAUm3UHVJ71SEqLQE7s72sG1qg/0Hj2Lr8llo17q5tC0rNbn8y/07/ppEFXzgKKJik2DduDEJK65a4A8dTXUs3xiM8Mu38NXogbgScQVTJ4yCeQMTHDgSjm1BIejXy5eE4bxat4C1ZUNE3LyPGT+swdRv/bD/4CHYWphh7tTxVHnO+2kL7iUkY9iAnrhw+Sqm+41Ao4amKHhRBL+ZP0Hz9/7Q+iXfQVNdDSfPXsORM1fww4zx2LAjBOcvXkfw5sWwNG+AQycvYN32vZg+9WusXLMFPbt5Y+KYgWRx5TdjGQTl5QhYPpM+c8maHTA2NoBvZy+Mm7wYtlamWLVgGn0J8o2nq0VrfsHV2/cwdkg/nL94BX26eaOLjyfE5ZWY+v16ZGZlo0/vDrh14zYWzJgAXV1t1gyg6oN97S75eTcuXrqFTStmkmsSk4cRCiswafZqlInLELByFlGvAvYcQ05eJsVxyvw1qKung0WzJiAtIwczF2+A39j+eFlchimzVmDF/Cno2cUTMffj8XPAb1g4+2vcirmPHXsOYduaeahvYojz16LgP3MF/L4ciafJiWjn2RK+Hb0QeuICzl65iTmTx2PLrlBcvBaJoI2LSX9r0YotpOEmFInJCGT2pNGcVVELKyXji/4199fb9lK7opKWc7mFJRjsNxfWZhYkPrcn5DjUNbRkKAWyeyJlhQohJowagsuRUXiekYnZU8ZDT4OJ3ImpOLK0Nkd2Vi6KXgpo3C9R5BwNxoDnTi+ApVVDPMvIoQyvRAxtGRObM8pZhdbQlNlhSZCVU4ijFyJJIpgRfLk5I597s6UV61kxOEFdPQ0smzsJ3m7Nag1XWPPy4NEzKCgRwqmZI8qFZahQqIQy24WKMgJDwnDpejQRo3FIgJkAABneSURBVJk6qYqiEvzHDISjtSktE2U3Ld2+dOEUSVAw4wUzR91KzVgmxRx06BTvTVEFxgGzxJqvEOGbMZ/jRPglaOloYOfK2dSQ5aqQFJm3Wom/7YJ+rL8zy/sb0Q9RXFIKT5eWaGCiT9r0kVEPkcecnyvE0NNVR1s3J6ipcE2nO3fjEJeYikbmDeDqaAsNDTXEJ6XiYUIKWjZn9CshklNS0MHLjYYl1+/EIv/FS/pSYXLOTFNMTU0VTCo7MuoBVfEeLg6oo6eHuw+SyF+yfdtWpDT7ODUDbk7NSBs/5n4CMSVcnJohKycfObn58GnbCuW/a95fvRlLy7K2rR1pGnz5ejQBeJmJ7aXrUVTNeLk70URQemsRz/VGVCzyXxZSH6mJTSM0lWqRs6VjxK37KCkRkO+jqbEh3JwdOZmDmYQpKBFo+MadWBoMONpaU3+L/ZW95+qt+3Q8nq1bQFdTE9dv3SNp6s88WyMvvxD5BS9h19QSWTkFuBkVC8/WjgRvuRYVCyuz+nBq3gTJKWmIjUuGh2tLGOjrUMwZLEdLSwOPnqQjIfEJVJSUIRAL4enqCGODOrh9Nx5FJSVo27olHiSkIDn1Gdydm8G0nhEysvIQGR1LAGgv91akjUWVofQrldYstHL5dH2KVxIVuccqKiJg/3Fs+uU3+I0fhcD9v+F5fgnvt8gaw1CgjNvUoj76+HbApu174O7aEsP6dYeEmUZWimHd2ArpGVkoKSqhfdbcaJUnkZBYHvNGKygoJkEyXn9IpX3ZYoipDGhpoomNKW5EJWD55iCkZbPej1QcrYp2o0wPi5qCGItnfIU+nXkDvXoOybMw4wBuCfwVgnIFfObemjh3KooKZP/+09ZgpD3PI8sqplJprKeNqV8NhYm+NsrFrNfAEjQbXbOFKQd4KigqY9u+w0jPeI6BfXzxS9ABvCjlJpX8UnJJDYGgFM4OjeHu6oxtO/Zg6Tz/agv3Pyhvfqxk89ftly95ZedXe79SfMprgD1vamvUtjCvsTc+l39FD6u2MFvtvcqO6tVz5bCJms7RtVj+fxy5vgHuVL3fahTRKw/sm0NQXaTx76Wq7c8/7s0NoVe1uqTxkvVE/nAdXvnvP+76NYVSdSElHajRgf8XE1VV1lRQJAneIX5zYG5hiQYmhtgTegpq6lpV2spk5V1ZCUFZMQay8a+2JvbsO4wvxo5AW2c7lAtL0djGEk+ePiPlTS7sJb1OjK+nqEBTN3NzM1ISzHieC0Ul5tLLUkGV4g9PWhLAoUUT7Nx/Elt2HYQqk+tlonoEZ+IaO2wrLinGV0N8MXeiFOVd8yJIBcaYOWRu/gvM/XEDGllYoq2bK5Qk5UhIe4bV239FmbiCko9IKEJzK3NMGtuflgGM88clXmSUonKqmk5F3EHooaP4+ssROH/lJiJj4ghSUUECYpxcDYmYtLsmjBqKk+cjoKeugF9Wz6URvfSrqlpz6RN+S/11iUu+J3kEPm4EalVU/LnmfSRGUQk8eArLNu7CpAljsT/0JJ4+z4Uqs1+hbwwpiVjClDwl+Gr0YETcikZ8fBJmfD0OTc0M0MC0Lh4/TYdAwEpg6QSFlkE8sTBxvXrGBmT48ORpJhSVWEXFIZt8Y50dNqCoRLmyKlZu2o245HSoMwt3afOdJ9dKlIuEaNTAGDvXziG7IGZLToDEqm8UXgXwloMi7scnY8bCdejV3RcuLezJHZqUHZRVaOonKitDb+82GNbHB4XFpQTR4MqQfPLHQJwJT7OwatN2dOvgBVV1bQSHnoCKmqpMyox/1O8TK2FZKbxcmsPewR7bdwZj/eJp8PVx5zgY9mrSj3sbdPvj3gjyvcsj8HeOwCtTP36wvP57UVyGUZMXUn+qlVNLbNm5F8qsqU76yLKEwpaA5TCtq4vRw/thT1AIWULP8B+D5g6NkJCQzHCcr4X4s0TFtNYN9esgOTmVa2BVfb40VTEBPk1VnLsWgz0HTwDKTEudKyTKzB6pGyAsw1z/MRg9oJO06ScDqHF9HJ72pJu00goIPoK9B0/iu++m4eipszh1/hKpfbKzFwnK4D+qP0YP6oYHv/sSioRiqrRYklVVV0NOQQlWbAmElVk9uLu1wqbAgxBJGOaMJTOpaiNTVy8XQFdTFd+MHY5twQdgb2WKjUu+o+RcfVBvXWf8ne8h+bHJI/DRI/D6RFXjuTl/4y78Z/6EMcP74+6DBFy8GQs1DQ40kz2QTKaUyQW7NrNAV+/PsGFbMGybWGHRbD/kPM+GoJQtp9hOawoecZVLLR11WJrVR0JSCsolMo3o6gNQUlCGSEGC9Tt/w/1HKWRMypvP0jEpc7QRimBtakQjc2bpTWyKmnSEGmGs2f5jHMCR/gugb9IAub8vdRkeR5lVVAxGoAh8PXwAOnu3gpaGBpKTUyAUVUBFXQtFpQKs+2UfgTcH9vsP9u4LwdOsXFoak5Y6JSp2fCooKyvC4L5dIRZW4PT5Cwj8eQHxEFnCI9VqKV/n0674P/p9Jf8AeQT+0gi8JlHVbD/z0mPW0gCcvXoDE8aPxPbdB8jtgtEiuGoBBzMypcjSwny093CCq2srbAnYCQ83Zwzp9R+oKylBJBZIW9uy/XPrdlU1JcLfMBXQMiFLaCTjWXWSaqoaSE5/jlVbd6NYVAkVUhDl8ACmMcX2xhQ/R/brhLkTh6GosAgGBoavQc7WtBWobl7tPXIO36/cCmU1XeJPsSWqiKlv6mjh2y9GwMhIE/X09ajyYyPizBdl2LIziPiH40YMxG+HT+FBQjKpRDCxQWUVFaLhsLiISgVwbt6YVFNXr92MCaP64dsvh/Caka9ZOa+q6nDe3DT9S6+6fGfyCPzDIvCaRFVNBOUOXYp4mpmHEUyrqpEFHGytsWV3CHHbqid5TEFTAkMDfahCjGb2jdHIyhwBO/bBqZkDRg/4D3S1VMkank3MOFpXqvCpoIjG1uZIz8zCS+axxyZ/lKgY9lwBquoaCLt4E/uOniQpFpaaKDGyhR+jzTFKj0SA9YunwNneBrm5ebBtYi1tUlcxOqvwTHxawYnLbC/Pc/IxctIiJKblQoWRkhn6hXkONjKD/9ihUFGphEQsgrVVIxSWijBr0SoaU48fPRinz15GZEwsvNp4wLdDO+RkZiDw10MoZGwiCVBHQxl+44dh38GjUFdRxo6182Csr1MtuE/DE1mNx5Pvpxz5/sPuVfnh/osj8IYe1asROX35NvGkmAQxw3ccPXURqprc300slkDIxu+O9ujq0wbHjp+EmYU5bK2tsHPPPjRsaIYxwwaggYEugTGZ5hP1uRnUoQKwsjJDYdFLZGczs09m08WqjXLCVVUqqGDdrgOIepAIdXU2FWSpikEE+G/MIZb5zO3buABFRUWE7m5u37gm5Om1l1c2xmaVzfcrtyPo8DnSvWJvZOain7m7Ynh/XyiUl5EfX2pmAQJ/DUVpSSHGjByE04x+EHkXjk0bY3jfLjh4+BgmfjkcUfcTsGH3UairKuHLEf2QmJyKiBuRCFzzA1wcOeJZvskjII/A+0XgTxKVdBki+1EJ/LhpN/YePIGJE8bh7IWriLz/iKytzOsbw0hXEyUlLzFicC8UFBTih5Xb0c+3I5o5WGPr7gNQU9XEuKED4GBtRjIuFczIhckPV4jQkEnwKlQgPT2bsFQcSVUJZVUNZOa9wMrNgeTqwuD/fDhWnagEAjHsrOojcO08XI6IhLWFKZwd7WTzgD+JBpdLZlXhoZMXMX1ZgLRRr4BysQADe3dHDx93Ug5lNAumK2VY1xBDBvbAsbBzuHbnIdQ0tUjhdMU8P9yIjkXqkwyYN2yEdTv3YmCvjqhnYowN23bjh6njMf7zHnzKV0OS4/0ulfzV8gj8eyPwJ4mKK3VyqiwnVjJ+1aT5a3A/IRXjRg7F/pAjiE96AteWDpgyYSiioh/iZVERbsU8RGzSU4jKStDe0wU+n7XBkaOMp5SO3t27wMfTCZrKiigXiSCWVMCoriG0tTWQ+iSd8FYcSCCBhqYOrkU9QEBQCCqV1EgllG28P8XxTKWlpWjv0gyblk5FwJ7f0NbDBW4t7N9BhK6GRlF8MkZPX478IgEYzkpFSYJp44fAztIUh85E4Hj4FbRxaQFX15Y4eOwkkp+kw9HBFumZucjJyUYLWyuMGtwTj59lIehAGBxtreDh6oRVG3cRKXfJ9HGEgpa51/17bzf5mcsj8GEReMvST9bUJj4A9XlSM7Lx5fTFUFTRRN/unbAr+DckpWWjeydPtPdojTVbgpCRX0TW6i4t7BD3KAWaasqUoKLuxSH88lW0bG6Pfl07wtrMGGJRGWmFG9eri6THzyAhMTrWqWHGourYe+wcwi5ch4qaBl8qsv5UDSG/spJS9PJxx/J5E7BwzXb07NoeHi3t3ykaMjAyozYMn7wYSWlZRDA2M66Lfr4dcOnKVSQ8foJe3TqiXl1D7A0NQ1Z+MXp39kKXju6Ii3uCgN0M5V5JXoWMuOxob4fe3XywedsuWFo2xMbF3xKxmgTapCSZdzo4+YvkEZBHoCoC79yjoipHqtAY+ygFX3y7GGYNTNGxgxd2BB9GelYBTOrqEThSV0sTi6aNQWlxKZIzcnDl+i08TsvCgN6+0NVWx6Gjp5D/ohg+7duig6cLLOpqw7SBER4lpUFYzkwVFKHIzCAqFLBm+148SGHCebzRzSksHEfFqr2ykjIM6+WD7yePhP+81Rjc1xfe7s3fSYRONmMrFYrhN3cNzl+PoeSoqaoKiVgIczMTdOnaCYmJSQg7eQaCciVYmZujnas9Nf9Hf94LyU9SsWJ7CF4WFqGVXSP07t4VO3bvh462JrasmAlLUxMOp5C6An86dpT8LpdH4H8nAq+Sktm5veFpYlIdHA+liIjbD+A/ZwXs7Brjs3Ye2Bl0GGlZubQ8823vgV5d2mHm/GVYMPsb3IhOwu6QU9SHaufaAh3buiMm7hHCL0VAX0cHXbzbYkDfLhAVl6Lk5UtygGE66Zm5heRYnFcigLLUOpxstaiy4uj4shIBRvftiFlfD8bIqUswpE839O7s+Q49KnaiXOWB9Y1mrdiOoNBwaGioU7/Np70nGhgZIOzcVcTGJcLaxhKlAiFysnNJrqSugQHZXTHfwtXb9sG+SSP079EBQft/g0RSiXVLZpIrjkz7R4ag/wBx6/+du01+JvIIfGAE3rmiot4Q7xDxYkZBgZLVpLkrYG1tjs6d2iNo7zEkpqajma0VvNt5wtREl3zyZv+4BYKKSni3a417d+7hZeFL+Hb2gZl5Q1y9dgN3omJgYtoAbi0d0cqhKUyM9KGprYHIOw+xadcBiBWUpdLcshpISsFh+uMlZRjdpyNmfjOU7L56d/XByP6d3zr14ydTLa+6eEMQNgcdgbGRIfr36YGMtFRcuBSBErEE7Tzc4OFkC0c7S6zcHITb9xLQ1tUZjs2aYu/+g2hi2xRdO3+GvcEHCJnOVBYdbBpVXRIpeYfrV72/Cv8HXlr52+QR+N+JwHslqmrGfLXiyfWYeEyesxz6hnXw+YC+OHb8HG7ciYGtrTWpc0bFxJMdO5PNaNPSAYN7d8KmoBBExsTDzqYR2nm2gomRMW5G30NUdDRVU7aNbeDeuhU138MvRECJlBJe3Zh2uYBVVL07YvaUERjy9Ty4OTfH9K8YqPIt4ElKVNWJY9u+MLBkpa2jA1SUIyf/BbQ0NaCjrYHFsyZi+/YdJKNhb++A7xatZUb0EJUUo2enNnB0dsTWHUGkHbRm0TQ42FhU47j+d+4V+ZnII/Bfi8B7JCqOQmdkZf6M86qGTQNj4lIwe9FaFJYJ8Pmggbgf+wCnzkVABEXCPlnWN4CFSX0YG+ijc0c3rNt5EDEJqeSRV1kugrWFGdw9XAgwmpeTiwex8XiamQ+RpJLQ638mJVhaWoZBXdrgxzlf4YsZP0FTXQMblkyREoPfpSPEE1po2HlM/2kbkZKdHW1J/O3s5ZsoKCjC5PED0cSmIcLDL6KBuQ027thH9lr9untDX1sHgftD0NTGEktn+aFJI25OKiNe15QV+a9dZfkHyyPwD4/AeyQq2eKPP/wyIgzrwbDmN6OXzFu5DZHR8Rj+eU+oqihgf+gZQn63cXPEpFGDkJbyBHsOn8HD1CwCfTpYN0Dn9q1x9sptRMcmo37dOnBoag0rK0uoqynj+JkIMkRlDjZv2phetG9bJ2xYPAVzVgQg/tEzBG+cT0j4d9FKldVdx89eJeiFj08H2NuYwdXJDlt3h+Dc5VvUj+rexZu0q8JOn0X9ukYY2NMXSSkpCDlxHj27emGe/ygY6WnXMpuQJ6l/+NMhP/y/TQTeK1Hxh7paFYyhurlEKev1KJFI/fqdIdi1LxReXp5wc3HC2XMRuHYrmuRXu3fphGPhV/E8MxPd27nD06kFigTF+DXsAlIycqiHXy4Sk/ywsYEuSsUSlJYxrfI3VEYMR1UmQFvnJvhlxUxs2X0YQQdPI3jzQthZmb59+UeXgaObLl6PxjfzVkGrjhEgKkM3n88gkYjwIDkNd+49ItkXDRWgg3c7uLo64mhYOOISkjHpi2H44vNuUFORwibIoILjzuRV1d/mPpcfyD88Au+cqKqpytXLPnJ9kW2yhxPA0fCrWLZuD5RVVDGgT3dqnh85cQ4ZWTlQ1dEm3lsXz1bo5OaAUokC5q3aRRUWqccwEoxCJSqYVx6RdmXa1a9Gmn16qVCIZjYNEbxuHq7dugv/OauwdK4/BnVn3mp/tsnOiCUqJcQmPcPoaUuQkVMAU6M6mDNpDJmvBu4/iis376C5rSW6e7dHcZkIv4YcQd26epg9eRw6uLfkQ1LyLJSpP/zD7wr54csj8DeLwDsnqj+K+rLzkC0Cec+KKW0yQSYOa3ySlo01W/fj1JVrpKLg5eqK6PsPcfH6LbwoKiODhSXTx6KwpASrA/bhRZGAXJNpU5BAsVLMvG6kAn1VC80/hI9x/cphaqiHA5sXEl+wz7gZ8O3gjZVzv3qrVmbVFBMKiE1Mw5hpS8jduGH9enBoYo7IW3cBBWX4dvWGmWl9nDxzHg8fJJJTtN+oPjA1MeCa7VIqMaugWPJ+80L1b3b15Ycjj8A/JALvkah4M71S2kyXGuZUa0xxz3JuEcTkgZn4nLgCR89GYHPgr8gvFKCrtydMTU0QHfsYt2/HoKKiAiqamkTNYes9khSm7MFMTpm9NtsLp/C8fqskbXNdVSXsXjsXlhb10e+ruSgrEeLA1iWob6TH3/aGAWDNRPUgMRWjpv6IrIJCmhPo66ijnacr7G0s8SD2Ec5ejUQTazNMHDsQPm2coUwegkwXq4YBtmyS+ImthP4h95r8MOUR+OAIvEei+pMn/i0f/zy3AMGhpxFyLBxKKqpo7+WJuvp6uB//GPfikpDDkgMqSZucuXyQOoK090XEkxrOrDVTFnsJs8OWlJfj5+/90KODB6Yt3YR9h8IRsGw6/Ztr9bFlmYzAIt0DJVRuzc6GAbEJKRg9dQkZSbRq4UiKD6mpaYiIuEoUHyaQN6hHexjqcYWFd2nUf/BVkb9RHgF5BGpF4D0T1f8veklPMhB05AxOn48gE0MXF2eYNzTDyxcFeJSYjMTHT/GiVIAKKEFJWQmsPy3zxaOlZS39Jm7fwwo5Zh4xdXRfTBnbH6EnL2HSvLXw7dAWaxf6ky08t2TgVZ5MmJgz75ivH6sEFfHseR72hV1GeaUEiY8eI+ruPbLM7t21PQb17EQ2QrTJFRD+fzeB/N3yCHxABD56ouITMFkNwrtaj9MycST8CsLCLyMvtwDWjSzQrHkLaGprIT8vBympqUhNz0JBUZlU2pc7CVe37mU75GJzLFH9p50TNi2dhqcZ2Rjiv5A0s/as/R4ujjYci0XOxmQqKA0Tm1/ypSo7vqeZuWT4+CA+EdYWFujdrR26eXvATJqgqsyRpEtTOcD8A+42+VvkEfjACHy0RFVrRC/LVDV0zNnxMs1yZjp56nwE7sQmkjmCeX0T2DW2hIa2Pk6cvYjcF4VkhPjHNhUXIeY1klgkgL2lCXatWwgDPU3MWbUNW/ccxriBPbFk5hdQUmQ+g8pV9JVKLqXJ9yCdVsY/SsHe0NPwcHOCRysH1NFlSzzZcpdxArlPH3sPNcvfBUv6gRdF/jZ5BOQRqB2Bj5aoan9MdV+IHn3pQy571pkz7pP0TNyIjkfknbt4+OgxCoqEpMTAmuWKSopQUmLuNwqkaU4YJalsCmvuV1SUQ1dDETtWzoWTnSVZb4+fvoKqqE3LvoO3azPep5IKrciOrUpFXVIJkUBEVlfss6oTVG0p4+pzkmcp+YMkj8CnjMCnSVS1eHVsucV6S7LapMbUTEo9yc4rRFzyU8TExuNh8lNkZOUjMzuHwJ8iUQWZL5DBA7OFJ9yVIoTCIiyaMg5fDu0FgVAM/3lrcTDsHLp5u2H94m/JIrxq5cdZ1VVxrupgsSUis4dXZMJ8fJlI8iyyxSKtFKvhCJ/yQsk/Sx6Bf3MEPk2iki7TqrtDLCFwBQZe5VDakaaE2igkobgcxaVCZOfmUYWV+iwTWTk5EApFNPHLzHxBvoLiCiE8ne0wYkAPKCkqITY+GVci78BY3wDt27jC0FCvqgrjCzqZjUK1KzMXsZIt8DjQVAZh4Ku9mo4x/+bbRn7u8gh82ghIE1VN/ckayzSqKHjlw3vQzAGGP6xVssD0+FY718ge7tqLo1opiqqVquVfjeKm2tCqqoZ5azTKGXGZ6WQRdqsSSkr8p7STVOP9b4IU8P+v/iv7jdNqXrvUqz6VqraZjFbE8WNcFZW53BAeTJqGqxIdBajmZIB/Nv+7HPjw1gsuf8G/MgL/BwMoW6zboBls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174625</xdr:colOff>
      <xdr:row>0</xdr:row>
      <xdr:rowOff>0</xdr:rowOff>
    </xdr:from>
    <xdr:to>
      <xdr:col>2</xdr:col>
      <xdr:colOff>1365250</xdr:colOff>
      <xdr:row>7</xdr:row>
      <xdr:rowOff>128279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E7AF656-BB4D-48A2-9C96-86D35CAED9B8}"/>
            </a:ext>
            <a:ext uri="{147F2762-F138-4A5C-976F-8EAC2B608ADB}">
              <a16:predDERef xmlns:a16="http://schemas.microsoft.com/office/drawing/2014/main" pred="{1789574A-3BE4-407A-92E1-4C06AC394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625" y="0"/>
          <a:ext cx="4191000" cy="1715779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2</xdr:row>
      <xdr:rowOff>79375</xdr:rowOff>
    </xdr:from>
    <xdr:to>
      <xdr:col>6</xdr:col>
      <xdr:colOff>619125</xdr:colOff>
      <xdr:row>6</xdr:row>
      <xdr:rowOff>117475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A607997-F21A-440B-99EC-43E8D155B3FB}"/>
            </a:ext>
            <a:ext uri="{147F2762-F138-4A5C-976F-8EAC2B608ADB}">
              <a16:predDERef xmlns:a16="http://schemas.microsoft.com/office/drawing/2014/main" pred="{0E7AF656-BB4D-48A2-9C96-86D35CAED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7500" y="492125"/>
          <a:ext cx="4572000" cy="895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1583531</xdr:colOff>
      <xdr:row>7</xdr:row>
      <xdr:rowOff>108435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E7AF656-BB4D-48A2-9C96-86D35CAED9B8}"/>
            </a:ext>
            <a:ext uri="{147F2762-F138-4A5C-976F-8EAC2B608ADB}">
              <a16:predDERef xmlns:a16="http://schemas.microsoft.com/office/drawing/2014/main" pred="{1789574A-3BE4-407A-92E1-4C06AC394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91000" cy="1715779"/>
        </a:xfrm>
        <a:prstGeom prst="rect">
          <a:avLst/>
        </a:prstGeom>
      </xdr:spPr>
    </xdr:pic>
    <xdr:clientData/>
  </xdr:twoCellAnchor>
  <xdr:twoCellAnchor editAs="oneCell">
    <xdr:from>
      <xdr:col>3</xdr:col>
      <xdr:colOff>452438</xdr:colOff>
      <xdr:row>1</xdr:row>
      <xdr:rowOff>83342</xdr:rowOff>
    </xdr:from>
    <xdr:to>
      <xdr:col>7</xdr:col>
      <xdr:colOff>576062</xdr:colOff>
      <xdr:row>6</xdr:row>
      <xdr:rowOff>285749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A607997-F21A-440B-99EC-43E8D155B3FB}"/>
            </a:ext>
            <a:ext uri="{147F2762-F138-4A5C-976F-8EAC2B608ADB}">
              <a16:predDERef xmlns:a16="http://schemas.microsoft.com/office/drawing/2014/main" pred="{0E7AF656-BB4D-48A2-9C96-86D35CAED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5344" y="297655"/>
          <a:ext cx="6505374" cy="12739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35719</xdr:rowOff>
    </xdr:from>
    <xdr:to>
      <xdr:col>2</xdr:col>
      <xdr:colOff>1583531</xdr:colOff>
      <xdr:row>7</xdr:row>
      <xdr:rowOff>144154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E7AF656-BB4D-48A2-9C96-86D35CAED9B8}"/>
            </a:ext>
            <a:ext uri="{147F2762-F138-4A5C-976F-8EAC2B608ADB}">
              <a16:predDERef xmlns:a16="http://schemas.microsoft.com/office/drawing/2014/main" pred="{1789574A-3BE4-407A-92E1-4C06AC394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719"/>
          <a:ext cx="4191000" cy="1715779"/>
        </a:xfrm>
        <a:prstGeom prst="rect">
          <a:avLst/>
        </a:prstGeom>
      </xdr:spPr>
    </xdr:pic>
    <xdr:clientData/>
  </xdr:twoCellAnchor>
  <xdr:twoCellAnchor editAs="oneCell">
    <xdr:from>
      <xdr:col>3</xdr:col>
      <xdr:colOff>452438</xdr:colOff>
      <xdr:row>1</xdr:row>
      <xdr:rowOff>119061</xdr:rowOff>
    </xdr:from>
    <xdr:to>
      <xdr:col>7</xdr:col>
      <xdr:colOff>576062</xdr:colOff>
      <xdr:row>6</xdr:row>
      <xdr:rowOff>321468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A607997-F21A-440B-99EC-43E8D155B3FB}"/>
            </a:ext>
            <a:ext uri="{147F2762-F138-4A5C-976F-8EAC2B608ADB}">
              <a16:predDERef xmlns:a16="http://schemas.microsoft.com/office/drawing/2014/main" pred="{0E7AF656-BB4D-48A2-9C96-86D35CAED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5344" y="333374"/>
          <a:ext cx="6505374" cy="1273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78"/>
  <sheetViews>
    <sheetView showGridLines="0" zoomScale="60" zoomScaleNormal="60" workbookViewId="0">
      <selection activeCell="G5" sqref="G5"/>
    </sheetView>
  </sheetViews>
  <sheetFormatPr baseColWidth="10" defaultColWidth="11.42578125" defaultRowHeight="12.75" x14ac:dyDescent="0.25"/>
  <cols>
    <col min="1" max="1" width="22.28515625" style="19" customWidth="1"/>
    <col min="2" max="2" width="22.5703125" style="19" bestFit="1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8" ht="16.5" x14ac:dyDescent="0.25">
      <c r="A1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8" ht="16.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8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8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8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8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8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8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2"/>
    </row>
    <row r="10" spans="1:28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82" t="s">
        <v>31</v>
      </c>
    </row>
    <row r="11" spans="1:28" ht="17.25" thickBot="1" x14ac:dyDescent="0.3">
      <c r="A11" s="55"/>
      <c r="B11" s="56" t="s">
        <v>32</v>
      </c>
      <c r="C11" s="56"/>
      <c r="D11" s="56"/>
      <c r="E11" s="56"/>
      <c r="F11" s="56"/>
      <c r="G11" s="5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7"/>
    </row>
    <row r="12" spans="1:28" s="30" customFormat="1" ht="41.25" customHeight="1" x14ac:dyDescent="0.25">
      <c r="A12" s="83" t="s">
        <v>33</v>
      </c>
      <c r="B12" s="99" t="s">
        <v>34</v>
      </c>
      <c r="C12" s="100"/>
      <c r="D12" s="100"/>
      <c r="E12" s="100"/>
      <c r="F12" s="100"/>
      <c r="G12" s="100"/>
      <c r="H12" s="28"/>
      <c r="I12" s="28"/>
      <c r="J12" s="28"/>
      <c r="K12" s="29"/>
      <c r="L12" s="28"/>
      <c r="M12" s="28"/>
      <c r="N12" s="28"/>
      <c r="O12" s="28"/>
      <c r="P12" s="28"/>
      <c r="Q12" s="28"/>
      <c r="R12" s="28"/>
      <c r="S12" s="29"/>
      <c r="T12" s="61"/>
      <c r="U12" s="62"/>
      <c r="V12" s="81"/>
    </row>
    <row r="13" spans="1:28" s="30" customFormat="1" ht="41.25" customHeight="1" x14ac:dyDescent="0.25">
      <c r="A13" s="73" t="s">
        <v>35</v>
      </c>
      <c r="B13" s="59" t="s">
        <v>12</v>
      </c>
      <c r="C13" s="60" t="s">
        <v>13</v>
      </c>
      <c r="D13" s="60" t="s">
        <v>14</v>
      </c>
      <c r="E13" s="60" t="s">
        <v>15</v>
      </c>
      <c r="F13" s="60" t="s">
        <v>16</v>
      </c>
      <c r="G13" s="60" t="s">
        <v>17</v>
      </c>
      <c r="H13" s="28"/>
      <c r="I13" s="28"/>
      <c r="J13" s="28"/>
      <c r="K13" s="29"/>
      <c r="L13" s="28"/>
      <c r="M13" s="28"/>
      <c r="N13" s="28"/>
      <c r="O13" s="28"/>
      <c r="P13" s="28"/>
      <c r="Q13" s="28"/>
      <c r="R13" s="28"/>
      <c r="S13" s="29"/>
      <c r="T13" s="61"/>
      <c r="U13" s="62"/>
      <c r="V13" s="81"/>
    </row>
    <row r="14" spans="1:28" ht="39" customHeight="1" x14ac:dyDescent="0.25">
      <c r="A14" s="73" t="s">
        <v>36</v>
      </c>
      <c r="B14" s="72">
        <v>211111100010000</v>
      </c>
      <c r="C14" s="70"/>
      <c r="D14" s="69" t="s">
        <v>37</v>
      </c>
      <c r="E14" s="69">
        <v>256</v>
      </c>
      <c r="F14" s="69">
        <v>1123010000</v>
      </c>
      <c r="G14" s="69" t="s">
        <v>38</v>
      </c>
      <c r="H14" s="32"/>
      <c r="I14" s="32"/>
      <c r="J14" s="32"/>
      <c r="K14" s="33"/>
      <c r="L14" s="53"/>
      <c r="M14" s="32"/>
      <c r="N14" s="32"/>
      <c r="O14" s="32"/>
      <c r="P14" s="32"/>
      <c r="Q14" s="32"/>
      <c r="R14" s="32"/>
      <c r="S14" s="33"/>
      <c r="T14" s="61"/>
      <c r="U14" s="62"/>
      <c r="V14" s="27"/>
    </row>
    <row r="15" spans="1:28" ht="34.5" customHeight="1" x14ac:dyDescent="0.25">
      <c r="A15" s="74"/>
      <c r="B15" s="68"/>
      <c r="C15" s="58"/>
      <c r="D15" s="58"/>
      <c r="E15" s="58"/>
      <c r="F15" s="58"/>
      <c r="G15" s="58"/>
      <c r="H15" s="58"/>
      <c r="I15" s="32"/>
      <c r="J15" s="32"/>
      <c r="K15" s="32"/>
      <c r="L15" s="31"/>
      <c r="M15" s="53"/>
      <c r="N15" s="32"/>
      <c r="O15" s="32"/>
      <c r="P15" s="32"/>
      <c r="Q15" s="32"/>
      <c r="R15" s="32"/>
      <c r="S15" s="32"/>
      <c r="T15" s="31"/>
      <c r="U15" s="61"/>
      <c r="V15" s="81"/>
      <c r="W15" s="27"/>
    </row>
    <row r="16" spans="1:28" ht="42.75" customHeight="1" x14ac:dyDescent="0.25">
      <c r="A16" s="74" t="s">
        <v>39</v>
      </c>
      <c r="B16" s="68">
        <v>15</v>
      </c>
      <c r="C16" s="58"/>
      <c r="D16" s="58"/>
      <c r="E16" s="58">
        <v>3</v>
      </c>
      <c r="F16" s="58">
        <v>10</v>
      </c>
      <c r="G16" s="58">
        <v>4</v>
      </c>
      <c r="H16" s="58"/>
      <c r="I16" s="32"/>
      <c r="J16" s="32"/>
      <c r="K16" s="32"/>
      <c r="L16" s="31"/>
      <c r="M16" s="53"/>
      <c r="N16" s="32"/>
      <c r="O16" s="32"/>
      <c r="P16" s="32"/>
      <c r="Q16" s="32"/>
      <c r="R16" s="32"/>
      <c r="S16" s="32"/>
      <c r="T16" s="31"/>
      <c r="U16" s="61"/>
      <c r="V16" s="81"/>
      <c r="W16" s="27"/>
    </row>
    <row r="17" spans="1:23" ht="54.75" customHeight="1" x14ac:dyDescent="0.25">
      <c r="A17" s="73" t="s">
        <v>40</v>
      </c>
      <c r="B17" s="72">
        <v>211111100010000</v>
      </c>
      <c r="C17" s="71"/>
      <c r="D17" s="69" t="s">
        <v>41</v>
      </c>
      <c r="E17" s="69">
        <v>256</v>
      </c>
      <c r="F17" s="69">
        <v>1123010000</v>
      </c>
      <c r="G17" s="69" t="s">
        <v>38</v>
      </c>
      <c r="H17" s="76"/>
      <c r="I17" s="32"/>
      <c r="J17" s="32"/>
      <c r="K17" s="32"/>
      <c r="L17" s="33"/>
      <c r="M17" s="53"/>
      <c r="N17" s="32"/>
      <c r="O17" s="32"/>
      <c r="P17" s="32"/>
      <c r="Q17" s="32"/>
      <c r="R17" s="32"/>
      <c r="S17" s="32"/>
      <c r="T17" s="33"/>
      <c r="U17" s="61"/>
      <c r="V17" s="81"/>
      <c r="W17" s="27"/>
    </row>
    <row r="18" spans="1:23" ht="34.5" customHeight="1" x14ac:dyDescent="0.25">
      <c r="A18" s="74"/>
      <c r="B18" s="68"/>
      <c r="C18" s="58"/>
      <c r="D18" s="58"/>
      <c r="E18" s="58"/>
      <c r="F18" s="58"/>
      <c r="G18" s="58"/>
      <c r="H18" s="58"/>
      <c r="I18" s="32"/>
      <c r="J18" s="32"/>
      <c r="K18" s="32"/>
      <c r="L18" s="31"/>
      <c r="M18" s="53"/>
      <c r="N18" s="32"/>
      <c r="O18" s="32"/>
      <c r="P18" s="32"/>
      <c r="Q18" s="32"/>
      <c r="R18" s="32"/>
      <c r="S18" s="32"/>
      <c r="T18" s="31"/>
      <c r="U18" s="61"/>
      <c r="V18" s="81"/>
      <c r="W18" s="27"/>
    </row>
    <row r="19" spans="1:23" ht="62.25" customHeight="1" thickBot="1" x14ac:dyDescent="0.3">
      <c r="A19" s="75" t="s">
        <v>39</v>
      </c>
      <c r="B19" s="68">
        <v>15</v>
      </c>
      <c r="C19" s="58"/>
      <c r="D19" s="58"/>
      <c r="E19" s="58">
        <v>3</v>
      </c>
      <c r="F19" s="58">
        <v>10</v>
      </c>
      <c r="G19" s="58">
        <v>4</v>
      </c>
      <c r="H19" s="58"/>
      <c r="I19" s="32"/>
      <c r="J19" s="32"/>
      <c r="K19" s="32"/>
      <c r="L19" s="31"/>
      <c r="M19" s="53"/>
      <c r="N19" s="32"/>
      <c r="O19" s="32"/>
      <c r="P19" s="32"/>
      <c r="Q19" s="32"/>
      <c r="R19" s="32"/>
      <c r="S19" s="32"/>
      <c r="T19" s="31"/>
      <c r="U19" s="61"/>
      <c r="V19" s="81"/>
      <c r="W19" s="27"/>
    </row>
    <row r="20" spans="1:23" ht="16.5" x14ac:dyDescent="0.25">
      <c r="A20" s="7"/>
      <c r="B20" s="54" t="s">
        <v>42</v>
      </c>
      <c r="C20" s="54"/>
      <c r="D20" s="54"/>
      <c r="E20" s="54"/>
      <c r="F20" s="54"/>
      <c r="G20" s="54"/>
      <c r="H20" s="36">
        <f t="shared" ref="H20:U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77">
        <f t="shared" si="0"/>
        <v>0</v>
      </c>
      <c r="V20" s="27"/>
      <c r="W20" s="37"/>
    </row>
    <row r="21" spans="1:23" ht="17.25" thickBot="1" x14ac:dyDescent="0.3">
      <c r="A21" s="15"/>
      <c r="B21" s="38" t="s">
        <v>43</v>
      </c>
      <c r="C21" s="38"/>
      <c r="D21" s="38"/>
      <c r="E21" s="38"/>
      <c r="F21" s="38"/>
      <c r="G21" s="38"/>
      <c r="H21" s="39">
        <f t="shared" ref="H21:U21" si="1">H20</f>
        <v>0</v>
      </c>
      <c r="I21" s="39">
        <f t="shared" si="1"/>
        <v>0</v>
      </c>
      <c r="J21" s="39">
        <f t="shared" si="1"/>
        <v>0</v>
      </c>
      <c r="K21" s="39">
        <f t="shared" si="1"/>
        <v>0</v>
      </c>
      <c r="L21" s="39">
        <f t="shared" si="1"/>
        <v>0</v>
      </c>
      <c r="M21" s="39">
        <f t="shared" si="1"/>
        <v>0</v>
      </c>
      <c r="N21" s="39">
        <f t="shared" si="1"/>
        <v>0</v>
      </c>
      <c r="O21" s="39">
        <f t="shared" si="1"/>
        <v>0</v>
      </c>
      <c r="P21" s="39">
        <f t="shared" si="1"/>
        <v>0</v>
      </c>
      <c r="Q21" s="39">
        <f t="shared" si="1"/>
        <v>0</v>
      </c>
      <c r="R21" s="39">
        <f t="shared" si="1"/>
        <v>0</v>
      </c>
      <c r="S21" s="39">
        <f t="shared" si="1"/>
        <v>0</v>
      </c>
      <c r="T21" s="39">
        <f t="shared" si="1"/>
        <v>0</v>
      </c>
      <c r="U21" s="78">
        <f t="shared" si="1"/>
        <v>0</v>
      </c>
      <c r="V21" s="27"/>
      <c r="W21" s="37"/>
    </row>
    <row r="22" spans="1:23" ht="17.25" thickTop="1" x14ac:dyDescent="0.25">
      <c r="A22" s="13"/>
      <c r="B22" s="24" t="s">
        <v>44</v>
      </c>
      <c r="C22" s="24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63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79"/>
      <c r="V23" s="27"/>
      <c r="W23" s="37"/>
    </row>
    <row r="24" spans="1:23" ht="16.5" x14ac:dyDescent="0.25">
      <c r="A24" s="14"/>
      <c r="B24" s="34"/>
      <c r="C24" s="57"/>
      <c r="D24" s="57"/>
      <c r="E24" s="57"/>
      <c r="F24" s="57"/>
      <c r="G24" s="57"/>
      <c r="H24" s="40"/>
      <c r="I24" s="34"/>
      <c r="J24" s="40"/>
      <c r="K24" s="40"/>
      <c r="L24" s="40"/>
      <c r="M24" s="34"/>
      <c r="N24" s="40"/>
      <c r="O24" s="40"/>
      <c r="P24" s="40"/>
      <c r="Q24" s="40"/>
      <c r="R24" s="40"/>
      <c r="S24" s="40"/>
      <c r="T24" s="40"/>
      <c r="U24" s="79"/>
      <c r="V24" s="27"/>
      <c r="W24" s="37"/>
    </row>
    <row r="25" spans="1:23" ht="16.5" x14ac:dyDescent="0.25">
      <c r="A25" s="14"/>
      <c r="B25" s="34"/>
      <c r="C25" s="57"/>
      <c r="D25" s="57"/>
      <c r="E25" s="57"/>
      <c r="F25" s="57"/>
      <c r="G25" s="57"/>
      <c r="H25" s="40"/>
      <c r="I25" s="34"/>
      <c r="J25" s="40"/>
      <c r="K25" s="40"/>
      <c r="L25" s="40"/>
      <c r="M25" s="34"/>
      <c r="N25" s="40"/>
      <c r="O25" s="40"/>
      <c r="P25" s="40"/>
      <c r="Q25" s="40"/>
      <c r="R25" s="40"/>
      <c r="S25" s="40"/>
      <c r="T25" s="40"/>
      <c r="U25" s="79"/>
      <c r="V25" s="27"/>
      <c r="W25" s="37"/>
    </row>
    <row r="26" spans="1:23" ht="16.5" x14ac:dyDescent="0.25">
      <c r="A26" s="14"/>
      <c r="B26" s="34"/>
      <c r="C26" s="57"/>
      <c r="D26" s="57"/>
      <c r="E26" s="57"/>
      <c r="F26" s="57"/>
      <c r="G26" s="57"/>
      <c r="H26" s="40"/>
      <c r="I26" s="34"/>
      <c r="J26" s="40"/>
      <c r="K26" s="40"/>
      <c r="L26" s="40"/>
      <c r="M26" s="34"/>
      <c r="N26" s="40"/>
      <c r="O26" s="40"/>
      <c r="P26" s="40"/>
      <c r="Q26" s="40"/>
      <c r="R26" s="40"/>
      <c r="S26" s="40"/>
      <c r="T26" s="40"/>
      <c r="U26" s="79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79"/>
      <c r="V27" s="27"/>
      <c r="W27" s="37"/>
    </row>
    <row r="28" spans="1:23" ht="16.5" x14ac:dyDescent="0.25">
      <c r="A28" s="14"/>
      <c r="B28" s="35" t="s">
        <v>42</v>
      </c>
      <c r="C28" s="35"/>
      <c r="D28" s="35"/>
      <c r="E28" s="35"/>
      <c r="F28" s="35"/>
      <c r="G28" s="35"/>
      <c r="H28" s="42">
        <f t="shared" ref="H28:U28" si="2">SUM(H23:H27)</f>
        <v>0</v>
      </c>
      <c r="I28" s="42">
        <f t="shared" si="2"/>
        <v>0</v>
      </c>
      <c r="J28" s="42">
        <f t="shared" si="2"/>
        <v>0</v>
      </c>
      <c r="K28" s="42">
        <f t="shared" si="2"/>
        <v>0</v>
      </c>
      <c r="L28" s="42">
        <f t="shared" si="2"/>
        <v>0</v>
      </c>
      <c r="M28" s="42">
        <f t="shared" si="2"/>
        <v>0</v>
      </c>
      <c r="N28" s="42">
        <f t="shared" si="2"/>
        <v>0</v>
      </c>
      <c r="O28" s="42">
        <f t="shared" si="2"/>
        <v>0</v>
      </c>
      <c r="P28" s="42">
        <f t="shared" si="2"/>
        <v>0</v>
      </c>
      <c r="Q28" s="42">
        <f t="shared" si="2"/>
        <v>0</v>
      </c>
      <c r="R28" s="42">
        <f t="shared" si="2"/>
        <v>0</v>
      </c>
      <c r="S28" s="42">
        <f t="shared" si="2"/>
        <v>0</v>
      </c>
      <c r="T28" s="42">
        <f t="shared" si="2"/>
        <v>0</v>
      </c>
      <c r="U28" s="80">
        <f t="shared" si="2"/>
        <v>0</v>
      </c>
      <c r="V28" s="27"/>
      <c r="W28" s="37"/>
    </row>
    <row r="29" spans="1:23" ht="17.25" thickBot="1" x14ac:dyDescent="0.3">
      <c r="A29" s="14"/>
      <c r="B29" s="38" t="s">
        <v>45</v>
      </c>
      <c r="C29" s="38"/>
      <c r="D29" s="38"/>
      <c r="E29" s="38"/>
      <c r="F29" s="38"/>
      <c r="G29" s="38"/>
      <c r="H29" s="39">
        <f t="shared" ref="H29:U29" si="3">H28</f>
        <v>0</v>
      </c>
      <c r="I29" s="39">
        <f t="shared" si="3"/>
        <v>0</v>
      </c>
      <c r="J29" s="39">
        <f t="shared" si="3"/>
        <v>0</v>
      </c>
      <c r="K29" s="39">
        <f t="shared" si="3"/>
        <v>0</v>
      </c>
      <c r="L29" s="39">
        <f t="shared" si="3"/>
        <v>0</v>
      </c>
      <c r="M29" s="39">
        <f t="shared" si="3"/>
        <v>0</v>
      </c>
      <c r="N29" s="39">
        <f t="shared" si="3"/>
        <v>0</v>
      </c>
      <c r="O29" s="39">
        <f t="shared" si="3"/>
        <v>0</v>
      </c>
      <c r="P29" s="39">
        <f t="shared" si="3"/>
        <v>0</v>
      </c>
      <c r="Q29" s="39">
        <f t="shared" si="3"/>
        <v>0</v>
      </c>
      <c r="R29" s="39">
        <f t="shared" si="3"/>
        <v>0</v>
      </c>
      <c r="S29" s="39">
        <f t="shared" si="3"/>
        <v>0</v>
      </c>
      <c r="T29" s="39">
        <f t="shared" si="3"/>
        <v>0</v>
      </c>
      <c r="U29" s="78">
        <f t="shared" si="3"/>
        <v>0</v>
      </c>
      <c r="W29" s="37"/>
    </row>
    <row r="30" spans="1:23" ht="18" thickTop="1" thickBot="1" x14ac:dyDescent="0.3">
      <c r="A30" s="16"/>
      <c r="B30" s="18"/>
      <c r="C30" s="18"/>
      <c r="D30" s="18"/>
      <c r="E30" s="18"/>
      <c r="F30" s="18"/>
      <c r="G30" s="18"/>
      <c r="H30" s="4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3" ht="15.75" customHeight="1" thickTop="1" x14ac:dyDescent="0.25">
      <c r="A31" s="93" t="s">
        <v>46</v>
      </c>
      <c r="B31" s="94"/>
      <c r="C31" s="94"/>
      <c r="D31" s="94"/>
      <c r="E31" s="94"/>
      <c r="F31" s="94"/>
      <c r="G31" s="94"/>
      <c r="H31" s="94"/>
      <c r="I31" s="94"/>
      <c r="J31" s="94"/>
      <c r="K31" s="95"/>
      <c r="L31" s="96" t="s">
        <v>47</v>
      </c>
      <c r="M31" s="96"/>
      <c r="N31" s="96"/>
      <c r="O31" s="96"/>
      <c r="P31" s="96"/>
      <c r="Q31" s="96" t="s">
        <v>48</v>
      </c>
      <c r="R31" s="96"/>
      <c r="S31" s="96"/>
      <c r="T31" s="96"/>
      <c r="U31" s="97"/>
    </row>
    <row r="32" spans="1:23" ht="71.25" customHeight="1" x14ac:dyDescent="0.25">
      <c r="A32" s="101" t="s">
        <v>49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3"/>
      <c r="L32" s="86"/>
      <c r="M32" s="86"/>
      <c r="N32" s="86"/>
      <c r="O32" s="86"/>
      <c r="P32" s="86"/>
      <c r="Q32" s="86"/>
      <c r="R32" s="86"/>
      <c r="S32" s="86"/>
      <c r="T32" s="86"/>
      <c r="U32" s="87"/>
    </row>
    <row r="33" spans="1:21" ht="15.75" customHeight="1" thickBo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6"/>
      <c r="L33" s="88"/>
      <c r="M33" s="88"/>
      <c r="N33" s="88"/>
      <c r="O33" s="88"/>
      <c r="P33" s="88"/>
      <c r="Q33" s="88"/>
      <c r="R33" s="88"/>
      <c r="S33" s="88"/>
      <c r="T33" s="88"/>
      <c r="U33" s="89"/>
    </row>
    <row r="34" spans="1:21" ht="15" customHeight="1" x14ac:dyDescent="0.25">
      <c r="A34" s="17"/>
    </row>
    <row r="35" spans="1:21" x14ac:dyDescent="0.25">
      <c r="A35" s="17"/>
      <c r="H35" s="27"/>
      <c r="P35" s="45"/>
      <c r="Q35" s="45"/>
      <c r="R35" s="45"/>
      <c r="S35" s="45"/>
      <c r="T35" s="45"/>
    </row>
    <row r="36" spans="1:21" x14ac:dyDescent="0.25">
      <c r="A36" s="17"/>
      <c r="B36" s="46"/>
      <c r="C36" s="46"/>
      <c r="D36" s="46"/>
      <c r="E36" s="46"/>
      <c r="F36" s="46"/>
      <c r="G36" s="46"/>
      <c r="P36" s="47"/>
      <c r="Q36" s="47"/>
      <c r="R36" s="47"/>
      <c r="S36" s="47"/>
      <c r="T36" s="47"/>
    </row>
    <row r="37" spans="1:21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21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21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21" ht="16.5" x14ac:dyDescent="0.25">
      <c r="A40" s="17"/>
      <c r="B40" s="46"/>
      <c r="C40" s="46"/>
      <c r="D40" s="46"/>
      <c r="E40" s="46"/>
      <c r="F40" s="46"/>
      <c r="G40" s="46"/>
      <c r="H40" s="48"/>
      <c r="I40" s="46"/>
    </row>
    <row r="41" spans="1:21" ht="16.5" x14ac:dyDescent="0.25">
      <c r="A41" s="17"/>
      <c r="B41" s="46"/>
      <c r="C41" s="46"/>
      <c r="D41" s="46"/>
      <c r="E41" s="46"/>
      <c r="F41" s="46"/>
      <c r="G41" s="46"/>
      <c r="H41" s="48"/>
      <c r="I41" s="46"/>
    </row>
    <row r="42" spans="1:21" ht="16.5" x14ac:dyDescent="0.25">
      <c r="A42" s="17"/>
      <c r="B42" s="46"/>
      <c r="C42" s="46"/>
      <c r="D42" s="46"/>
      <c r="E42" s="46"/>
      <c r="F42" s="46"/>
      <c r="G42" s="46"/>
      <c r="H42" s="48"/>
      <c r="I42" s="46"/>
    </row>
    <row r="43" spans="1:21" ht="16.5" x14ac:dyDescent="0.25">
      <c r="A43" s="17"/>
      <c r="B43" s="46"/>
      <c r="C43" s="46"/>
      <c r="D43" s="46"/>
      <c r="E43" s="46"/>
      <c r="F43" s="46"/>
      <c r="G43" s="46"/>
      <c r="H43" s="48"/>
      <c r="I43" s="46"/>
    </row>
    <row r="44" spans="1:21" x14ac:dyDescent="0.25">
      <c r="A44" s="17"/>
      <c r="B44" s="46"/>
      <c r="C44" s="46"/>
      <c r="D44" s="46"/>
      <c r="E44" s="46"/>
      <c r="F44" s="46"/>
      <c r="G44" s="46"/>
      <c r="H44" s="17"/>
    </row>
    <row r="45" spans="1:21" x14ac:dyDescent="0.25">
      <c r="A45" s="17"/>
      <c r="B45" s="46"/>
      <c r="C45" s="46"/>
      <c r="D45" s="46"/>
      <c r="E45" s="46"/>
      <c r="F45" s="46"/>
      <c r="G45" s="46"/>
      <c r="H45" s="17"/>
    </row>
    <row r="46" spans="1:21" x14ac:dyDescent="0.25">
      <c r="A46" s="17"/>
      <c r="B46" s="46"/>
      <c r="C46" s="46"/>
      <c r="D46" s="46"/>
      <c r="E46" s="46"/>
      <c r="F46" s="46"/>
      <c r="G46" s="46"/>
      <c r="H46" s="17"/>
    </row>
    <row r="47" spans="1:21" x14ac:dyDescent="0.25">
      <c r="A47" s="17"/>
      <c r="B47" s="46"/>
      <c r="C47" s="46"/>
      <c r="D47" s="46"/>
      <c r="E47" s="46"/>
      <c r="F47" s="46"/>
      <c r="G47" s="46"/>
      <c r="H47" s="17"/>
    </row>
    <row r="48" spans="1:21" x14ac:dyDescent="0.25">
      <c r="A48" s="17"/>
      <c r="B48" s="46"/>
      <c r="C48" s="46"/>
      <c r="D48" s="46"/>
      <c r="E48" s="46"/>
      <c r="F48" s="46"/>
      <c r="G48" s="46"/>
      <c r="H48" s="27"/>
    </row>
    <row r="49" spans="1:8" x14ac:dyDescent="0.25">
      <c r="A49" s="17"/>
      <c r="B49" s="49"/>
      <c r="C49" s="49"/>
      <c r="D49" s="49"/>
      <c r="E49" s="49"/>
      <c r="F49" s="49"/>
      <c r="G49" s="49"/>
      <c r="H49" s="27"/>
    </row>
    <row r="50" spans="1:8" x14ac:dyDescent="0.25">
      <c r="A50" s="17"/>
      <c r="B50" s="50"/>
      <c r="C50" s="50"/>
      <c r="D50" s="50"/>
      <c r="E50" s="50"/>
      <c r="F50" s="50"/>
      <c r="G50" s="50"/>
    </row>
    <row r="51" spans="1:8" x14ac:dyDescent="0.25">
      <c r="A51" s="17"/>
      <c r="B51" s="51"/>
      <c r="C51" s="51"/>
      <c r="D51" s="51"/>
      <c r="E51" s="51"/>
      <c r="F51" s="51"/>
      <c r="G51" s="51"/>
    </row>
    <row r="52" spans="1:8" x14ac:dyDescent="0.25">
      <c r="A52" s="17"/>
      <c r="B52" s="52"/>
      <c r="C52" s="52"/>
      <c r="D52" s="52"/>
      <c r="E52" s="52"/>
      <c r="F52" s="52"/>
      <c r="G52" s="52"/>
    </row>
    <row r="53" spans="1:8" x14ac:dyDescent="0.25">
      <c r="A53" s="17"/>
      <c r="B53" s="46"/>
      <c r="C53" s="46"/>
      <c r="D53" s="46"/>
      <c r="E53" s="46"/>
      <c r="F53" s="46"/>
      <c r="G53" s="46"/>
    </row>
    <row r="54" spans="1:8" x14ac:dyDescent="0.25">
      <c r="A54" s="17"/>
      <c r="B54" s="46"/>
      <c r="C54" s="46"/>
      <c r="D54" s="46"/>
      <c r="E54" s="46"/>
      <c r="F54" s="46"/>
      <c r="G54" s="46"/>
    </row>
    <row r="55" spans="1:8" x14ac:dyDescent="0.25">
      <c r="A55" s="17"/>
      <c r="B55" s="46"/>
      <c r="C55" s="46"/>
      <c r="D55" s="46"/>
      <c r="E55" s="46"/>
      <c r="F55" s="46"/>
      <c r="G55" s="46"/>
    </row>
    <row r="56" spans="1:8" x14ac:dyDescent="0.25">
      <c r="A56" s="17"/>
      <c r="B56" s="46"/>
      <c r="C56" s="46"/>
      <c r="D56" s="46"/>
      <c r="E56" s="46"/>
      <c r="F56" s="46"/>
      <c r="G56" s="46"/>
    </row>
    <row r="57" spans="1:8" x14ac:dyDescent="0.25">
      <c r="A57" s="17"/>
      <c r="B57" s="46"/>
      <c r="C57" s="46"/>
      <c r="D57" s="46"/>
      <c r="E57" s="46"/>
      <c r="F57" s="46"/>
      <c r="G57" s="46"/>
    </row>
    <row r="58" spans="1:8" x14ac:dyDescent="0.25">
      <c r="A58" s="17"/>
      <c r="B58" s="46"/>
      <c r="C58" s="46"/>
      <c r="D58" s="46"/>
      <c r="E58" s="46"/>
      <c r="F58" s="46"/>
      <c r="G58" s="46"/>
    </row>
    <row r="59" spans="1:8" x14ac:dyDescent="0.25">
      <c r="A59" s="17"/>
      <c r="B59" s="46"/>
      <c r="C59" s="46"/>
      <c r="D59" s="46"/>
      <c r="E59" s="46"/>
      <c r="F59" s="46"/>
      <c r="G59" s="46"/>
    </row>
    <row r="60" spans="1:8" x14ac:dyDescent="0.25">
      <c r="A60" s="17"/>
      <c r="B60" s="46"/>
      <c r="C60" s="46"/>
      <c r="D60" s="46"/>
      <c r="E60" s="46"/>
      <c r="F60" s="46"/>
      <c r="G60" s="46"/>
    </row>
    <row r="61" spans="1:8" x14ac:dyDescent="0.25">
      <c r="A61" s="17"/>
      <c r="B61" s="46"/>
      <c r="C61" s="46"/>
      <c r="D61" s="46"/>
      <c r="E61" s="46"/>
      <c r="F61" s="46"/>
      <c r="G61" s="46"/>
    </row>
    <row r="62" spans="1:8" x14ac:dyDescent="0.25">
      <c r="A62" s="17"/>
      <c r="B62" s="46"/>
      <c r="C62" s="46"/>
      <c r="D62" s="46"/>
      <c r="E62" s="46"/>
      <c r="F62" s="46"/>
      <c r="G62" s="46"/>
    </row>
    <row r="63" spans="1:8" x14ac:dyDescent="0.25">
      <c r="A63" s="17"/>
      <c r="B63" s="46"/>
      <c r="C63" s="46"/>
      <c r="D63" s="46"/>
      <c r="E63" s="46"/>
      <c r="F63" s="46"/>
      <c r="G63" s="46"/>
    </row>
    <row r="64" spans="1:8" x14ac:dyDescent="0.25">
      <c r="A64" s="17"/>
      <c r="B64" s="46"/>
      <c r="C64" s="46"/>
      <c r="D64" s="46"/>
      <c r="E64" s="46"/>
      <c r="F64" s="46"/>
      <c r="G64" s="46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</sheetData>
  <mergeCells count="12">
    <mergeCell ref="S2:T2"/>
    <mergeCell ref="L32:P32"/>
    <mergeCell ref="Q32:U32"/>
    <mergeCell ref="L33:P33"/>
    <mergeCell ref="Q33:U33"/>
    <mergeCell ref="I9:T9"/>
    <mergeCell ref="A31:K31"/>
    <mergeCell ref="L31:P31"/>
    <mergeCell ref="Q31:U31"/>
    <mergeCell ref="M5:Q6"/>
    <mergeCell ref="B12:G12"/>
    <mergeCell ref="A32:K33"/>
  </mergeCells>
  <phoneticPr fontId="16" type="noConversion"/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74"/>
  <sheetViews>
    <sheetView showGridLines="0" topLeftCell="E1" zoomScale="80" zoomScaleNormal="80" workbookViewId="0">
      <selection activeCell="T7" sqref="T7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>
        <f ca="1">TODAY()</f>
        <v>45736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13"/>
      <c r="B11" s="24" t="s">
        <v>44</v>
      </c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  <c r="W11" s="37"/>
    </row>
    <row r="12" spans="1:27" ht="16.5" x14ac:dyDescent="0.25">
      <c r="A12" s="14"/>
      <c r="B12" s="34"/>
      <c r="C12" s="57"/>
      <c r="D12" s="57"/>
      <c r="E12" s="57"/>
      <c r="F12" s="57"/>
      <c r="G12" s="57"/>
      <c r="H12" s="40"/>
      <c r="I12" s="34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40"/>
      <c r="U12" s="41"/>
      <c r="V12" s="27"/>
      <c r="W12" s="37"/>
    </row>
    <row r="13" spans="1:27" ht="16.5" x14ac:dyDescent="0.25">
      <c r="A13" s="14"/>
      <c r="B13" s="34"/>
      <c r="C13" s="57"/>
      <c r="D13" s="57"/>
      <c r="E13" s="57"/>
      <c r="F13" s="57"/>
      <c r="G13" s="57"/>
      <c r="H13" s="40"/>
      <c r="I13" s="34"/>
      <c r="J13" s="40"/>
      <c r="K13" s="40"/>
      <c r="L13" s="40"/>
      <c r="M13" s="34"/>
      <c r="N13" s="40"/>
      <c r="O13" s="40"/>
      <c r="P13" s="40"/>
      <c r="Q13" s="40"/>
      <c r="R13" s="40"/>
      <c r="S13" s="40"/>
      <c r="T13" s="40"/>
      <c r="U13" s="41"/>
      <c r="V13" s="27"/>
      <c r="W13" s="37"/>
    </row>
    <row r="14" spans="1:27" ht="16.5" x14ac:dyDescent="0.25">
      <c r="A14" s="14"/>
      <c r="B14" s="34"/>
      <c r="C14" s="57"/>
      <c r="D14" s="57"/>
      <c r="E14" s="57"/>
      <c r="F14" s="57"/>
      <c r="G14" s="57"/>
      <c r="H14" s="40"/>
      <c r="I14" s="34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40"/>
      <c r="U14" s="41"/>
      <c r="V14" s="27"/>
      <c r="W14" s="37"/>
    </row>
    <row r="15" spans="1:27" ht="16.5" x14ac:dyDescent="0.25">
      <c r="A15" s="14"/>
      <c r="B15" s="34"/>
      <c r="C15" s="57"/>
      <c r="D15" s="57"/>
      <c r="E15" s="57"/>
      <c r="F15" s="57"/>
      <c r="G15" s="57"/>
      <c r="H15" s="40"/>
      <c r="I15" s="34"/>
      <c r="J15" s="40"/>
      <c r="K15" s="40"/>
      <c r="L15" s="40"/>
      <c r="M15" s="34"/>
      <c r="N15" s="40"/>
      <c r="O15" s="40"/>
      <c r="P15" s="40"/>
      <c r="Q15" s="40"/>
      <c r="R15" s="40"/>
      <c r="S15" s="40"/>
      <c r="T15" s="40"/>
      <c r="U15" s="41"/>
      <c r="V15" s="27"/>
      <c r="W15" s="37"/>
    </row>
    <row r="16" spans="1:27" ht="16.5" x14ac:dyDescent="0.25">
      <c r="A16" s="14"/>
      <c r="B16" s="34"/>
      <c r="C16" s="57"/>
      <c r="D16" s="57"/>
      <c r="E16" s="57"/>
      <c r="F16" s="57"/>
      <c r="G16" s="57"/>
      <c r="H16" s="40"/>
      <c r="I16" s="34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40"/>
      <c r="U16" s="41"/>
      <c r="V16" s="27"/>
      <c r="W16" s="37"/>
    </row>
    <row r="17" spans="1:23" ht="16.5" x14ac:dyDescent="0.25">
      <c r="A17" s="14"/>
      <c r="B17" s="34"/>
      <c r="C17" s="57"/>
      <c r="D17" s="57"/>
      <c r="E17" s="57"/>
      <c r="F17" s="57"/>
      <c r="G17" s="57"/>
      <c r="H17" s="40"/>
      <c r="I17" s="34"/>
      <c r="J17" s="40"/>
      <c r="K17" s="40"/>
      <c r="L17" s="40"/>
      <c r="M17" s="34"/>
      <c r="N17" s="40"/>
      <c r="O17" s="40"/>
      <c r="P17" s="40"/>
      <c r="Q17" s="40"/>
      <c r="R17" s="40"/>
      <c r="S17" s="40"/>
      <c r="T17" s="40"/>
      <c r="U17" s="41"/>
      <c r="V17" s="27"/>
      <c r="W17" s="37"/>
    </row>
    <row r="18" spans="1:23" ht="16.5" x14ac:dyDescent="0.25">
      <c r="A18" s="14"/>
      <c r="B18" s="34"/>
      <c r="C18" s="57"/>
      <c r="D18" s="57"/>
      <c r="E18" s="57"/>
      <c r="F18" s="57"/>
      <c r="G18" s="57"/>
      <c r="H18" s="40"/>
      <c r="I18" s="34"/>
      <c r="J18" s="40"/>
      <c r="K18" s="40"/>
      <c r="L18" s="40"/>
      <c r="M18" s="34"/>
      <c r="N18" s="40"/>
      <c r="O18" s="40"/>
      <c r="P18" s="40"/>
      <c r="Q18" s="40"/>
      <c r="R18" s="40"/>
      <c r="S18" s="40"/>
      <c r="T18" s="40"/>
      <c r="U18" s="41"/>
      <c r="V18" s="27"/>
      <c r="W18" s="37"/>
    </row>
    <row r="19" spans="1:23" ht="16.5" x14ac:dyDescent="0.25">
      <c r="A19" s="14"/>
      <c r="B19" s="34"/>
      <c r="C19" s="57"/>
      <c r="D19" s="57"/>
      <c r="E19" s="57"/>
      <c r="F19" s="57"/>
      <c r="G19" s="57"/>
      <c r="H19" s="40"/>
      <c r="I19" s="34"/>
      <c r="J19" s="40"/>
      <c r="K19" s="40"/>
      <c r="L19" s="40"/>
      <c r="M19" s="34"/>
      <c r="N19" s="40"/>
      <c r="O19" s="40"/>
      <c r="P19" s="40"/>
      <c r="Q19" s="40"/>
      <c r="R19" s="40"/>
      <c r="S19" s="40"/>
      <c r="T19" s="40"/>
      <c r="U19" s="41"/>
      <c r="V19" s="27"/>
      <c r="W19" s="37"/>
    </row>
    <row r="20" spans="1:23" ht="16.5" x14ac:dyDescent="0.25">
      <c r="A20" s="14"/>
      <c r="B20" s="34"/>
      <c r="C20" s="57"/>
      <c r="D20" s="57"/>
      <c r="E20" s="57"/>
      <c r="F20" s="57"/>
      <c r="G20" s="57"/>
      <c r="H20" s="40"/>
      <c r="I20" s="34"/>
      <c r="J20" s="40"/>
      <c r="K20" s="40"/>
      <c r="L20" s="40"/>
      <c r="M20" s="34"/>
      <c r="N20" s="40"/>
      <c r="O20" s="40"/>
      <c r="P20" s="40"/>
      <c r="Q20" s="40"/>
      <c r="R20" s="40"/>
      <c r="S20" s="40"/>
      <c r="T20" s="40"/>
      <c r="U20" s="41"/>
      <c r="V20" s="27"/>
      <c r="W20" s="37"/>
    </row>
    <row r="21" spans="1:23" ht="16.5" x14ac:dyDescent="0.25">
      <c r="A21" s="14"/>
      <c r="B21" s="34"/>
      <c r="C21" s="57"/>
      <c r="D21" s="57"/>
      <c r="E21" s="57"/>
      <c r="F21" s="57"/>
      <c r="G21" s="57"/>
      <c r="H21" s="40"/>
      <c r="I21" s="34"/>
      <c r="J21" s="40"/>
      <c r="K21" s="40"/>
      <c r="L21" s="40"/>
      <c r="M21" s="34"/>
      <c r="N21" s="40"/>
      <c r="O21" s="40"/>
      <c r="P21" s="40"/>
      <c r="Q21" s="40"/>
      <c r="R21" s="40"/>
      <c r="S21" s="40"/>
      <c r="T21" s="40"/>
      <c r="U21" s="41"/>
      <c r="V21" s="27"/>
      <c r="W21" s="37"/>
    </row>
    <row r="22" spans="1:23" ht="16.5" x14ac:dyDescent="0.25">
      <c r="A22" s="14"/>
      <c r="B22" s="34"/>
      <c r="C22" s="57"/>
      <c r="D22" s="57"/>
      <c r="E22" s="57"/>
      <c r="F22" s="57"/>
      <c r="G22" s="57"/>
      <c r="H22" s="40"/>
      <c r="I22" s="34"/>
      <c r="J22" s="40"/>
      <c r="K22" s="40"/>
      <c r="L22" s="40"/>
      <c r="M22" s="34"/>
      <c r="N22" s="40"/>
      <c r="O22" s="40"/>
      <c r="P22" s="40"/>
      <c r="Q22" s="40"/>
      <c r="R22" s="40"/>
      <c r="S22" s="40"/>
      <c r="T22" s="40"/>
      <c r="U22" s="41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41"/>
      <c r="V23" s="27"/>
      <c r="W23" s="37"/>
    </row>
    <row r="24" spans="1:23" ht="16.5" x14ac:dyDescent="0.25">
      <c r="A24" s="14"/>
      <c r="B24" s="35" t="s">
        <v>51</v>
      </c>
      <c r="C24" s="35"/>
      <c r="D24" s="35"/>
      <c r="E24" s="35"/>
      <c r="F24" s="35"/>
      <c r="G24" s="35"/>
      <c r="H24" s="42">
        <f t="shared" ref="H24:U24" si="0">SUM(H12:H23)</f>
        <v>0</v>
      </c>
      <c r="I24" s="42">
        <f t="shared" si="0"/>
        <v>0</v>
      </c>
      <c r="J24" s="42">
        <f t="shared" si="0"/>
        <v>0</v>
      </c>
      <c r="K24" s="42">
        <f t="shared" si="0"/>
        <v>0</v>
      </c>
      <c r="L24" s="42">
        <f t="shared" si="0"/>
        <v>0</v>
      </c>
      <c r="M24" s="42">
        <f t="shared" si="0"/>
        <v>0</v>
      </c>
      <c r="N24" s="42">
        <f t="shared" si="0"/>
        <v>0</v>
      </c>
      <c r="O24" s="42">
        <f t="shared" si="0"/>
        <v>0</v>
      </c>
      <c r="P24" s="42">
        <f t="shared" si="0"/>
        <v>0</v>
      </c>
      <c r="Q24" s="42">
        <f t="shared" si="0"/>
        <v>0</v>
      </c>
      <c r="R24" s="42">
        <f t="shared" si="0"/>
        <v>0</v>
      </c>
      <c r="S24" s="42">
        <f t="shared" si="0"/>
        <v>0</v>
      </c>
      <c r="T24" s="42">
        <f t="shared" si="0"/>
        <v>0</v>
      </c>
      <c r="U24" s="42">
        <f t="shared" si="0"/>
        <v>0</v>
      </c>
      <c r="V24" s="27"/>
      <c r="W24" s="37"/>
    </row>
    <row r="25" spans="1:23" ht="17.25" thickBot="1" x14ac:dyDescent="0.3">
      <c r="A25" s="14"/>
      <c r="B25" s="38" t="s">
        <v>45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W25" s="37"/>
    </row>
    <row r="26" spans="1:23" ht="18" thickTop="1" thickBot="1" x14ac:dyDescent="0.3">
      <c r="A26" s="16"/>
      <c r="B26" s="18"/>
      <c r="C26" s="18"/>
      <c r="D26" s="18"/>
      <c r="E26" s="18"/>
      <c r="F26" s="18"/>
      <c r="G26" s="18"/>
      <c r="H26" s="4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44"/>
    </row>
    <row r="27" spans="1:23" ht="15.75" customHeight="1" x14ac:dyDescent="0.25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2"/>
      <c r="L27" s="96" t="s">
        <v>47</v>
      </c>
      <c r="M27" s="96"/>
      <c r="N27" s="96"/>
      <c r="O27" s="96"/>
      <c r="P27" s="96"/>
      <c r="Q27" s="96" t="s">
        <v>48</v>
      </c>
      <c r="R27" s="96"/>
      <c r="S27" s="96"/>
      <c r="T27" s="96"/>
      <c r="U27" s="119"/>
    </row>
    <row r="28" spans="1:23" ht="71.25" customHeight="1" x14ac:dyDescent="0.25">
      <c r="A28" s="123" t="s">
        <v>49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5"/>
      <c r="L28" s="107" t="s">
        <v>54</v>
      </c>
      <c r="M28" s="108"/>
      <c r="N28" s="108"/>
      <c r="O28" s="108"/>
      <c r="P28" s="109"/>
      <c r="Q28" s="110" t="s">
        <v>56</v>
      </c>
      <c r="R28" s="111"/>
      <c r="S28" s="111"/>
      <c r="T28" s="111"/>
      <c r="U28" s="112"/>
    </row>
    <row r="29" spans="1:23" ht="15.75" customHeight="1" x14ac:dyDescent="0.2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8"/>
      <c r="L29" s="113" t="s">
        <v>55</v>
      </c>
      <c r="M29" s="114"/>
      <c r="N29" s="114"/>
      <c r="O29" s="114"/>
      <c r="P29" s="115"/>
      <c r="Q29" s="116" t="s">
        <v>53</v>
      </c>
      <c r="R29" s="117"/>
      <c r="S29" s="117"/>
      <c r="T29" s="117"/>
      <c r="U29" s="118"/>
    </row>
    <row r="30" spans="1:23" ht="15" customHeight="1" x14ac:dyDescent="0.25">
      <c r="A30" s="17"/>
    </row>
    <row r="31" spans="1:23" x14ac:dyDescent="0.25">
      <c r="A31" s="17"/>
      <c r="H31" s="27"/>
      <c r="P31" s="45"/>
      <c r="Q31" s="45"/>
      <c r="R31" s="45"/>
      <c r="S31" s="45"/>
      <c r="T31" s="45"/>
    </row>
    <row r="32" spans="1:23" x14ac:dyDescent="0.25">
      <c r="A32" s="17"/>
      <c r="B32" s="46"/>
      <c r="C32" s="46"/>
      <c r="D32" s="46"/>
      <c r="E32" s="46"/>
      <c r="F32" s="46"/>
      <c r="G32" s="46"/>
      <c r="P32" s="47"/>
      <c r="Q32" s="47"/>
      <c r="R32" s="47"/>
      <c r="S32" s="47"/>
      <c r="T32" s="47"/>
    </row>
    <row r="33" spans="1:9" ht="16.5" x14ac:dyDescent="0.25">
      <c r="A33" s="17"/>
      <c r="B33" s="46"/>
      <c r="C33" s="46"/>
      <c r="D33" s="46"/>
      <c r="E33" s="46"/>
      <c r="F33" s="46"/>
      <c r="G33" s="46"/>
      <c r="H33" s="48"/>
      <c r="I33" s="46"/>
    </row>
    <row r="34" spans="1:9" ht="16.5" x14ac:dyDescent="0.25">
      <c r="A34" s="17"/>
      <c r="B34" s="46"/>
      <c r="C34" s="46"/>
      <c r="D34" s="46"/>
      <c r="E34" s="46"/>
      <c r="F34" s="46"/>
      <c r="G34" s="46"/>
      <c r="H34" s="48"/>
      <c r="I34" s="46"/>
    </row>
    <row r="35" spans="1:9" ht="16.5" x14ac:dyDescent="0.25">
      <c r="A35" s="17"/>
      <c r="B35" s="46"/>
      <c r="C35" s="46"/>
      <c r="D35" s="46"/>
      <c r="E35" s="46"/>
      <c r="F35" s="46"/>
      <c r="G35" s="46"/>
      <c r="H35" s="48"/>
      <c r="I35" s="46"/>
    </row>
    <row r="36" spans="1:9" ht="16.5" x14ac:dyDescent="0.25">
      <c r="A36" s="17"/>
      <c r="B36" s="46"/>
      <c r="C36" s="46"/>
      <c r="D36" s="46"/>
      <c r="E36" s="46"/>
      <c r="F36" s="46"/>
      <c r="G36" s="46"/>
      <c r="H36" s="48"/>
      <c r="I36" s="46"/>
    </row>
    <row r="37" spans="1:9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9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9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9" x14ac:dyDescent="0.25">
      <c r="A40" s="17"/>
      <c r="B40" s="46"/>
      <c r="C40" s="46"/>
      <c r="D40" s="46"/>
      <c r="E40" s="46"/>
      <c r="F40" s="46"/>
      <c r="G40" s="46"/>
      <c r="H40" s="17"/>
    </row>
    <row r="41" spans="1:9" x14ac:dyDescent="0.25">
      <c r="A41" s="17"/>
      <c r="B41" s="46"/>
      <c r="C41" s="46"/>
      <c r="D41" s="46"/>
      <c r="E41" s="46"/>
      <c r="F41" s="46"/>
      <c r="G41" s="46"/>
      <c r="H41" s="17"/>
    </row>
    <row r="42" spans="1:9" x14ac:dyDescent="0.25">
      <c r="A42" s="17"/>
      <c r="B42" s="46"/>
      <c r="C42" s="46"/>
      <c r="D42" s="46"/>
      <c r="E42" s="46"/>
      <c r="F42" s="46"/>
      <c r="G42" s="46"/>
      <c r="H42" s="17"/>
    </row>
    <row r="43" spans="1:9" x14ac:dyDescent="0.25">
      <c r="A43" s="17"/>
      <c r="B43" s="46"/>
      <c r="C43" s="46"/>
      <c r="D43" s="46"/>
      <c r="E43" s="46"/>
      <c r="F43" s="46"/>
      <c r="G43" s="46"/>
      <c r="H43" s="17"/>
    </row>
    <row r="44" spans="1:9" x14ac:dyDescent="0.25">
      <c r="A44" s="17"/>
      <c r="B44" s="46"/>
      <c r="C44" s="46"/>
      <c r="D44" s="46"/>
      <c r="E44" s="46"/>
      <c r="F44" s="46"/>
      <c r="G44" s="46"/>
      <c r="H44" s="27"/>
    </row>
    <row r="45" spans="1:9" x14ac:dyDescent="0.25">
      <c r="A45" s="17"/>
      <c r="B45" s="49"/>
      <c r="C45" s="49"/>
      <c r="D45" s="49"/>
      <c r="E45" s="49"/>
      <c r="F45" s="49"/>
      <c r="G45" s="49"/>
      <c r="H45" s="27"/>
    </row>
    <row r="46" spans="1:9" x14ac:dyDescent="0.25">
      <c r="A46" s="17"/>
      <c r="B46" s="50"/>
      <c r="C46" s="50"/>
      <c r="D46" s="50"/>
      <c r="E46" s="50"/>
      <c r="F46" s="50"/>
      <c r="G46" s="50"/>
    </row>
    <row r="47" spans="1:9" x14ac:dyDescent="0.25">
      <c r="A47" s="17"/>
      <c r="B47" s="51"/>
      <c r="C47" s="51"/>
      <c r="D47" s="51"/>
      <c r="E47" s="51"/>
      <c r="F47" s="51"/>
      <c r="G47" s="51"/>
    </row>
    <row r="48" spans="1:9" x14ac:dyDescent="0.25">
      <c r="A48" s="17"/>
      <c r="B48" s="52"/>
      <c r="C48" s="52"/>
      <c r="D48" s="52"/>
      <c r="E48" s="52"/>
      <c r="F48" s="52"/>
      <c r="G48" s="52"/>
    </row>
    <row r="49" spans="1:7" x14ac:dyDescent="0.25">
      <c r="A49" s="17"/>
      <c r="B49" s="46"/>
      <c r="C49" s="46"/>
      <c r="D49" s="46"/>
      <c r="E49" s="46"/>
      <c r="F49" s="46"/>
      <c r="G49" s="46"/>
    </row>
    <row r="50" spans="1:7" x14ac:dyDescent="0.25">
      <c r="A50" s="17"/>
      <c r="B50" s="46"/>
      <c r="C50" s="46"/>
      <c r="D50" s="46"/>
      <c r="E50" s="46"/>
      <c r="F50" s="46"/>
      <c r="G50" s="46"/>
    </row>
    <row r="51" spans="1:7" x14ac:dyDescent="0.25">
      <c r="A51" s="17"/>
      <c r="B51" s="46"/>
      <c r="C51" s="46"/>
      <c r="D51" s="46"/>
      <c r="E51" s="46"/>
      <c r="F51" s="46"/>
      <c r="G51" s="46"/>
    </row>
    <row r="52" spans="1:7" x14ac:dyDescent="0.25">
      <c r="A52" s="17"/>
      <c r="B52" s="46"/>
      <c r="C52" s="46"/>
      <c r="D52" s="46"/>
      <c r="E52" s="46"/>
      <c r="F52" s="46"/>
      <c r="G52" s="46"/>
    </row>
    <row r="53" spans="1:7" x14ac:dyDescent="0.25">
      <c r="A53" s="17"/>
      <c r="B53" s="46"/>
      <c r="C53" s="46"/>
      <c r="D53" s="46"/>
      <c r="E53" s="46"/>
      <c r="F53" s="46"/>
      <c r="G53" s="46"/>
    </row>
    <row r="54" spans="1:7" x14ac:dyDescent="0.25">
      <c r="A54" s="17"/>
      <c r="B54" s="46"/>
      <c r="C54" s="46"/>
      <c r="D54" s="46"/>
      <c r="E54" s="46"/>
      <c r="F54" s="46"/>
      <c r="G54" s="46"/>
    </row>
    <row r="55" spans="1:7" x14ac:dyDescent="0.25">
      <c r="A55" s="17"/>
      <c r="B55" s="46"/>
      <c r="C55" s="46"/>
      <c r="D55" s="46"/>
      <c r="E55" s="46"/>
      <c r="F55" s="46"/>
      <c r="G55" s="46"/>
    </row>
    <row r="56" spans="1:7" x14ac:dyDescent="0.25">
      <c r="A56" s="17"/>
      <c r="B56" s="46"/>
      <c r="C56" s="46"/>
      <c r="D56" s="46"/>
      <c r="E56" s="46"/>
      <c r="F56" s="46"/>
      <c r="G56" s="46"/>
    </row>
    <row r="57" spans="1:7" x14ac:dyDescent="0.25">
      <c r="A57" s="17"/>
      <c r="B57" s="46"/>
      <c r="C57" s="46"/>
      <c r="D57" s="46"/>
      <c r="E57" s="46"/>
      <c r="F57" s="46"/>
      <c r="G57" s="46"/>
    </row>
    <row r="58" spans="1:7" x14ac:dyDescent="0.25">
      <c r="A58" s="17"/>
      <c r="B58" s="46"/>
      <c r="C58" s="46"/>
      <c r="D58" s="46"/>
      <c r="E58" s="46"/>
      <c r="F58" s="46"/>
      <c r="G58" s="46"/>
    </row>
    <row r="59" spans="1:7" x14ac:dyDescent="0.25">
      <c r="A59" s="17"/>
      <c r="B59" s="46"/>
      <c r="C59" s="46"/>
      <c r="D59" s="46"/>
      <c r="E59" s="46"/>
      <c r="F59" s="46"/>
      <c r="G59" s="46"/>
    </row>
    <row r="60" spans="1:7" x14ac:dyDescent="0.25">
      <c r="A60" s="17"/>
      <c r="B60" s="46"/>
      <c r="C60" s="46"/>
      <c r="D60" s="46"/>
      <c r="E60" s="46"/>
      <c r="F60" s="46"/>
      <c r="G60" s="46"/>
    </row>
    <row r="61" spans="1:7" x14ac:dyDescent="0.25">
      <c r="A61" s="17"/>
    </row>
    <row r="62" spans="1:7" x14ac:dyDescent="0.25">
      <c r="A62" s="17"/>
    </row>
    <row r="63" spans="1:7" x14ac:dyDescent="0.25">
      <c r="A63" s="17"/>
    </row>
    <row r="64" spans="1:7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</sheetData>
  <mergeCells count="11">
    <mergeCell ref="S2:T2"/>
    <mergeCell ref="L28:P28"/>
    <mergeCell ref="Q28:U28"/>
    <mergeCell ref="L29:P29"/>
    <mergeCell ref="Q29:U29"/>
    <mergeCell ref="M5:Q6"/>
    <mergeCell ref="I9:T9"/>
    <mergeCell ref="L27:P27"/>
    <mergeCell ref="Q27:U27"/>
    <mergeCell ref="A27:K27"/>
    <mergeCell ref="A28:K29"/>
  </mergeCells>
  <pageMargins left="0.35433070866141736" right="0.31496062992125984" top="0.74803149606299213" bottom="0.43307086614173229" header="0.31496062992125984" footer="0.31496062992125984"/>
  <pageSetup scale="32" fitToHeight="2" orientation="landscape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89"/>
  <sheetViews>
    <sheetView showGridLines="0" tabSelected="1" zoomScale="80" zoomScaleNormal="80" workbookViewId="0">
      <selection activeCell="G16" sqref="G16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>
        <f ca="1">TODAY()</f>
        <v>45736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55"/>
      <c r="B11" s="56" t="s">
        <v>32</v>
      </c>
      <c r="C11" s="56"/>
      <c r="D11" s="56"/>
      <c r="E11" s="56"/>
      <c r="F11" s="56"/>
      <c r="G11" s="56"/>
      <c r="H11" s="6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</row>
    <row r="12" spans="1:27" ht="16.5" x14ac:dyDescent="0.25">
      <c r="A12" s="67"/>
      <c r="B12" s="8"/>
      <c r="C12" s="8"/>
      <c r="D12" s="8"/>
      <c r="E12" s="8"/>
      <c r="F12" s="8"/>
      <c r="G12" s="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27"/>
    </row>
    <row r="13" spans="1:27" ht="16.5" x14ac:dyDescent="0.25">
      <c r="A13" s="67"/>
      <c r="B13" s="8"/>
      <c r="C13" s="8"/>
      <c r="D13" s="8"/>
      <c r="E13" s="8"/>
      <c r="F13" s="8"/>
      <c r="G13" s="8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27"/>
    </row>
    <row r="14" spans="1:27" ht="16.5" x14ac:dyDescent="0.25">
      <c r="A14" s="67"/>
      <c r="B14" s="8"/>
      <c r="C14" s="8"/>
      <c r="D14" s="8"/>
      <c r="E14" s="8"/>
      <c r="F14" s="8"/>
      <c r="G14" s="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27"/>
    </row>
    <row r="15" spans="1:27" ht="16.5" x14ac:dyDescent="0.25">
      <c r="A15" s="67"/>
      <c r="B15" s="8"/>
      <c r="C15" s="8"/>
      <c r="D15" s="8"/>
      <c r="E15" s="8"/>
      <c r="F15" s="8"/>
      <c r="G15" s="8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27"/>
    </row>
    <row r="16" spans="1:27" ht="16.5" x14ac:dyDescent="0.25">
      <c r="A16" s="67"/>
      <c r="B16" s="8"/>
      <c r="C16" s="8"/>
      <c r="D16" s="8"/>
      <c r="E16" s="8"/>
      <c r="F16" s="8"/>
      <c r="G16" s="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27"/>
    </row>
    <row r="17" spans="1:23" ht="16.5" x14ac:dyDescent="0.25">
      <c r="A17" s="67"/>
      <c r="B17" s="8"/>
      <c r="C17" s="8"/>
      <c r="D17" s="8"/>
      <c r="E17" s="8"/>
      <c r="F17" s="8"/>
      <c r="G17" s="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27"/>
    </row>
    <row r="18" spans="1:23" ht="16.5" x14ac:dyDescent="0.25">
      <c r="A18" s="67"/>
      <c r="B18" s="8"/>
      <c r="C18" s="8"/>
      <c r="D18" s="8"/>
      <c r="E18" s="8"/>
      <c r="F18" s="8"/>
      <c r="G18" s="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27"/>
    </row>
    <row r="19" spans="1:23" ht="16.5" x14ac:dyDescent="0.25">
      <c r="A19" s="67"/>
      <c r="B19" s="8"/>
      <c r="C19" s="8"/>
      <c r="D19" s="8"/>
      <c r="E19" s="8"/>
      <c r="F19" s="8"/>
      <c r="G19" s="8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27"/>
    </row>
    <row r="20" spans="1:23" ht="16.5" x14ac:dyDescent="0.25">
      <c r="A20" s="67"/>
      <c r="B20" s="8"/>
      <c r="C20" s="8"/>
      <c r="D20" s="8"/>
      <c r="E20" s="8"/>
      <c r="F20" s="8"/>
      <c r="G20" s="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27"/>
    </row>
    <row r="21" spans="1:23" ht="16.5" x14ac:dyDescent="0.25">
      <c r="A21" s="67"/>
      <c r="B21" s="8"/>
      <c r="C21" s="8"/>
      <c r="D21" s="8"/>
      <c r="E21" s="8"/>
      <c r="F21" s="8"/>
      <c r="G21" s="8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27"/>
    </row>
    <row r="22" spans="1:23" ht="16.5" x14ac:dyDescent="0.25">
      <c r="A22" s="67"/>
      <c r="B22" s="8"/>
      <c r="C22" s="8"/>
      <c r="D22" s="8"/>
      <c r="E22" s="8"/>
      <c r="F22" s="8"/>
      <c r="G22" s="8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27"/>
    </row>
    <row r="23" spans="1:23" ht="16.5" x14ac:dyDescent="0.25">
      <c r="A23" s="67"/>
      <c r="B23" s="8"/>
      <c r="C23" s="8"/>
      <c r="D23" s="8"/>
      <c r="E23" s="8"/>
      <c r="F23" s="8"/>
      <c r="G23" s="8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27"/>
    </row>
    <row r="24" spans="1:23" ht="16.5" x14ac:dyDescent="0.25">
      <c r="A24" s="7"/>
      <c r="B24" s="54" t="s">
        <v>50</v>
      </c>
      <c r="C24" s="54"/>
      <c r="D24" s="54"/>
      <c r="E24" s="54"/>
      <c r="F24" s="54"/>
      <c r="G24" s="54"/>
      <c r="H24" s="66">
        <f>SUM(H12:H23)</f>
        <v>0</v>
      </c>
      <c r="I24" s="36">
        <f t="shared" ref="I24:T24" si="0">SUM(I12:I23)</f>
        <v>0</v>
      </c>
      <c r="J24" s="36">
        <f t="shared" si="0"/>
        <v>0</v>
      </c>
      <c r="K24" s="36">
        <f t="shared" si="0"/>
        <v>0</v>
      </c>
      <c r="L24" s="36">
        <f t="shared" si="0"/>
        <v>0</v>
      </c>
      <c r="M24" s="36">
        <f t="shared" si="0"/>
        <v>0</v>
      </c>
      <c r="N24" s="36">
        <f t="shared" si="0"/>
        <v>0</v>
      </c>
      <c r="O24" s="36">
        <f t="shared" si="0"/>
        <v>0</v>
      </c>
      <c r="P24" s="36">
        <f t="shared" si="0"/>
        <v>0</v>
      </c>
      <c r="Q24" s="36">
        <f t="shared" si="0"/>
        <v>0</v>
      </c>
      <c r="R24" s="36">
        <f t="shared" si="0"/>
        <v>0</v>
      </c>
      <c r="S24" s="36">
        <f t="shared" si="0"/>
        <v>0</v>
      </c>
      <c r="T24" s="36">
        <f t="shared" si="0"/>
        <v>0</v>
      </c>
      <c r="U24" s="36">
        <f>SUM(U12:U23)</f>
        <v>0</v>
      </c>
      <c r="V24" s="27"/>
      <c r="W24" s="37"/>
    </row>
    <row r="25" spans="1:23" ht="17.25" thickBot="1" x14ac:dyDescent="0.3">
      <c r="A25" s="15"/>
      <c r="B25" s="38" t="s">
        <v>43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V25" s="27"/>
      <c r="W25" s="37"/>
    </row>
    <row r="26" spans="1:23" ht="17.25" thickTop="1" x14ac:dyDescent="0.25">
      <c r="A26" s="13"/>
      <c r="B26" s="24" t="s">
        <v>44</v>
      </c>
      <c r="C26" s="24"/>
      <c r="D26" s="24"/>
      <c r="E26" s="24"/>
      <c r="F26" s="24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41"/>
      <c r="V27" s="27"/>
      <c r="W27" s="37"/>
    </row>
    <row r="28" spans="1:23" ht="16.5" x14ac:dyDescent="0.25">
      <c r="A28" s="14"/>
      <c r="B28" s="34"/>
      <c r="C28" s="57"/>
      <c r="D28" s="57"/>
      <c r="E28" s="57"/>
      <c r="F28" s="57"/>
      <c r="G28" s="57"/>
      <c r="H28" s="40"/>
      <c r="I28" s="34"/>
      <c r="J28" s="40"/>
      <c r="K28" s="40"/>
      <c r="L28" s="40"/>
      <c r="M28" s="34"/>
      <c r="N28" s="40"/>
      <c r="O28" s="40"/>
      <c r="P28" s="40"/>
      <c r="Q28" s="40"/>
      <c r="R28" s="40"/>
      <c r="S28" s="40"/>
      <c r="T28" s="40"/>
      <c r="U28" s="41"/>
      <c r="V28" s="27"/>
      <c r="W28" s="37"/>
    </row>
    <row r="29" spans="1:23" ht="16.5" x14ac:dyDescent="0.25">
      <c r="A29" s="14"/>
      <c r="B29" s="34"/>
      <c r="C29" s="57"/>
      <c r="D29" s="57"/>
      <c r="E29" s="57"/>
      <c r="F29" s="57"/>
      <c r="G29" s="57"/>
      <c r="H29" s="40"/>
      <c r="I29" s="34"/>
      <c r="J29" s="40"/>
      <c r="K29" s="40"/>
      <c r="L29" s="40"/>
      <c r="M29" s="34"/>
      <c r="N29" s="40"/>
      <c r="O29" s="40"/>
      <c r="P29" s="40"/>
      <c r="Q29" s="40"/>
      <c r="R29" s="40"/>
      <c r="S29" s="40"/>
      <c r="T29" s="40"/>
      <c r="U29" s="41"/>
      <c r="V29" s="27"/>
      <c r="W29" s="37"/>
    </row>
    <row r="30" spans="1:23" ht="16.5" x14ac:dyDescent="0.25">
      <c r="A30" s="14"/>
      <c r="B30" s="34"/>
      <c r="C30" s="57"/>
      <c r="D30" s="57"/>
      <c r="E30" s="57"/>
      <c r="F30" s="57"/>
      <c r="G30" s="57"/>
      <c r="H30" s="40"/>
      <c r="I30" s="34"/>
      <c r="J30" s="40"/>
      <c r="K30" s="40"/>
      <c r="L30" s="40"/>
      <c r="M30" s="34"/>
      <c r="N30" s="40"/>
      <c r="O30" s="40"/>
      <c r="P30" s="40"/>
      <c r="Q30" s="40"/>
      <c r="R30" s="40"/>
      <c r="S30" s="40"/>
      <c r="T30" s="40"/>
      <c r="U30" s="41"/>
      <c r="V30" s="27"/>
      <c r="W30" s="37"/>
    </row>
    <row r="31" spans="1:23" ht="16.5" x14ac:dyDescent="0.25">
      <c r="A31" s="14"/>
      <c r="B31" s="34"/>
      <c r="C31" s="57"/>
      <c r="D31" s="57"/>
      <c r="E31" s="57"/>
      <c r="F31" s="57"/>
      <c r="G31" s="57"/>
      <c r="H31" s="40"/>
      <c r="I31" s="34"/>
      <c r="J31" s="40"/>
      <c r="K31" s="40"/>
      <c r="L31" s="40"/>
      <c r="M31" s="34"/>
      <c r="N31" s="40"/>
      <c r="O31" s="40"/>
      <c r="P31" s="40"/>
      <c r="Q31" s="40"/>
      <c r="R31" s="40"/>
      <c r="S31" s="40"/>
      <c r="T31" s="40"/>
      <c r="U31" s="41"/>
      <c r="V31" s="27"/>
      <c r="W31" s="37"/>
    </row>
    <row r="32" spans="1:23" ht="16.5" x14ac:dyDescent="0.25">
      <c r="A32" s="14"/>
      <c r="B32" s="34"/>
      <c r="C32" s="57"/>
      <c r="D32" s="57"/>
      <c r="E32" s="57"/>
      <c r="F32" s="57"/>
      <c r="G32" s="57"/>
      <c r="H32" s="40"/>
      <c r="I32" s="34"/>
      <c r="J32" s="40"/>
      <c r="K32" s="40"/>
      <c r="L32" s="40"/>
      <c r="M32" s="34"/>
      <c r="N32" s="40"/>
      <c r="O32" s="40"/>
      <c r="P32" s="40"/>
      <c r="Q32" s="40"/>
      <c r="R32" s="40"/>
      <c r="S32" s="40"/>
      <c r="T32" s="40"/>
      <c r="U32" s="41"/>
      <c r="V32" s="27"/>
      <c r="W32" s="37"/>
    </row>
    <row r="33" spans="1:23" ht="16.5" x14ac:dyDescent="0.25">
      <c r="A33" s="14"/>
      <c r="B33" s="34"/>
      <c r="C33" s="57"/>
      <c r="D33" s="57"/>
      <c r="E33" s="57"/>
      <c r="F33" s="57"/>
      <c r="G33" s="57"/>
      <c r="H33" s="40"/>
      <c r="I33" s="34"/>
      <c r="J33" s="40"/>
      <c r="K33" s="40"/>
      <c r="L33" s="40"/>
      <c r="M33" s="34"/>
      <c r="N33" s="40"/>
      <c r="O33" s="40"/>
      <c r="P33" s="40"/>
      <c r="Q33" s="40"/>
      <c r="R33" s="40"/>
      <c r="S33" s="40"/>
      <c r="T33" s="40"/>
      <c r="U33" s="41"/>
      <c r="V33" s="27"/>
      <c r="W33" s="37"/>
    </row>
    <row r="34" spans="1:23" ht="16.5" x14ac:dyDescent="0.25">
      <c r="A34" s="14"/>
      <c r="B34" s="34"/>
      <c r="C34" s="57"/>
      <c r="D34" s="57"/>
      <c r="E34" s="57"/>
      <c r="F34" s="57"/>
      <c r="G34" s="57"/>
      <c r="H34" s="40"/>
      <c r="I34" s="34"/>
      <c r="J34" s="40"/>
      <c r="K34" s="40"/>
      <c r="L34" s="40"/>
      <c r="M34" s="34"/>
      <c r="N34" s="40"/>
      <c r="O34" s="40"/>
      <c r="P34" s="40"/>
      <c r="Q34" s="40"/>
      <c r="R34" s="40"/>
      <c r="S34" s="40"/>
      <c r="T34" s="40"/>
      <c r="U34" s="41"/>
      <c r="V34" s="27"/>
      <c r="W34" s="37"/>
    </row>
    <row r="35" spans="1:23" ht="16.5" x14ac:dyDescent="0.25">
      <c r="A35" s="14"/>
      <c r="B35" s="34"/>
      <c r="C35" s="57"/>
      <c r="D35" s="57"/>
      <c r="E35" s="57"/>
      <c r="F35" s="57"/>
      <c r="G35" s="57"/>
      <c r="H35" s="40"/>
      <c r="I35" s="34"/>
      <c r="J35" s="40"/>
      <c r="K35" s="40"/>
      <c r="L35" s="40"/>
      <c r="M35" s="34"/>
      <c r="N35" s="40"/>
      <c r="O35" s="40"/>
      <c r="P35" s="40"/>
      <c r="Q35" s="40"/>
      <c r="R35" s="40"/>
      <c r="S35" s="40"/>
      <c r="T35" s="40"/>
      <c r="U35" s="41"/>
      <c r="V35" s="27"/>
      <c r="W35" s="37"/>
    </row>
    <row r="36" spans="1:23" ht="16.5" x14ac:dyDescent="0.25">
      <c r="A36" s="14"/>
      <c r="B36" s="34"/>
      <c r="C36" s="57"/>
      <c r="D36" s="57"/>
      <c r="E36" s="57"/>
      <c r="F36" s="57"/>
      <c r="G36" s="57"/>
      <c r="H36" s="40"/>
      <c r="I36" s="34"/>
      <c r="J36" s="40"/>
      <c r="K36" s="40"/>
      <c r="L36" s="40"/>
      <c r="M36" s="34"/>
      <c r="N36" s="40"/>
      <c r="O36" s="40"/>
      <c r="P36" s="40"/>
      <c r="Q36" s="40"/>
      <c r="R36" s="40"/>
      <c r="S36" s="40"/>
      <c r="T36" s="40"/>
      <c r="U36" s="41"/>
      <c r="V36" s="27"/>
      <c r="W36" s="37"/>
    </row>
    <row r="37" spans="1:23" ht="16.5" x14ac:dyDescent="0.25">
      <c r="A37" s="14"/>
      <c r="B37" s="34"/>
      <c r="C37" s="57"/>
      <c r="D37" s="57"/>
      <c r="E37" s="57"/>
      <c r="F37" s="57"/>
      <c r="G37" s="57"/>
      <c r="H37" s="40"/>
      <c r="I37" s="34"/>
      <c r="J37" s="40"/>
      <c r="K37" s="40"/>
      <c r="L37" s="40"/>
      <c r="M37" s="34"/>
      <c r="N37" s="40"/>
      <c r="O37" s="40"/>
      <c r="P37" s="40"/>
      <c r="Q37" s="40"/>
      <c r="R37" s="40"/>
      <c r="S37" s="40"/>
      <c r="T37" s="40"/>
      <c r="U37" s="41"/>
      <c r="V37" s="27"/>
      <c r="W37" s="37"/>
    </row>
    <row r="38" spans="1:23" ht="16.5" x14ac:dyDescent="0.25">
      <c r="A38" s="14"/>
      <c r="B38" s="34"/>
      <c r="C38" s="57"/>
      <c r="D38" s="57"/>
      <c r="E38" s="57"/>
      <c r="F38" s="57"/>
      <c r="G38" s="57"/>
      <c r="H38" s="40"/>
      <c r="I38" s="34"/>
      <c r="J38" s="40"/>
      <c r="K38" s="40"/>
      <c r="L38" s="40"/>
      <c r="M38" s="34"/>
      <c r="N38" s="40"/>
      <c r="O38" s="40"/>
      <c r="P38" s="40"/>
      <c r="Q38" s="40"/>
      <c r="R38" s="40"/>
      <c r="S38" s="40"/>
      <c r="T38" s="40"/>
      <c r="U38" s="41"/>
      <c r="V38" s="27"/>
      <c r="W38" s="37"/>
    </row>
    <row r="39" spans="1:23" ht="16.5" x14ac:dyDescent="0.25">
      <c r="A39" s="14"/>
      <c r="B39" s="35" t="s">
        <v>51</v>
      </c>
      <c r="C39" s="35"/>
      <c r="D39" s="35"/>
      <c r="E39" s="35"/>
      <c r="F39" s="35"/>
      <c r="G39" s="35"/>
      <c r="H39" s="42">
        <f t="shared" ref="H39:U39" si="2">SUM(H27:H38)</f>
        <v>0</v>
      </c>
      <c r="I39" s="42">
        <f t="shared" si="2"/>
        <v>0</v>
      </c>
      <c r="J39" s="42">
        <f t="shared" si="2"/>
        <v>0</v>
      </c>
      <c r="K39" s="42">
        <f t="shared" si="2"/>
        <v>0</v>
      </c>
      <c r="L39" s="42">
        <f t="shared" si="2"/>
        <v>0</v>
      </c>
      <c r="M39" s="42">
        <f t="shared" si="2"/>
        <v>0</v>
      </c>
      <c r="N39" s="42">
        <f t="shared" si="2"/>
        <v>0</v>
      </c>
      <c r="O39" s="42">
        <f t="shared" si="2"/>
        <v>0</v>
      </c>
      <c r="P39" s="42">
        <f t="shared" si="2"/>
        <v>0</v>
      </c>
      <c r="Q39" s="42">
        <f t="shared" si="2"/>
        <v>0</v>
      </c>
      <c r="R39" s="42">
        <f t="shared" si="2"/>
        <v>0</v>
      </c>
      <c r="S39" s="42">
        <f t="shared" si="2"/>
        <v>0</v>
      </c>
      <c r="T39" s="42">
        <f t="shared" si="2"/>
        <v>0</v>
      </c>
      <c r="U39" s="42">
        <f t="shared" si="2"/>
        <v>0</v>
      </c>
      <c r="V39" s="27"/>
      <c r="W39" s="37"/>
    </row>
    <row r="40" spans="1:23" ht="17.25" thickBot="1" x14ac:dyDescent="0.3">
      <c r="A40" s="14"/>
      <c r="B40" s="38" t="s">
        <v>45</v>
      </c>
      <c r="C40" s="38"/>
      <c r="D40" s="38"/>
      <c r="E40" s="38"/>
      <c r="F40" s="38"/>
      <c r="G40" s="38"/>
      <c r="H40" s="39">
        <f>H39</f>
        <v>0</v>
      </c>
      <c r="I40" s="39">
        <f t="shared" ref="I40:U40" si="3">I39</f>
        <v>0</v>
      </c>
      <c r="J40" s="39">
        <f t="shared" si="3"/>
        <v>0</v>
      </c>
      <c r="K40" s="39">
        <f t="shared" si="3"/>
        <v>0</v>
      </c>
      <c r="L40" s="39">
        <f t="shared" si="3"/>
        <v>0</v>
      </c>
      <c r="M40" s="39">
        <f t="shared" si="3"/>
        <v>0</v>
      </c>
      <c r="N40" s="39">
        <f t="shared" si="3"/>
        <v>0</v>
      </c>
      <c r="O40" s="39">
        <f t="shared" si="3"/>
        <v>0</v>
      </c>
      <c r="P40" s="39">
        <f t="shared" si="3"/>
        <v>0</v>
      </c>
      <c r="Q40" s="39">
        <f t="shared" si="3"/>
        <v>0</v>
      </c>
      <c r="R40" s="39">
        <f t="shared" si="3"/>
        <v>0</v>
      </c>
      <c r="S40" s="39">
        <f t="shared" si="3"/>
        <v>0</v>
      </c>
      <c r="T40" s="39">
        <f t="shared" si="3"/>
        <v>0</v>
      </c>
      <c r="U40" s="39">
        <f t="shared" si="3"/>
        <v>0</v>
      </c>
      <c r="W40" s="37"/>
    </row>
    <row r="41" spans="1:23" ht="18" thickTop="1" thickBot="1" x14ac:dyDescent="0.3">
      <c r="A41" s="16"/>
      <c r="B41" s="18"/>
      <c r="C41" s="18"/>
      <c r="D41" s="18"/>
      <c r="E41" s="18"/>
      <c r="F41" s="18"/>
      <c r="G41" s="18"/>
      <c r="H41" s="4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44"/>
    </row>
    <row r="42" spans="1:23" ht="15.75" customHeight="1" thickTop="1" x14ac:dyDescent="0.25">
      <c r="A42" s="120" t="s">
        <v>52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2"/>
      <c r="L42" s="96" t="s">
        <v>47</v>
      </c>
      <c r="M42" s="96"/>
      <c r="N42" s="96"/>
      <c r="O42" s="96"/>
      <c r="P42" s="96"/>
      <c r="Q42" s="96" t="s">
        <v>48</v>
      </c>
      <c r="R42" s="96"/>
      <c r="S42" s="96"/>
      <c r="T42" s="96"/>
      <c r="U42" s="119"/>
    </row>
    <row r="43" spans="1:23" ht="71.25" customHeight="1" x14ac:dyDescent="0.25">
      <c r="A43" s="123" t="s">
        <v>49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5"/>
      <c r="L43" s="107" t="s">
        <v>54</v>
      </c>
      <c r="M43" s="108"/>
      <c r="N43" s="108"/>
      <c r="O43" s="108"/>
      <c r="P43" s="109"/>
      <c r="Q43" s="110" t="s">
        <v>56</v>
      </c>
      <c r="R43" s="111"/>
      <c r="S43" s="111"/>
      <c r="T43" s="111"/>
      <c r="U43" s="112"/>
    </row>
    <row r="44" spans="1:23" ht="15.75" customHeight="1" thickBot="1" x14ac:dyDescent="0.25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8"/>
      <c r="L44" s="113" t="s">
        <v>55</v>
      </c>
      <c r="M44" s="114"/>
      <c r="N44" s="114"/>
      <c r="O44" s="114"/>
      <c r="P44" s="115"/>
      <c r="Q44" s="116" t="s">
        <v>53</v>
      </c>
      <c r="R44" s="117"/>
      <c r="S44" s="117"/>
      <c r="T44" s="117"/>
      <c r="U44" s="118"/>
    </row>
    <row r="45" spans="1:23" ht="15" customHeight="1" x14ac:dyDescent="0.25">
      <c r="A45" s="17"/>
    </row>
    <row r="46" spans="1:23" x14ac:dyDescent="0.25">
      <c r="A46" s="17"/>
      <c r="H46" s="27"/>
      <c r="P46" s="45"/>
      <c r="Q46" s="45"/>
      <c r="R46" s="45"/>
      <c r="S46" s="45"/>
      <c r="T46" s="45"/>
    </row>
    <row r="47" spans="1:23" x14ac:dyDescent="0.25">
      <c r="A47" s="17"/>
      <c r="B47" s="46"/>
      <c r="C47" s="46"/>
      <c r="D47" s="46"/>
      <c r="E47" s="46"/>
      <c r="F47" s="46"/>
      <c r="G47" s="46"/>
      <c r="P47" s="47"/>
      <c r="Q47" s="47"/>
      <c r="R47" s="47"/>
      <c r="S47" s="47"/>
      <c r="T47" s="47"/>
    </row>
    <row r="48" spans="1:23" ht="16.5" x14ac:dyDescent="0.25">
      <c r="A48" s="17"/>
      <c r="B48" s="46"/>
      <c r="C48" s="46"/>
      <c r="D48" s="46"/>
      <c r="E48" s="46"/>
      <c r="F48" s="46"/>
      <c r="G48" s="46"/>
      <c r="H48" s="48"/>
      <c r="I48" s="46"/>
    </row>
    <row r="49" spans="1:9" ht="16.5" x14ac:dyDescent="0.25">
      <c r="A49" s="17"/>
      <c r="B49" s="46"/>
      <c r="C49" s="46"/>
      <c r="D49" s="46"/>
      <c r="E49" s="46"/>
      <c r="F49" s="46"/>
      <c r="G49" s="46"/>
      <c r="H49" s="48"/>
      <c r="I49" s="46"/>
    </row>
    <row r="50" spans="1:9" ht="16.5" x14ac:dyDescent="0.25">
      <c r="A50" s="17"/>
      <c r="B50" s="46"/>
      <c r="C50" s="46"/>
      <c r="D50" s="46"/>
      <c r="E50" s="46"/>
      <c r="F50" s="46"/>
      <c r="G50" s="46"/>
      <c r="H50" s="48"/>
      <c r="I50" s="46"/>
    </row>
    <row r="51" spans="1:9" ht="16.5" x14ac:dyDescent="0.25">
      <c r="A51" s="17"/>
      <c r="B51" s="46"/>
      <c r="C51" s="46"/>
      <c r="D51" s="46"/>
      <c r="E51" s="46"/>
      <c r="F51" s="46"/>
      <c r="G51" s="46"/>
      <c r="H51" s="48"/>
      <c r="I51" s="46"/>
    </row>
    <row r="52" spans="1:9" ht="16.5" x14ac:dyDescent="0.25">
      <c r="A52" s="17"/>
      <c r="B52" s="46"/>
      <c r="C52" s="46"/>
      <c r="D52" s="46"/>
      <c r="E52" s="46"/>
      <c r="F52" s="46"/>
      <c r="G52" s="46"/>
      <c r="H52" s="48"/>
      <c r="I52" s="46"/>
    </row>
    <row r="53" spans="1:9" ht="16.5" x14ac:dyDescent="0.25">
      <c r="A53" s="17"/>
      <c r="B53" s="46"/>
      <c r="C53" s="46"/>
      <c r="D53" s="46"/>
      <c r="E53" s="46"/>
      <c r="F53" s="46"/>
      <c r="G53" s="46"/>
      <c r="H53" s="48"/>
      <c r="I53" s="46"/>
    </row>
    <row r="54" spans="1:9" ht="16.5" x14ac:dyDescent="0.25">
      <c r="A54" s="17"/>
      <c r="B54" s="46"/>
      <c r="C54" s="46"/>
      <c r="D54" s="46"/>
      <c r="E54" s="46"/>
      <c r="F54" s="46"/>
      <c r="G54" s="46"/>
      <c r="H54" s="48"/>
      <c r="I54" s="46"/>
    </row>
    <row r="55" spans="1:9" x14ac:dyDescent="0.25">
      <c r="A55" s="17"/>
      <c r="B55" s="46"/>
      <c r="C55" s="46"/>
      <c r="D55" s="46"/>
      <c r="E55" s="46"/>
      <c r="F55" s="46"/>
      <c r="G55" s="46"/>
      <c r="H55" s="17"/>
    </row>
    <row r="56" spans="1:9" x14ac:dyDescent="0.25">
      <c r="A56" s="17"/>
      <c r="B56" s="46"/>
      <c r="C56" s="46"/>
      <c r="D56" s="46"/>
      <c r="E56" s="46"/>
      <c r="F56" s="46"/>
      <c r="G56" s="46"/>
      <c r="H56" s="17"/>
    </row>
    <row r="57" spans="1:9" x14ac:dyDescent="0.25">
      <c r="A57" s="17"/>
      <c r="B57" s="46"/>
      <c r="C57" s="46"/>
      <c r="D57" s="46"/>
      <c r="E57" s="46"/>
      <c r="F57" s="46"/>
      <c r="G57" s="46"/>
      <c r="H57" s="17"/>
    </row>
    <row r="58" spans="1:9" x14ac:dyDescent="0.25">
      <c r="A58" s="17"/>
      <c r="B58" s="46"/>
      <c r="C58" s="46"/>
      <c r="D58" s="46"/>
      <c r="E58" s="46"/>
      <c r="F58" s="46"/>
      <c r="G58" s="46"/>
      <c r="H58" s="17"/>
    </row>
    <row r="59" spans="1:9" x14ac:dyDescent="0.25">
      <c r="A59" s="17"/>
      <c r="B59" s="46"/>
      <c r="C59" s="46"/>
      <c r="D59" s="46"/>
      <c r="E59" s="46"/>
      <c r="F59" s="46"/>
      <c r="G59" s="46"/>
      <c r="H59" s="27"/>
    </row>
    <row r="60" spans="1:9" x14ac:dyDescent="0.25">
      <c r="A60" s="17"/>
      <c r="B60" s="49"/>
      <c r="C60" s="49"/>
      <c r="D60" s="49"/>
      <c r="E60" s="49"/>
      <c r="F60" s="49"/>
      <c r="G60" s="49"/>
      <c r="H60" s="27"/>
    </row>
    <row r="61" spans="1:9" x14ac:dyDescent="0.25">
      <c r="A61" s="17"/>
      <c r="B61" s="50"/>
      <c r="C61" s="50"/>
      <c r="D61" s="50"/>
      <c r="E61" s="50"/>
      <c r="F61" s="50"/>
      <c r="G61" s="50"/>
    </row>
    <row r="62" spans="1:9" x14ac:dyDescent="0.25">
      <c r="A62" s="17"/>
      <c r="B62" s="51"/>
      <c r="C62" s="51"/>
      <c r="D62" s="51"/>
      <c r="E62" s="51"/>
      <c r="F62" s="51"/>
      <c r="G62" s="51"/>
    </row>
    <row r="63" spans="1:9" x14ac:dyDescent="0.25">
      <c r="A63" s="17"/>
      <c r="B63" s="52"/>
      <c r="C63" s="52"/>
      <c r="D63" s="52"/>
      <c r="E63" s="52"/>
      <c r="F63" s="52"/>
      <c r="G63" s="52"/>
    </row>
    <row r="64" spans="1:9" x14ac:dyDescent="0.25">
      <c r="A64" s="17"/>
      <c r="B64" s="46"/>
      <c r="C64" s="46"/>
      <c r="D64" s="46"/>
      <c r="E64" s="46"/>
      <c r="F64" s="46"/>
      <c r="G64" s="46"/>
    </row>
    <row r="65" spans="1:7" x14ac:dyDescent="0.25">
      <c r="A65" s="17"/>
      <c r="B65" s="46"/>
      <c r="C65" s="46"/>
      <c r="D65" s="46"/>
      <c r="E65" s="46"/>
      <c r="F65" s="46"/>
      <c r="G65" s="46"/>
    </row>
    <row r="66" spans="1:7" x14ac:dyDescent="0.25">
      <c r="A66" s="17"/>
      <c r="B66" s="46"/>
      <c r="C66" s="46"/>
      <c r="D66" s="46"/>
      <c r="E66" s="46"/>
      <c r="F66" s="46"/>
      <c r="G66" s="46"/>
    </row>
    <row r="67" spans="1:7" x14ac:dyDescent="0.25">
      <c r="A67" s="17"/>
      <c r="B67" s="46"/>
      <c r="C67" s="46"/>
      <c r="D67" s="46"/>
      <c r="E67" s="46"/>
      <c r="F67" s="46"/>
      <c r="G67" s="46"/>
    </row>
    <row r="68" spans="1:7" x14ac:dyDescent="0.25">
      <c r="A68" s="17"/>
      <c r="B68" s="46"/>
      <c r="C68" s="46"/>
      <c r="D68" s="46"/>
      <c r="E68" s="46"/>
      <c r="F68" s="46"/>
      <c r="G68" s="46"/>
    </row>
    <row r="69" spans="1:7" x14ac:dyDescent="0.25">
      <c r="A69" s="17"/>
      <c r="B69" s="46"/>
      <c r="C69" s="46"/>
      <c r="D69" s="46"/>
      <c r="E69" s="46"/>
      <c r="F69" s="46"/>
      <c r="G69" s="46"/>
    </row>
    <row r="70" spans="1:7" x14ac:dyDescent="0.25">
      <c r="A70" s="17"/>
      <c r="B70" s="46"/>
      <c r="C70" s="46"/>
      <c r="D70" s="46"/>
      <c r="E70" s="46"/>
      <c r="F70" s="46"/>
      <c r="G70" s="46"/>
    </row>
    <row r="71" spans="1:7" x14ac:dyDescent="0.25">
      <c r="A71" s="17"/>
      <c r="B71" s="46"/>
      <c r="C71" s="46"/>
      <c r="D71" s="46"/>
      <c r="E71" s="46"/>
      <c r="F71" s="46"/>
      <c r="G71" s="46"/>
    </row>
    <row r="72" spans="1:7" x14ac:dyDescent="0.25">
      <c r="A72" s="17"/>
      <c r="B72" s="46"/>
      <c r="C72" s="46"/>
      <c r="D72" s="46"/>
      <c r="E72" s="46"/>
      <c r="F72" s="46"/>
      <c r="G72" s="46"/>
    </row>
    <row r="73" spans="1:7" x14ac:dyDescent="0.25">
      <c r="A73" s="17"/>
      <c r="B73" s="46"/>
      <c r="C73" s="46"/>
      <c r="D73" s="46"/>
      <c r="E73" s="46"/>
      <c r="F73" s="46"/>
      <c r="G73" s="46"/>
    </row>
    <row r="74" spans="1:7" x14ac:dyDescent="0.25">
      <c r="A74" s="17"/>
      <c r="B74" s="46"/>
      <c r="C74" s="46"/>
      <c r="D74" s="46"/>
      <c r="E74" s="46"/>
      <c r="F74" s="46"/>
      <c r="G74" s="46"/>
    </row>
    <row r="75" spans="1:7" x14ac:dyDescent="0.25">
      <c r="A75" s="17"/>
      <c r="B75" s="46"/>
      <c r="C75" s="46"/>
      <c r="D75" s="46"/>
      <c r="E75" s="46"/>
      <c r="F75" s="46"/>
      <c r="G75" s="46"/>
    </row>
    <row r="76" spans="1:7" x14ac:dyDescent="0.25">
      <c r="A76" s="17"/>
    </row>
    <row r="77" spans="1:7" x14ac:dyDescent="0.25">
      <c r="A77" s="17"/>
    </row>
    <row r="78" spans="1:7" x14ac:dyDescent="0.25">
      <c r="A78" s="17"/>
    </row>
    <row r="79" spans="1:7" x14ac:dyDescent="0.25">
      <c r="A79" s="17"/>
    </row>
    <row r="80" spans="1:7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</sheetData>
  <mergeCells count="11">
    <mergeCell ref="A43:K44"/>
    <mergeCell ref="L43:P43"/>
    <mergeCell ref="Q43:U43"/>
    <mergeCell ref="L44:P44"/>
    <mergeCell ref="Q44:U44"/>
    <mergeCell ref="S2:T2"/>
    <mergeCell ref="M5:Q6"/>
    <mergeCell ref="I9:T9"/>
    <mergeCell ref="A42:K42"/>
    <mergeCell ref="L42:P42"/>
    <mergeCell ref="Q42:U42"/>
  </mergeCells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Ejemplo de llenado</vt:lpstr>
      <vt:lpstr>Formato líquidas </vt:lpstr>
      <vt:lpstr>Formato compensado</vt:lpstr>
      <vt:lpstr>'Ejemplo de llenado'!Área_de_impresión</vt:lpstr>
      <vt:lpstr>'Formato compensado'!Área_de_impresión</vt:lpstr>
      <vt:lpstr>'Formato líquidas '!Área_de_impresión</vt:lpstr>
      <vt:lpstr>'Ejemplo de llenado'!Títulos_a_imprimir</vt:lpstr>
      <vt:lpstr>'Formato compensado'!Títulos_a_imprimir</vt:lpstr>
      <vt:lpstr>'Formato líquidas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VERENIS OBREGON MANRIQUEZ</dc:creator>
  <cp:keywords/>
  <dc:description/>
  <cp:lastModifiedBy>negonzalez</cp:lastModifiedBy>
  <cp:revision/>
  <cp:lastPrinted>2023-01-26T15:39:40Z</cp:lastPrinted>
  <dcterms:created xsi:type="dcterms:W3CDTF">2014-02-10T17:21:33Z</dcterms:created>
  <dcterms:modified xsi:type="dcterms:W3CDTF">2025-03-20T16:04:38Z</dcterms:modified>
  <cp:category/>
  <cp:contentStatus/>
</cp:coreProperties>
</file>