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80.1.1.7\Rec. Materiales\CRMTI\Formatos\"/>
    </mc:Choice>
  </mc:AlternateContent>
  <workbookProtection workbookAlgorithmName="SHA-512" workbookHashValue="cEWN/vvWaveDNwLksoXu2m+mulzve6Im4+CiaM4yEMZj5v1S3kNdRhhLThGppMYabmymlGPD9MiS3R+XnXBvAw==" workbookSaltValue="ahQVsGs0e3Rr110tHke+EQ==" workbookSpinCount="100000" lockStructure="1"/>
  <bookViews>
    <workbookView xWindow="360" yWindow="90" windowWidth="10455" windowHeight="7425"/>
  </bookViews>
  <sheets>
    <sheet name="SEC V2.0" sheetId="9" r:id="rId1"/>
  </sheets>
  <definedNames>
    <definedName name="_xlnm.Print_Area" localSheetId="0">'SEC V2.0'!$B$4:$I$72</definedName>
    <definedName name="NoCtrl">DatosVh[NoCtrl]</definedName>
  </definedNames>
  <calcPr calcId="162913" concurrentCalc="0"/>
</workbook>
</file>

<file path=xl/calcChain.xml><?xml version="1.0" encoding="utf-8"?>
<calcChain xmlns="http://schemas.openxmlformats.org/spreadsheetml/2006/main">
  <c r="I63" i="9" l="1"/>
  <c r="I36" i="9"/>
  <c r="B2" i="9"/>
  <c r="C9" i="9"/>
  <c r="D9" i="9"/>
  <c r="C11" i="9"/>
  <c r="F9" i="9"/>
  <c r="D11" i="9"/>
  <c r="E71" i="9"/>
  <c r="C18" i="9"/>
  <c r="E65" i="9"/>
  <c r="E60" i="9"/>
  <c r="D55" i="9"/>
  <c r="C50" i="9"/>
  <c r="E38" i="9"/>
  <c r="D60" i="9"/>
  <c r="C55" i="9"/>
  <c r="I45" i="9"/>
  <c r="D38" i="9"/>
  <c r="C60" i="9"/>
  <c r="I50" i="9"/>
  <c r="H45" i="9"/>
  <c r="C38" i="9"/>
  <c r="H50" i="9"/>
  <c r="D65" i="9"/>
  <c r="C65" i="9"/>
  <c r="I55" i="9"/>
  <c r="G45" i="9"/>
  <c r="I60" i="9"/>
  <c r="H55" i="9"/>
  <c r="G50" i="9"/>
  <c r="F45" i="9"/>
  <c r="G55" i="9"/>
  <c r="F50" i="9"/>
  <c r="E45" i="9"/>
  <c r="G60" i="9"/>
  <c r="F55" i="9"/>
  <c r="E50" i="9"/>
  <c r="D45" i="9"/>
  <c r="F60" i="9"/>
  <c r="E55" i="9"/>
  <c r="D50" i="9"/>
  <c r="C45" i="9"/>
  <c r="H60" i="9"/>
  <c r="H6" i="9"/>
  <c r="I64" i="9"/>
  <c r="I65" i="9"/>
  <c r="E72" i="9"/>
  <c r="C5" i="9"/>
  <c r="C4" i="9"/>
  <c r="D7" i="9"/>
  <c r="G9" i="9"/>
  <c r="H9" i="9"/>
  <c r="F18" i="9"/>
  <c r="H33" i="9"/>
  <c r="I33" i="9"/>
  <c r="F23" i="9"/>
  <c r="E18" i="9"/>
  <c r="G18" i="9"/>
  <c r="G23" i="9"/>
  <c r="I28" i="9"/>
  <c r="G28" i="9"/>
  <c r="H23" i="9"/>
  <c r="H28" i="9"/>
  <c r="H18" i="9"/>
  <c r="I23" i="9"/>
  <c r="C33" i="9"/>
  <c r="I18" i="9"/>
  <c r="C28" i="9"/>
  <c r="D33" i="9"/>
  <c r="C23" i="9"/>
  <c r="D28" i="9"/>
  <c r="E33" i="9"/>
  <c r="D23" i="9"/>
  <c r="E28" i="9"/>
  <c r="F33" i="9"/>
  <c r="D18" i="9"/>
  <c r="E23" i="9"/>
  <c r="F28" i="9"/>
  <c r="G33" i="9"/>
  <c r="I37" i="9"/>
  <c r="I38" i="9"/>
  <c r="F38" i="9"/>
</calcChain>
</file>

<file path=xl/comments1.xml><?xml version="1.0" encoding="utf-8"?>
<comments xmlns="http://schemas.openxmlformats.org/spreadsheetml/2006/main">
  <authors>
    <author>Aldo Sánchez</author>
  </authors>
  <commentList>
    <comment ref="X76" authorId="0" shapeId="0">
      <text>
        <r>
          <rPr>
            <b/>
            <sz val="9"/>
            <color indexed="81"/>
            <rFont val="Tahoma"/>
            <family val="2"/>
          </rPr>
          <t>PREMIUM</t>
        </r>
      </text>
    </comment>
  </commentList>
</comments>
</file>

<file path=xl/sharedStrings.xml><?xml version="1.0" encoding="utf-8"?>
<sst xmlns="http://schemas.openxmlformats.org/spreadsheetml/2006/main" count="355" uniqueCount="159">
  <si>
    <t>FORMULÓ</t>
  </si>
  <si>
    <t>AUTORIZO</t>
  </si>
  <si>
    <t>Datos del Vehículo</t>
  </si>
  <si>
    <t>Placas</t>
  </si>
  <si>
    <t>Costo del combustible por litro</t>
  </si>
  <si>
    <t>DOTACIÓN NORMAL</t>
  </si>
  <si>
    <t>Día</t>
  </si>
  <si>
    <t>Comisión(es)</t>
  </si>
  <si>
    <t>DOTACIÓN EXTRA</t>
  </si>
  <si>
    <t>AUTORIZACIÓN DIRECCIÓN DE ÁREA</t>
  </si>
  <si>
    <t>REVISO</t>
  </si>
  <si>
    <t>LIC. FERNANDO OLIVERA ROCHA</t>
  </si>
  <si>
    <t>DIRECTORA ADMINISTRATIVA</t>
  </si>
  <si>
    <t>SECRETARIO DE TURISMO</t>
  </si>
  <si>
    <t>Dotación Norma</t>
  </si>
  <si>
    <t>C.P. LILIA ANAYANSI TAPIA CURIEL</t>
  </si>
  <si>
    <t>NoCtrl</t>
  </si>
  <si>
    <t>Plk</t>
  </si>
  <si>
    <t>UsNom</t>
  </si>
  <si>
    <t>UsCarg</t>
  </si>
  <si>
    <t>UsArea</t>
  </si>
  <si>
    <t>MrkVh</t>
  </si>
  <si>
    <t>TipoVh</t>
  </si>
  <si>
    <t>GUV5468</t>
  </si>
  <si>
    <t>OLIVERA ROCHA FERNANDO</t>
  </si>
  <si>
    <t>SECRETARIO DE DESARROLLO TURÍSTICO</t>
  </si>
  <si>
    <t>DESPACHO DEL C. SECRETARIO</t>
  </si>
  <si>
    <t>TOYOTA</t>
  </si>
  <si>
    <t>SEQUOIA</t>
  </si>
  <si>
    <t>GVH6422</t>
  </si>
  <si>
    <t>HORTA GARCÍA JUAN ÁNGEL</t>
  </si>
  <si>
    <t>SECRETARIO PARTICULAR</t>
  </si>
  <si>
    <t>VOLKSWAGEN</t>
  </si>
  <si>
    <t>VENTO STYLE TDI</t>
  </si>
  <si>
    <t>GVH6390</t>
  </si>
  <si>
    <t>TAPIA CURIEL LILIA ANAYANSI</t>
  </si>
  <si>
    <t>DIRECCIÓN ADMINISTRATIVA</t>
  </si>
  <si>
    <t>GVR8636</t>
  </si>
  <si>
    <t>VELA ESCAMILLA MARICARMEN</t>
  </si>
  <si>
    <t>COORDINADORA DE LOGÍSTICA</t>
  </si>
  <si>
    <t>CHEVROLET</t>
  </si>
  <si>
    <t>AVEO</t>
  </si>
  <si>
    <t>GP36812</t>
  </si>
  <si>
    <t>HILUX DOBLE CAB</t>
  </si>
  <si>
    <t>GVH1471</t>
  </si>
  <si>
    <t>NISSAN</t>
  </si>
  <si>
    <t>TIIDA</t>
  </si>
  <si>
    <t>GVH6391</t>
  </si>
  <si>
    <t>BERNARDINO CRUZ ILIANA ALEJANDRA</t>
  </si>
  <si>
    <t>DIRECTORA DE ASUNTOS JURÍDICOS</t>
  </si>
  <si>
    <t>DIRECCIÓN DE ASUNTOS JURÍDICOS</t>
  </si>
  <si>
    <t>GVR8604</t>
  </si>
  <si>
    <t>GVS3323</t>
  </si>
  <si>
    <t>GVH6421</t>
  </si>
  <si>
    <t>GTZ9140</t>
  </si>
  <si>
    <t>MURILLO NÚÑEZ OMAR</t>
  </si>
  <si>
    <t>DIRECTOR GENERAL DE DESARROLLO TURÍSTICO</t>
  </si>
  <si>
    <t>DIR. GRAL. DE DESARROLLO DE PROYECTOS</t>
  </si>
  <si>
    <t>CRUZE</t>
  </si>
  <si>
    <t>GVR8661</t>
  </si>
  <si>
    <t>CAMACHO PICHARDO MANUEL</t>
  </si>
  <si>
    <t>DIRECTOR DE DESARROLLO DE PROYECTOS</t>
  </si>
  <si>
    <t>DIRECCIÓN DE DESARROLLO DE PROYECTOS</t>
  </si>
  <si>
    <t>GR06613</t>
  </si>
  <si>
    <t>NP300 DOBLE CABINA TM AC</t>
  </si>
  <si>
    <t>GVH6427</t>
  </si>
  <si>
    <t>GVH6428</t>
  </si>
  <si>
    <t>HUETT LOPEZ FRIDA XIMENA</t>
  </si>
  <si>
    <t>DIRECTORA DE CULTURA TURÍSTICA</t>
  </si>
  <si>
    <t>DIRECCIÓN DE CULTURA TURÍSTICA</t>
  </si>
  <si>
    <t>GUS8744</t>
  </si>
  <si>
    <t>AGUILAR MATA OCTAVIO HUMBERTO</t>
  </si>
  <si>
    <t>SUBSECRETARIO DE PROMOCIÓN TURÍSTICA</t>
  </si>
  <si>
    <t>SUBSECRETARÍA DE PROMOCIÓN TURÍSTICA</t>
  </si>
  <si>
    <t>HONDA</t>
  </si>
  <si>
    <t>CIVIC LX AT</t>
  </si>
  <si>
    <t>GVH6392</t>
  </si>
  <si>
    <t>VAZQUEZ LOPEZ RICARDO</t>
  </si>
  <si>
    <t>DIRECTOR DE PROMOCIÓN Y DIFUSIÓN</t>
  </si>
  <si>
    <t>DIRECCIÓN DE PROMOCIÓN Y DIFUCIÓN</t>
  </si>
  <si>
    <t>GVH6393</t>
  </si>
  <si>
    <t>MARTÍNEZ CABALLERO ROGELIO</t>
  </si>
  <si>
    <t>DIRECTOR DE PRODUCTOS TURÍSTICOS</t>
  </si>
  <si>
    <t>DIRECCIÓN DE PRODUCTOS TURÍSTICOS</t>
  </si>
  <si>
    <t>GR06640</t>
  </si>
  <si>
    <t>GVH1450</t>
  </si>
  <si>
    <t>ISLAS RODRÍGUEZ ADRIANA</t>
  </si>
  <si>
    <t>DIRECTORA DE MERCADOTECNIA</t>
  </si>
  <si>
    <t>DIRECCIÓN DE MERCADOTECNIA</t>
  </si>
  <si>
    <t>GVA1707</t>
  </si>
  <si>
    <t>CABREJOS SAMAME JORGE LUIS</t>
  </si>
  <si>
    <t>DIRECTOR DE RELACIONES PUBLICAS</t>
  </si>
  <si>
    <t>DIRECCIÓN DE RELACIONES PUBLICAS</t>
  </si>
  <si>
    <t>GVH6399</t>
  </si>
  <si>
    <t>RIVERA CORDERO CARLOS ENRIQUE</t>
  </si>
  <si>
    <t>COORDINADOR DE COMUNICACION SOCIAL</t>
  </si>
  <si>
    <t>COORDINACIÓN DE COMUNICACION SOCIAL</t>
  </si>
  <si>
    <t>GVH6425</t>
  </si>
  <si>
    <t>GG37851</t>
  </si>
  <si>
    <t>C-35 3500</t>
  </si>
  <si>
    <t>GUS8745</t>
  </si>
  <si>
    <t>VAN EXPRESS</t>
  </si>
  <si>
    <t>GSX5298</t>
  </si>
  <si>
    <t>FORD</t>
  </si>
  <si>
    <t>TRANSIT PASS MWB ac</t>
  </si>
  <si>
    <t>5ETL95</t>
  </si>
  <si>
    <t>FIAT</t>
  </si>
  <si>
    <t>HG3 DUCATO CARGO VAN</t>
  </si>
  <si>
    <t>GSE5222</t>
  </si>
  <si>
    <t>PILOT LX</t>
  </si>
  <si>
    <t>GVH6400</t>
  </si>
  <si>
    <t>CÁRDENAS HERNANDEZ ROBERTO WILLEBALDO</t>
  </si>
  <si>
    <t>DIRECTOR GENERAL DE PLANEACIÓN</t>
  </si>
  <si>
    <t>DIRECCIÓN GENERAL DE PLANEACIÓN</t>
  </si>
  <si>
    <t>GUR2971</t>
  </si>
  <si>
    <t>GVH6426</t>
  </si>
  <si>
    <t>COLLAZO VALADEZ ADRIANA</t>
  </si>
  <si>
    <t>DIRECTORA DE PLANEACIÓN ESTRATÉGICA Y ENLACE GUBERNAMENTAL</t>
  </si>
  <si>
    <t>DIR. DE PLANEACIÓN ESTRATÉGICA Y ENLACE GUBERNAMENTAL</t>
  </si>
  <si>
    <t>GVH6397</t>
  </si>
  <si>
    <t>AVALOS BETANCOURT CLAUDIA</t>
  </si>
  <si>
    <t>DIRECTORA DE INFORMACIÓN Y ANÁLISIS</t>
  </si>
  <si>
    <t>DIRECCIÓN DE INFORMACIÓN Y ANÁLISIS</t>
  </si>
  <si>
    <t>RmtoVh</t>
  </si>
  <si>
    <t>DotGas</t>
  </si>
  <si>
    <t>DIESEL</t>
  </si>
  <si>
    <t>CbustTipo</t>
  </si>
  <si>
    <t>CbustCosto</t>
  </si>
  <si>
    <t>TIPO COMBUSTIBLE</t>
  </si>
  <si>
    <t>GASOLINA</t>
  </si>
  <si>
    <t>Km. Aprox.</t>
  </si>
  <si>
    <t>Litros</t>
  </si>
  <si>
    <t>Ruta</t>
  </si>
  <si>
    <t>[NOMBRE]</t>
  </si>
  <si>
    <t>[PUESTO]</t>
  </si>
  <si>
    <t>Dirección</t>
  </si>
  <si>
    <t>Tipo</t>
  </si>
  <si>
    <t>Combustible</t>
  </si>
  <si>
    <t>Dotación Extra</t>
  </si>
  <si>
    <t>Total Mes</t>
  </si>
  <si>
    <t>Mes</t>
  </si>
  <si>
    <t>SOLICITUD EXTRA DE COMBUSTIBLE</t>
  </si>
  <si>
    <t>Detalle de consumo</t>
  </si>
  <si>
    <t>Costo Dotación Extra</t>
  </si>
  <si>
    <t>Costo Dotación Normal</t>
  </si>
  <si>
    <t>Litros consumidos</t>
  </si>
  <si>
    <t>Litros necesarios</t>
  </si>
  <si>
    <t>UsRespArea</t>
  </si>
  <si>
    <t>Número de Control</t>
  </si>
  <si>
    <t>Rendimiento km/lt</t>
  </si>
  <si>
    <t>Kilómetros recorridos</t>
  </si>
  <si>
    <t>Kilómetros a recorrer</t>
  </si>
  <si>
    <t>Responsable</t>
  </si>
  <si>
    <t>GONZÁLEZ LANDEROS CLAUDIA BELÉN</t>
  </si>
  <si>
    <t>COORDINADORA DE RECURSOS HUMANOS</t>
  </si>
  <si>
    <t>VERA ZÚÑIGA CARLOS ROBERTO</t>
  </si>
  <si>
    <t>JEFE DE TECNOLOGIAS DE LA INFORMACIÓNN</t>
  </si>
  <si>
    <t>Fecha de consulta: 15/08/16</t>
  </si>
  <si>
    <t>SEC V2.3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</si>
</sst>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mmmm\'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6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.5"/>
      <name val="Wingdings 3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2"/>
    <xf numFmtId="0" fontId="2" fillId="0" borderId="0" xfId="2" applyAlignment="1"/>
    <xf numFmtId="0" fontId="2" fillId="0" borderId="8" xfId="2" applyBorder="1"/>
    <xf numFmtId="0" fontId="3" fillId="0" borderId="0" xfId="2" applyFont="1"/>
    <xf numFmtId="0" fontId="2" fillId="0" borderId="10" xfId="2" applyBorder="1"/>
    <xf numFmtId="0" fontId="2" fillId="0" borderId="17" xfId="2" applyBorder="1"/>
    <xf numFmtId="0" fontId="2" fillId="0" borderId="17" xfId="2" applyBorder="1" applyAlignment="1">
      <alignment horizontal="center"/>
    </xf>
    <xf numFmtId="0" fontId="2" fillId="2" borderId="1" xfId="2" applyFill="1" applyBorder="1" applyAlignment="1">
      <alignment horizontal="center"/>
    </xf>
    <xf numFmtId="0" fontId="2" fillId="2" borderId="6" xfId="2" applyFill="1" applyBorder="1" applyAlignment="1">
      <alignment horizontal="center"/>
    </xf>
    <xf numFmtId="0" fontId="2" fillId="0" borderId="0" xfId="2" applyAlignment="1">
      <alignment horizontal="center"/>
    </xf>
    <xf numFmtId="0" fontId="2" fillId="0" borderId="0" xfId="2" applyBorder="1"/>
    <xf numFmtId="0" fontId="3" fillId="0" borderId="0" xfId="2" applyFont="1" applyAlignment="1">
      <alignment horizontal="center"/>
    </xf>
    <xf numFmtId="0" fontId="3" fillId="0" borderId="0" xfId="2" applyFont="1" applyAlignment="1"/>
    <xf numFmtId="164" fontId="2" fillId="0" borderId="0" xfId="3" applyAlignment="1">
      <alignment horizontal="center"/>
    </xf>
    <xf numFmtId="0" fontId="2" fillId="0" borderId="8" xfId="2" applyBorder="1" applyAlignment="1">
      <alignment horizontal="center"/>
    </xf>
    <xf numFmtId="0" fontId="3" fillId="0" borderId="9" xfId="2" applyFont="1" applyBorder="1" applyAlignment="1">
      <alignment horizontal="center"/>
    </xf>
    <xf numFmtId="0" fontId="3" fillId="0" borderId="0" xfId="2" applyFont="1" applyBorder="1" applyAlignment="1"/>
    <xf numFmtId="0" fontId="3" fillId="0" borderId="0" xfId="2" applyFont="1" applyBorder="1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5" borderId="1" xfId="0" applyFont="1" applyFill="1" applyBorder="1"/>
    <xf numFmtId="0" fontId="0" fillId="0" borderId="22" xfId="0" applyBorder="1" applyProtection="1">
      <protection hidden="1"/>
    </xf>
    <xf numFmtId="0" fontId="0" fillId="0" borderId="27" xfId="0" applyBorder="1" applyProtection="1">
      <protection hidden="1"/>
    </xf>
    <xf numFmtId="0" fontId="0" fillId="0" borderId="28" xfId="0" applyBorder="1" applyProtection="1">
      <protection hidden="1"/>
    </xf>
    <xf numFmtId="0" fontId="5" fillId="4" borderId="24" xfId="0" applyFont="1" applyFill="1" applyBorder="1" applyProtection="1">
      <protection hidden="1"/>
    </xf>
    <xf numFmtId="0" fontId="5" fillId="4" borderId="25" xfId="0" applyFont="1" applyFill="1" applyBorder="1" applyProtection="1">
      <protection hidden="1"/>
    </xf>
    <xf numFmtId="8" fontId="2" fillId="0" borderId="0" xfId="2" applyNumberFormat="1"/>
    <xf numFmtId="0" fontId="2" fillId="0" borderId="1" xfId="2" applyBorder="1" applyProtection="1">
      <protection hidden="1"/>
    </xf>
    <xf numFmtId="0" fontId="0" fillId="5" borderId="29" xfId="0" applyFont="1" applyFill="1" applyBorder="1"/>
    <xf numFmtId="0" fontId="2" fillId="5" borderId="30" xfId="2" applyNumberFormat="1" applyFont="1" applyFill="1" applyBorder="1" applyAlignment="1"/>
    <xf numFmtId="0" fontId="2" fillId="0" borderId="27" xfId="2" applyBorder="1" applyProtection="1">
      <protection hidden="1"/>
    </xf>
    <xf numFmtId="0" fontId="5" fillId="4" borderId="24" xfId="2" applyFont="1" applyFill="1" applyBorder="1" applyProtection="1">
      <protection hidden="1"/>
    </xf>
    <xf numFmtId="0" fontId="2" fillId="2" borderId="1" xfId="2" applyFont="1" applyFill="1" applyBorder="1" applyAlignment="1">
      <alignment horizontal="center"/>
    </xf>
    <xf numFmtId="0" fontId="2" fillId="2" borderId="11" xfId="2" applyFont="1" applyFill="1" applyBorder="1" applyAlignment="1">
      <alignment horizontal="right"/>
    </xf>
    <xf numFmtId="0" fontId="2" fillId="2" borderId="22" xfId="2" applyFill="1" applyBorder="1" applyAlignment="1">
      <alignment horizontal="center"/>
    </xf>
    <xf numFmtId="0" fontId="2" fillId="0" borderId="32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33" xfId="2" applyBorder="1" applyAlignment="1">
      <alignment horizontal="center"/>
    </xf>
    <xf numFmtId="0" fontId="2" fillId="0" borderId="34" xfId="2" applyBorder="1"/>
    <xf numFmtId="0" fontId="3" fillId="0" borderId="5" xfId="2" applyFont="1" applyBorder="1"/>
    <xf numFmtId="0" fontId="3" fillId="0" borderId="6" xfId="2" applyFont="1" applyBorder="1"/>
    <xf numFmtId="0" fontId="2" fillId="2" borderId="3" xfId="2" applyFont="1" applyFill="1" applyBorder="1" applyAlignment="1">
      <alignment horizontal="right"/>
    </xf>
    <xf numFmtId="0" fontId="3" fillId="0" borderId="1" xfId="2" applyFont="1" applyBorder="1" applyProtection="1">
      <protection locked="0"/>
    </xf>
    <xf numFmtId="0" fontId="3" fillId="0" borderId="1" xfId="2" applyFont="1" applyBorder="1"/>
    <xf numFmtId="0" fontId="3" fillId="0" borderId="6" xfId="2" applyFont="1" applyBorder="1" applyProtection="1">
      <protection locked="0"/>
    </xf>
    <xf numFmtId="0" fontId="3" fillId="0" borderId="12" xfId="2" applyFont="1" applyBorder="1"/>
    <xf numFmtId="0" fontId="3" fillId="0" borderId="13" xfId="2" applyFont="1" applyBorder="1"/>
    <xf numFmtId="0" fontId="3" fillId="0" borderId="31" xfId="2" applyFont="1" applyBorder="1"/>
    <xf numFmtId="44" fontId="3" fillId="0" borderId="19" xfId="1" applyFont="1" applyBorder="1"/>
    <xf numFmtId="0" fontId="0" fillId="0" borderId="0" xfId="0" applyBorder="1"/>
    <xf numFmtId="0" fontId="3" fillId="0" borderId="9" xfId="2" applyFont="1" applyBorder="1" applyAlignment="1" applyProtection="1">
      <alignment horizontal="center"/>
      <protection locked="0"/>
    </xf>
    <xf numFmtId="0" fontId="3" fillId="0" borderId="0" xfId="2" applyFont="1" applyAlignment="1" applyProtection="1">
      <alignment horizontal="center"/>
      <protection locked="0"/>
    </xf>
    <xf numFmtId="0" fontId="3" fillId="4" borderId="1" xfId="2" applyFont="1" applyFill="1" applyBorder="1" applyAlignment="1" applyProtection="1">
      <alignment horizontal="center"/>
      <protection locked="0"/>
    </xf>
    <xf numFmtId="0" fontId="3" fillId="0" borderId="1" xfId="2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2" fillId="2" borderId="1" xfId="2" applyFont="1" applyFill="1" applyBorder="1" applyAlignment="1">
      <alignment horizontal="right" vertical="center"/>
    </xf>
    <xf numFmtId="0" fontId="2" fillId="2" borderId="4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10" fillId="0" borderId="0" xfId="2" applyFont="1" applyAlignment="1">
      <alignment horizontal="right"/>
    </xf>
    <xf numFmtId="165" fontId="8" fillId="0" borderId="1" xfId="2" applyNumberFormat="1" applyFont="1" applyBorder="1" applyAlignment="1" applyProtection="1">
      <alignment horizontal="center" vertical="center"/>
    </xf>
    <xf numFmtId="0" fontId="10" fillId="0" borderId="0" xfId="2" applyFont="1" applyAlignment="1">
      <alignment vertical="top"/>
    </xf>
    <xf numFmtId="0" fontId="2" fillId="2" borderId="4" xfId="2" applyFill="1" applyBorder="1" applyAlignment="1">
      <alignment horizontal="right"/>
    </xf>
    <xf numFmtId="0" fontId="2" fillId="2" borderId="3" xfId="2" applyFill="1" applyBorder="1" applyAlignment="1">
      <alignment horizontal="right"/>
    </xf>
    <xf numFmtId="0" fontId="2" fillId="2" borderId="18" xfId="2" applyFont="1" applyFill="1" applyBorder="1" applyAlignment="1">
      <alignment horizontal="right"/>
    </xf>
    <xf numFmtId="0" fontId="3" fillId="0" borderId="1" xfId="2" applyFont="1" applyBorder="1" applyAlignment="1" applyProtection="1">
      <alignment wrapText="1"/>
      <protection locked="0"/>
    </xf>
    <xf numFmtId="0" fontId="3" fillId="0" borderId="6" xfId="2" applyFont="1" applyBorder="1" applyAlignment="1" applyProtection="1">
      <alignment wrapText="1"/>
      <protection locked="0"/>
    </xf>
    <xf numFmtId="0" fontId="0" fillId="0" borderId="17" xfId="0" applyBorder="1"/>
    <xf numFmtId="0" fontId="3" fillId="0" borderId="22" xfId="2" applyFont="1" applyBorder="1" applyAlignment="1" applyProtection="1">
      <alignment wrapText="1"/>
      <protection locked="0"/>
    </xf>
    <xf numFmtId="0" fontId="0" fillId="0" borderId="35" xfId="0" applyBorder="1"/>
    <xf numFmtId="0" fontId="0" fillId="0" borderId="10" xfId="0" applyBorder="1"/>
    <xf numFmtId="0" fontId="2" fillId="0" borderId="22" xfId="2" applyBorder="1" applyProtection="1">
      <protection hidden="1"/>
    </xf>
    <xf numFmtId="0" fontId="14" fillId="4" borderId="23" xfId="0" applyFont="1" applyFill="1" applyBorder="1" applyProtection="1">
      <protection hidden="1"/>
    </xf>
    <xf numFmtId="0" fontId="13" fillId="0" borderId="0" xfId="0" applyFont="1"/>
    <xf numFmtId="0" fontId="3" fillId="0" borderId="0" xfId="2" applyFont="1" applyBorder="1"/>
    <xf numFmtId="0" fontId="15" fillId="0" borderId="0" xfId="2" applyFont="1" applyBorder="1"/>
    <xf numFmtId="0" fontId="13" fillId="0" borderId="0" xfId="0" applyFont="1" applyAlignment="1" applyProtection="1">
      <alignment horizontal="center"/>
      <protection hidden="1"/>
    </xf>
    <xf numFmtId="0" fontId="13" fillId="0" borderId="21" xfId="0" applyFont="1" applyBorder="1" applyProtection="1">
      <protection hidden="1"/>
    </xf>
    <xf numFmtId="0" fontId="13" fillId="0" borderId="26" xfId="0" applyFont="1" applyBorder="1" applyProtection="1">
      <protection hidden="1"/>
    </xf>
    <xf numFmtId="0" fontId="3" fillId="0" borderId="21" xfId="2" applyFont="1" applyBorder="1" applyProtection="1">
      <protection hidden="1"/>
    </xf>
    <xf numFmtId="0" fontId="13" fillId="5" borderId="1" xfId="0" applyFont="1" applyFill="1" applyBorder="1"/>
    <xf numFmtId="0" fontId="11" fillId="0" borderId="36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3" fillId="0" borderId="36" xfId="2" applyFont="1" applyBorder="1" applyAlignment="1">
      <alignment horizontal="center" vertical="top"/>
    </xf>
    <xf numFmtId="0" fontId="3" fillId="0" borderId="0" xfId="2" applyFont="1" applyBorder="1" applyAlignment="1">
      <alignment horizontal="center" vertical="top"/>
    </xf>
    <xf numFmtId="0" fontId="12" fillId="6" borderId="0" xfId="2" applyFont="1" applyFill="1" applyAlignment="1">
      <alignment horizontal="center"/>
    </xf>
    <xf numFmtId="0" fontId="4" fillId="3" borderId="15" xfId="2" applyFont="1" applyFill="1" applyBorder="1" applyAlignment="1">
      <alignment horizontal="center"/>
    </xf>
    <xf numFmtId="0" fontId="4" fillId="3" borderId="16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7" fillId="4" borderId="35" xfId="2" applyFont="1" applyFill="1" applyBorder="1" applyAlignment="1">
      <alignment horizontal="right"/>
    </xf>
    <xf numFmtId="0" fontId="7" fillId="4" borderId="20" xfId="2" applyFont="1" applyFill="1" applyBorder="1" applyAlignment="1">
      <alignment horizontal="right"/>
    </xf>
    <xf numFmtId="0" fontId="2" fillId="2" borderId="1" xfId="2" applyFont="1" applyFill="1" applyBorder="1" applyAlignment="1">
      <alignment horizontal="right" vertical="center" wrapText="1"/>
    </xf>
    <xf numFmtId="44" fontId="9" fillId="0" borderId="3" xfId="1" applyFont="1" applyBorder="1" applyAlignment="1">
      <alignment horizontal="center" vertical="center"/>
    </xf>
    <xf numFmtId="44" fontId="9" fillId="0" borderId="11" xfId="1" applyFont="1" applyBorder="1" applyAlignment="1">
      <alignment horizontal="center" vertical="center"/>
    </xf>
    <xf numFmtId="44" fontId="9" fillId="0" borderId="1" xfId="1" applyFont="1" applyBorder="1" applyAlignment="1">
      <alignment horizontal="center" vertical="center"/>
    </xf>
    <xf numFmtId="44" fontId="9" fillId="0" borderId="12" xfId="1" applyFont="1" applyBorder="1" applyAlignment="1">
      <alignment horizontal="center" vertical="center"/>
    </xf>
    <xf numFmtId="44" fontId="9" fillId="0" borderId="6" xfId="1" applyFont="1" applyBorder="1" applyAlignment="1">
      <alignment horizontal="center" vertical="center"/>
    </xf>
    <xf numFmtId="44" fontId="9" fillId="0" borderId="13" xfId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6" fontId="2" fillId="0" borderId="0" xfId="2" applyNumberFormat="1"/>
  </cellXfs>
  <cellStyles count="4">
    <cellStyle name="Millares 2" xfId="3"/>
    <cellStyle name="Moneda" xfId="1" builtinId="4"/>
    <cellStyle name="Normal" xfId="0" builtinId="0"/>
    <cellStyle name="Normal 2" xfId="2"/>
  </cellStyles>
  <dxfs count="21">
    <dxf>
      <numFmt numFmtId="12" formatCode="&quot;$&quot;#,##0.00;[Red]\-&quot;$&quot;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1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theme="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649441</xdr:colOff>
      <xdr:row>3</xdr:row>
      <xdr:rowOff>95249</xdr:rowOff>
    </xdr:from>
    <xdr:to>
      <xdr:col>8</xdr:col>
      <xdr:colOff>1552575</xdr:colOff>
      <xdr:row>10</xdr:row>
      <xdr:rowOff>49773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2641" y="1019174"/>
          <a:ext cx="903134" cy="131267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1" name="DatosVh" displayName="DatosVh" ref="L74:V105" totalsRowShown="0" headerRowDxfId="16" dataDxfId="14" headerRowBorderDxfId="15" tableBorderDxfId="13" totalsRowBorderDxfId="12">
  <autoFilter ref="L74:V105"/>
  <tableColumns count="11">
    <tableColumn id="1" name="NoCtrl" dataDxfId="11"/>
    <tableColumn id="2" name="Plk" dataDxfId="10"/>
    <tableColumn id="3" name="UsNom" dataDxfId="9"/>
    <tableColumn id="4" name="UsCarg" dataDxfId="8"/>
    <tableColumn id="5" name="UsArea" dataDxfId="7"/>
    <tableColumn id="11" name="UsRespArea" dataDxfId="6"/>
    <tableColumn id="6" name="MrkVh" dataDxfId="5"/>
    <tableColumn id="7" name="TipoVh" dataDxfId="4"/>
    <tableColumn id="8" name="DotGas" dataDxfId="3"/>
    <tableColumn id="9" name="RmtoVh" dataDxfId="2"/>
    <tableColumn id="10" name="TIPO COMBUSTIBLE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bust" displayName="Cbust" ref="X74:Y76" totalsRowShown="0" headerRowCellStyle="Normal 2">
  <autoFilter ref="X74:Y76"/>
  <tableColumns count="2">
    <tableColumn id="1" name="CbustTipo" dataCellStyle="Normal 2"/>
    <tableColumn id="2" name="CbustCosto" dataDxfId="0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Y107"/>
  <sheetViews>
    <sheetView tabSelected="1" zoomScale="85" zoomScaleNormal="85" workbookViewId="0">
      <selection activeCell="C7" sqref="C7"/>
    </sheetView>
  </sheetViews>
  <sheetFormatPr baseColWidth="10" defaultRowHeight="12.75" x14ac:dyDescent="0.2"/>
  <cols>
    <col min="1" max="1" width="3.125" style="1" customWidth="1"/>
    <col min="2" max="2" width="12.25" style="1" bestFit="1" customWidth="1"/>
    <col min="3" max="9" width="32.875" style="1" customWidth="1"/>
    <col min="10" max="10" width="6.125" style="1" customWidth="1"/>
    <col min="11" max="11" width="11.375" style="1"/>
    <col min="12" max="12" width="8.375" style="4" hidden="1" customWidth="1"/>
    <col min="13" max="13" width="9" style="1" hidden="1" customWidth="1"/>
    <col min="14" max="14" width="43" style="1" hidden="1" customWidth="1"/>
    <col min="15" max="15" width="73" style="1" hidden="1" customWidth="1"/>
    <col min="16" max="16" width="57.625" style="1" hidden="1" customWidth="1"/>
    <col min="17" max="17" width="43" style="1" hidden="1" customWidth="1"/>
    <col min="18" max="18" width="13.625" style="1" hidden="1" customWidth="1"/>
    <col min="19" max="19" width="26.375" style="1" hidden="1" customWidth="1"/>
    <col min="20" max="23" width="11.375" style="1" hidden="1" customWidth="1"/>
    <col min="24" max="24" width="12.75" style="1" hidden="1" customWidth="1"/>
    <col min="25" max="25" width="14.25" style="1" hidden="1" customWidth="1"/>
    <col min="26" max="258" width="11.375" style="1"/>
    <col min="259" max="259" width="3.125" style="1" customWidth="1"/>
    <col min="260" max="260" width="12.25" style="1" bestFit="1" customWidth="1"/>
    <col min="261" max="267" width="32.875" style="1" customWidth="1"/>
    <col min="268" max="268" width="6.125" style="1" customWidth="1"/>
    <col min="269" max="514" width="11.375" style="1"/>
    <col min="515" max="515" width="3.125" style="1" customWidth="1"/>
    <col min="516" max="516" width="12.25" style="1" bestFit="1" customWidth="1"/>
    <col min="517" max="523" width="32.875" style="1" customWidth="1"/>
    <col min="524" max="524" width="6.125" style="1" customWidth="1"/>
    <col min="525" max="770" width="11.375" style="1"/>
    <col min="771" max="771" width="3.125" style="1" customWidth="1"/>
    <col min="772" max="772" width="12.25" style="1" bestFit="1" customWidth="1"/>
    <col min="773" max="779" width="32.875" style="1" customWidth="1"/>
    <col min="780" max="780" width="6.125" style="1" customWidth="1"/>
    <col min="781" max="1026" width="11.375" style="1"/>
    <col min="1027" max="1027" width="3.125" style="1" customWidth="1"/>
    <col min="1028" max="1028" width="12.25" style="1" bestFit="1" customWidth="1"/>
    <col min="1029" max="1035" width="32.875" style="1" customWidth="1"/>
    <col min="1036" max="1036" width="6.125" style="1" customWidth="1"/>
    <col min="1037" max="1282" width="11.375" style="1"/>
    <col min="1283" max="1283" width="3.125" style="1" customWidth="1"/>
    <col min="1284" max="1284" width="12.25" style="1" bestFit="1" customWidth="1"/>
    <col min="1285" max="1291" width="32.875" style="1" customWidth="1"/>
    <col min="1292" max="1292" width="6.125" style="1" customWidth="1"/>
    <col min="1293" max="1538" width="11.375" style="1"/>
    <col min="1539" max="1539" width="3.125" style="1" customWidth="1"/>
    <col min="1540" max="1540" width="12.25" style="1" bestFit="1" customWidth="1"/>
    <col min="1541" max="1547" width="32.875" style="1" customWidth="1"/>
    <col min="1548" max="1548" width="6.125" style="1" customWidth="1"/>
    <col min="1549" max="1794" width="11.375" style="1"/>
    <col min="1795" max="1795" width="3.125" style="1" customWidth="1"/>
    <col min="1796" max="1796" width="12.25" style="1" bestFit="1" customWidth="1"/>
    <col min="1797" max="1803" width="32.875" style="1" customWidth="1"/>
    <col min="1804" max="1804" width="6.125" style="1" customWidth="1"/>
    <col min="1805" max="2050" width="11.375" style="1"/>
    <col min="2051" max="2051" width="3.125" style="1" customWidth="1"/>
    <col min="2052" max="2052" width="12.25" style="1" bestFit="1" customWidth="1"/>
    <col min="2053" max="2059" width="32.875" style="1" customWidth="1"/>
    <col min="2060" max="2060" width="6.125" style="1" customWidth="1"/>
    <col min="2061" max="2306" width="11.375" style="1"/>
    <col min="2307" max="2307" width="3.125" style="1" customWidth="1"/>
    <col min="2308" max="2308" width="12.25" style="1" bestFit="1" customWidth="1"/>
    <col min="2309" max="2315" width="32.875" style="1" customWidth="1"/>
    <col min="2316" max="2316" width="6.125" style="1" customWidth="1"/>
    <col min="2317" max="2562" width="11.375" style="1"/>
    <col min="2563" max="2563" width="3.125" style="1" customWidth="1"/>
    <col min="2564" max="2564" width="12.25" style="1" bestFit="1" customWidth="1"/>
    <col min="2565" max="2571" width="32.875" style="1" customWidth="1"/>
    <col min="2572" max="2572" width="6.125" style="1" customWidth="1"/>
    <col min="2573" max="2818" width="11.375" style="1"/>
    <col min="2819" max="2819" width="3.125" style="1" customWidth="1"/>
    <col min="2820" max="2820" width="12.25" style="1" bestFit="1" customWidth="1"/>
    <col min="2821" max="2827" width="32.875" style="1" customWidth="1"/>
    <col min="2828" max="2828" width="6.125" style="1" customWidth="1"/>
    <col min="2829" max="3074" width="11.375" style="1"/>
    <col min="3075" max="3075" width="3.125" style="1" customWidth="1"/>
    <col min="3076" max="3076" width="12.25" style="1" bestFit="1" customWidth="1"/>
    <col min="3077" max="3083" width="32.875" style="1" customWidth="1"/>
    <col min="3084" max="3084" width="6.125" style="1" customWidth="1"/>
    <col min="3085" max="3330" width="11.375" style="1"/>
    <col min="3331" max="3331" width="3.125" style="1" customWidth="1"/>
    <col min="3332" max="3332" width="12.25" style="1" bestFit="1" customWidth="1"/>
    <col min="3333" max="3339" width="32.875" style="1" customWidth="1"/>
    <col min="3340" max="3340" width="6.125" style="1" customWidth="1"/>
    <col min="3341" max="3586" width="11.375" style="1"/>
    <col min="3587" max="3587" width="3.125" style="1" customWidth="1"/>
    <col min="3588" max="3588" width="12.25" style="1" bestFit="1" customWidth="1"/>
    <col min="3589" max="3595" width="32.875" style="1" customWidth="1"/>
    <col min="3596" max="3596" width="6.125" style="1" customWidth="1"/>
    <col min="3597" max="3842" width="11.375" style="1"/>
    <col min="3843" max="3843" width="3.125" style="1" customWidth="1"/>
    <col min="3844" max="3844" width="12.25" style="1" bestFit="1" customWidth="1"/>
    <col min="3845" max="3851" width="32.875" style="1" customWidth="1"/>
    <col min="3852" max="3852" width="6.125" style="1" customWidth="1"/>
    <col min="3853" max="4098" width="11.375" style="1"/>
    <col min="4099" max="4099" width="3.125" style="1" customWidth="1"/>
    <col min="4100" max="4100" width="12.25" style="1" bestFit="1" customWidth="1"/>
    <col min="4101" max="4107" width="32.875" style="1" customWidth="1"/>
    <col min="4108" max="4108" width="6.125" style="1" customWidth="1"/>
    <col min="4109" max="4354" width="11.375" style="1"/>
    <col min="4355" max="4355" width="3.125" style="1" customWidth="1"/>
    <col min="4356" max="4356" width="12.25" style="1" bestFit="1" customWidth="1"/>
    <col min="4357" max="4363" width="32.875" style="1" customWidth="1"/>
    <col min="4364" max="4364" width="6.125" style="1" customWidth="1"/>
    <col min="4365" max="4610" width="11.375" style="1"/>
    <col min="4611" max="4611" width="3.125" style="1" customWidth="1"/>
    <col min="4612" max="4612" width="12.25" style="1" bestFit="1" customWidth="1"/>
    <col min="4613" max="4619" width="32.875" style="1" customWidth="1"/>
    <col min="4620" max="4620" width="6.125" style="1" customWidth="1"/>
    <col min="4621" max="4866" width="11.375" style="1"/>
    <col min="4867" max="4867" width="3.125" style="1" customWidth="1"/>
    <col min="4868" max="4868" width="12.25" style="1" bestFit="1" customWidth="1"/>
    <col min="4869" max="4875" width="32.875" style="1" customWidth="1"/>
    <col min="4876" max="4876" width="6.125" style="1" customWidth="1"/>
    <col min="4877" max="5122" width="11.375" style="1"/>
    <col min="5123" max="5123" width="3.125" style="1" customWidth="1"/>
    <col min="5124" max="5124" width="12.25" style="1" bestFit="1" customWidth="1"/>
    <col min="5125" max="5131" width="32.875" style="1" customWidth="1"/>
    <col min="5132" max="5132" width="6.125" style="1" customWidth="1"/>
    <col min="5133" max="5378" width="11.375" style="1"/>
    <col min="5379" max="5379" width="3.125" style="1" customWidth="1"/>
    <col min="5380" max="5380" width="12.25" style="1" bestFit="1" customWidth="1"/>
    <col min="5381" max="5387" width="32.875" style="1" customWidth="1"/>
    <col min="5388" max="5388" width="6.125" style="1" customWidth="1"/>
    <col min="5389" max="5634" width="11.375" style="1"/>
    <col min="5635" max="5635" width="3.125" style="1" customWidth="1"/>
    <col min="5636" max="5636" width="12.25" style="1" bestFit="1" customWidth="1"/>
    <col min="5637" max="5643" width="32.875" style="1" customWidth="1"/>
    <col min="5644" max="5644" width="6.125" style="1" customWidth="1"/>
    <col min="5645" max="5890" width="11.375" style="1"/>
    <col min="5891" max="5891" width="3.125" style="1" customWidth="1"/>
    <col min="5892" max="5892" width="12.25" style="1" bestFit="1" customWidth="1"/>
    <col min="5893" max="5899" width="32.875" style="1" customWidth="1"/>
    <col min="5900" max="5900" width="6.125" style="1" customWidth="1"/>
    <col min="5901" max="6146" width="11.375" style="1"/>
    <col min="6147" max="6147" width="3.125" style="1" customWidth="1"/>
    <col min="6148" max="6148" width="12.25" style="1" bestFit="1" customWidth="1"/>
    <col min="6149" max="6155" width="32.875" style="1" customWidth="1"/>
    <col min="6156" max="6156" width="6.125" style="1" customWidth="1"/>
    <col min="6157" max="6402" width="11.375" style="1"/>
    <col min="6403" max="6403" width="3.125" style="1" customWidth="1"/>
    <col min="6404" max="6404" width="12.25" style="1" bestFit="1" customWidth="1"/>
    <col min="6405" max="6411" width="32.875" style="1" customWidth="1"/>
    <col min="6412" max="6412" width="6.125" style="1" customWidth="1"/>
    <col min="6413" max="6658" width="11.375" style="1"/>
    <col min="6659" max="6659" width="3.125" style="1" customWidth="1"/>
    <col min="6660" max="6660" width="12.25" style="1" bestFit="1" customWidth="1"/>
    <col min="6661" max="6667" width="32.875" style="1" customWidth="1"/>
    <col min="6668" max="6668" width="6.125" style="1" customWidth="1"/>
    <col min="6669" max="6914" width="11.375" style="1"/>
    <col min="6915" max="6915" width="3.125" style="1" customWidth="1"/>
    <col min="6916" max="6916" width="12.25" style="1" bestFit="1" customWidth="1"/>
    <col min="6917" max="6923" width="32.875" style="1" customWidth="1"/>
    <col min="6924" max="6924" width="6.125" style="1" customWidth="1"/>
    <col min="6925" max="7170" width="11.375" style="1"/>
    <col min="7171" max="7171" width="3.125" style="1" customWidth="1"/>
    <col min="7172" max="7172" width="12.25" style="1" bestFit="1" customWidth="1"/>
    <col min="7173" max="7179" width="32.875" style="1" customWidth="1"/>
    <col min="7180" max="7180" width="6.125" style="1" customWidth="1"/>
    <col min="7181" max="7426" width="11.375" style="1"/>
    <col min="7427" max="7427" width="3.125" style="1" customWidth="1"/>
    <col min="7428" max="7428" width="12.25" style="1" bestFit="1" customWidth="1"/>
    <col min="7429" max="7435" width="32.875" style="1" customWidth="1"/>
    <col min="7436" max="7436" width="6.125" style="1" customWidth="1"/>
    <col min="7437" max="7682" width="11.375" style="1"/>
    <col min="7683" max="7683" width="3.125" style="1" customWidth="1"/>
    <col min="7684" max="7684" width="12.25" style="1" bestFit="1" customWidth="1"/>
    <col min="7685" max="7691" width="32.875" style="1" customWidth="1"/>
    <col min="7692" max="7692" width="6.125" style="1" customWidth="1"/>
    <col min="7693" max="7938" width="11.375" style="1"/>
    <col min="7939" max="7939" width="3.125" style="1" customWidth="1"/>
    <col min="7940" max="7940" width="12.25" style="1" bestFit="1" customWidth="1"/>
    <col min="7941" max="7947" width="32.875" style="1" customWidth="1"/>
    <col min="7948" max="7948" width="6.125" style="1" customWidth="1"/>
    <col min="7949" max="8194" width="11.375" style="1"/>
    <col min="8195" max="8195" width="3.125" style="1" customWidth="1"/>
    <col min="8196" max="8196" width="12.25" style="1" bestFit="1" customWidth="1"/>
    <col min="8197" max="8203" width="32.875" style="1" customWidth="1"/>
    <col min="8204" max="8204" width="6.125" style="1" customWidth="1"/>
    <col min="8205" max="8450" width="11.375" style="1"/>
    <col min="8451" max="8451" width="3.125" style="1" customWidth="1"/>
    <col min="8452" max="8452" width="12.25" style="1" bestFit="1" customWidth="1"/>
    <col min="8453" max="8459" width="32.875" style="1" customWidth="1"/>
    <col min="8460" max="8460" width="6.125" style="1" customWidth="1"/>
    <col min="8461" max="8706" width="11.375" style="1"/>
    <col min="8707" max="8707" width="3.125" style="1" customWidth="1"/>
    <col min="8708" max="8708" width="12.25" style="1" bestFit="1" customWidth="1"/>
    <col min="8709" max="8715" width="32.875" style="1" customWidth="1"/>
    <col min="8716" max="8716" width="6.125" style="1" customWidth="1"/>
    <col min="8717" max="8962" width="11.375" style="1"/>
    <col min="8963" max="8963" width="3.125" style="1" customWidth="1"/>
    <col min="8964" max="8964" width="12.25" style="1" bestFit="1" customWidth="1"/>
    <col min="8965" max="8971" width="32.875" style="1" customWidth="1"/>
    <col min="8972" max="8972" width="6.125" style="1" customWidth="1"/>
    <col min="8973" max="9218" width="11.375" style="1"/>
    <col min="9219" max="9219" width="3.125" style="1" customWidth="1"/>
    <col min="9220" max="9220" width="12.25" style="1" bestFit="1" customWidth="1"/>
    <col min="9221" max="9227" width="32.875" style="1" customWidth="1"/>
    <col min="9228" max="9228" width="6.125" style="1" customWidth="1"/>
    <col min="9229" max="9474" width="11.375" style="1"/>
    <col min="9475" max="9475" width="3.125" style="1" customWidth="1"/>
    <col min="9476" max="9476" width="12.25" style="1" bestFit="1" customWidth="1"/>
    <col min="9477" max="9483" width="32.875" style="1" customWidth="1"/>
    <col min="9484" max="9484" width="6.125" style="1" customWidth="1"/>
    <col min="9485" max="9730" width="11.375" style="1"/>
    <col min="9731" max="9731" width="3.125" style="1" customWidth="1"/>
    <col min="9732" max="9732" width="12.25" style="1" bestFit="1" customWidth="1"/>
    <col min="9733" max="9739" width="32.875" style="1" customWidth="1"/>
    <col min="9740" max="9740" width="6.125" style="1" customWidth="1"/>
    <col min="9741" max="9986" width="11.375" style="1"/>
    <col min="9987" max="9987" width="3.125" style="1" customWidth="1"/>
    <col min="9988" max="9988" width="12.25" style="1" bestFit="1" customWidth="1"/>
    <col min="9989" max="9995" width="32.875" style="1" customWidth="1"/>
    <col min="9996" max="9996" width="6.125" style="1" customWidth="1"/>
    <col min="9997" max="10242" width="11.375" style="1"/>
    <col min="10243" max="10243" width="3.125" style="1" customWidth="1"/>
    <col min="10244" max="10244" width="12.25" style="1" bestFit="1" customWidth="1"/>
    <col min="10245" max="10251" width="32.875" style="1" customWidth="1"/>
    <col min="10252" max="10252" width="6.125" style="1" customWidth="1"/>
    <col min="10253" max="10498" width="11.375" style="1"/>
    <col min="10499" max="10499" width="3.125" style="1" customWidth="1"/>
    <col min="10500" max="10500" width="12.25" style="1" bestFit="1" customWidth="1"/>
    <col min="10501" max="10507" width="32.875" style="1" customWidth="1"/>
    <col min="10508" max="10508" width="6.125" style="1" customWidth="1"/>
    <col min="10509" max="10754" width="11.375" style="1"/>
    <col min="10755" max="10755" width="3.125" style="1" customWidth="1"/>
    <col min="10756" max="10756" width="12.25" style="1" bestFit="1" customWidth="1"/>
    <col min="10757" max="10763" width="32.875" style="1" customWidth="1"/>
    <col min="10764" max="10764" width="6.125" style="1" customWidth="1"/>
    <col min="10765" max="11010" width="11.375" style="1"/>
    <col min="11011" max="11011" width="3.125" style="1" customWidth="1"/>
    <col min="11012" max="11012" width="12.25" style="1" bestFit="1" customWidth="1"/>
    <col min="11013" max="11019" width="32.875" style="1" customWidth="1"/>
    <col min="11020" max="11020" width="6.125" style="1" customWidth="1"/>
    <col min="11021" max="11266" width="11.375" style="1"/>
    <col min="11267" max="11267" width="3.125" style="1" customWidth="1"/>
    <col min="11268" max="11268" width="12.25" style="1" bestFit="1" customWidth="1"/>
    <col min="11269" max="11275" width="32.875" style="1" customWidth="1"/>
    <col min="11276" max="11276" width="6.125" style="1" customWidth="1"/>
    <col min="11277" max="11522" width="11.375" style="1"/>
    <col min="11523" max="11523" width="3.125" style="1" customWidth="1"/>
    <col min="11524" max="11524" width="12.25" style="1" bestFit="1" customWidth="1"/>
    <col min="11525" max="11531" width="32.875" style="1" customWidth="1"/>
    <col min="11532" max="11532" width="6.125" style="1" customWidth="1"/>
    <col min="11533" max="11778" width="11.375" style="1"/>
    <col min="11779" max="11779" width="3.125" style="1" customWidth="1"/>
    <col min="11780" max="11780" width="12.25" style="1" bestFit="1" customWidth="1"/>
    <col min="11781" max="11787" width="32.875" style="1" customWidth="1"/>
    <col min="11788" max="11788" width="6.125" style="1" customWidth="1"/>
    <col min="11789" max="12034" width="11.375" style="1"/>
    <col min="12035" max="12035" width="3.125" style="1" customWidth="1"/>
    <col min="12036" max="12036" width="12.25" style="1" bestFit="1" customWidth="1"/>
    <col min="12037" max="12043" width="32.875" style="1" customWidth="1"/>
    <col min="12044" max="12044" width="6.125" style="1" customWidth="1"/>
    <col min="12045" max="12290" width="11.375" style="1"/>
    <col min="12291" max="12291" width="3.125" style="1" customWidth="1"/>
    <col min="12292" max="12292" width="12.25" style="1" bestFit="1" customWidth="1"/>
    <col min="12293" max="12299" width="32.875" style="1" customWidth="1"/>
    <col min="12300" max="12300" width="6.125" style="1" customWidth="1"/>
    <col min="12301" max="12546" width="11.375" style="1"/>
    <col min="12547" max="12547" width="3.125" style="1" customWidth="1"/>
    <col min="12548" max="12548" width="12.25" style="1" bestFit="1" customWidth="1"/>
    <col min="12549" max="12555" width="32.875" style="1" customWidth="1"/>
    <col min="12556" max="12556" width="6.125" style="1" customWidth="1"/>
    <col min="12557" max="12802" width="11.375" style="1"/>
    <col min="12803" max="12803" width="3.125" style="1" customWidth="1"/>
    <col min="12804" max="12804" width="12.25" style="1" bestFit="1" customWidth="1"/>
    <col min="12805" max="12811" width="32.875" style="1" customWidth="1"/>
    <col min="12812" max="12812" width="6.125" style="1" customWidth="1"/>
    <col min="12813" max="13058" width="11.375" style="1"/>
    <col min="13059" max="13059" width="3.125" style="1" customWidth="1"/>
    <col min="13060" max="13060" width="12.25" style="1" bestFit="1" customWidth="1"/>
    <col min="13061" max="13067" width="32.875" style="1" customWidth="1"/>
    <col min="13068" max="13068" width="6.125" style="1" customWidth="1"/>
    <col min="13069" max="13314" width="11.375" style="1"/>
    <col min="13315" max="13315" width="3.125" style="1" customWidth="1"/>
    <col min="13316" max="13316" width="12.25" style="1" bestFit="1" customWidth="1"/>
    <col min="13317" max="13323" width="32.875" style="1" customWidth="1"/>
    <col min="13324" max="13324" width="6.125" style="1" customWidth="1"/>
    <col min="13325" max="13570" width="11.375" style="1"/>
    <col min="13571" max="13571" width="3.125" style="1" customWidth="1"/>
    <col min="13572" max="13572" width="12.25" style="1" bestFit="1" customWidth="1"/>
    <col min="13573" max="13579" width="32.875" style="1" customWidth="1"/>
    <col min="13580" max="13580" width="6.125" style="1" customWidth="1"/>
    <col min="13581" max="13826" width="11.375" style="1"/>
    <col min="13827" max="13827" width="3.125" style="1" customWidth="1"/>
    <col min="13828" max="13828" width="12.25" style="1" bestFit="1" customWidth="1"/>
    <col min="13829" max="13835" width="32.875" style="1" customWidth="1"/>
    <col min="13836" max="13836" width="6.125" style="1" customWidth="1"/>
    <col min="13837" max="14082" width="11.375" style="1"/>
    <col min="14083" max="14083" width="3.125" style="1" customWidth="1"/>
    <col min="14084" max="14084" width="12.25" style="1" bestFit="1" customWidth="1"/>
    <col min="14085" max="14091" width="32.875" style="1" customWidth="1"/>
    <col min="14092" max="14092" width="6.125" style="1" customWidth="1"/>
    <col min="14093" max="14338" width="11.375" style="1"/>
    <col min="14339" max="14339" width="3.125" style="1" customWidth="1"/>
    <col min="14340" max="14340" width="12.25" style="1" bestFit="1" customWidth="1"/>
    <col min="14341" max="14347" width="32.875" style="1" customWidth="1"/>
    <col min="14348" max="14348" width="6.125" style="1" customWidth="1"/>
    <col min="14349" max="14594" width="11.375" style="1"/>
    <col min="14595" max="14595" width="3.125" style="1" customWidth="1"/>
    <col min="14596" max="14596" width="12.25" style="1" bestFit="1" customWidth="1"/>
    <col min="14597" max="14603" width="32.875" style="1" customWidth="1"/>
    <col min="14604" max="14604" width="6.125" style="1" customWidth="1"/>
    <col min="14605" max="14850" width="11.375" style="1"/>
    <col min="14851" max="14851" width="3.125" style="1" customWidth="1"/>
    <col min="14852" max="14852" width="12.25" style="1" bestFit="1" customWidth="1"/>
    <col min="14853" max="14859" width="32.875" style="1" customWidth="1"/>
    <col min="14860" max="14860" width="6.125" style="1" customWidth="1"/>
    <col min="14861" max="15106" width="11.375" style="1"/>
    <col min="15107" max="15107" width="3.125" style="1" customWidth="1"/>
    <col min="15108" max="15108" width="12.25" style="1" bestFit="1" customWidth="1"/>
    <col min="15109" max="15115" width="32.875" style="1" customWidth="1"/>
    <col min="15116" max="15116" width="6.125" style="1" customWidth="1"/>
    <col min="15117" max="15362" width="11.375" style="1"/>
    <col min="15363" max="15363" width="3.125" style="1" customWidth="1"/>
    <col min="15364" max="15364" width="12.25" style="1" bestFit="1" customWidth="1"/>
    <col min="15365" max="15371" width="32.875" style="1" customWidth="1"/>
    <col min="15372" max="15372" width="6.125" style="1" customWidth="1"/>
    <col min="15373" max="15618" width="11.375" style="1"/>
    <col min="15619" max="15619" width="3.125" style="1" customWidth="1"/>
    <col min="15620" max="15620" width="12.25" style="1" bestFit="1" customWidth="1"/>
    <col min="15621" max="15627" width="32.875" style="1" customWidth="1"/>
    <col min="15628" max="15628" width="6.125" style="1" customWidth="1"/>
    <col min="15629" max="15874" width="11.375" style="1"/>
    <col min="15875" max="15875" width="3.125" style="1" customWidth="1"/>
    <col min="15876" max="15876" width="12.25" style="1" bestFit="1" customWidth="1"/>
    <col min="15877" max="15883" width="32.875" style="1" customWidth="1"/>
    <col min="15884" max="15884" width="6.125" style="1" customWidth="1"/>
    <col min="15885" max="16130" width="11.375" style="1"/>
    <col min="16131" max="16131" width="3.125" style="1" customWidth="1"/>
    <col min="16132" max="16132" width="12.25" style="1" bestFit="1" customWidth="1"/>
    <col min="16133" max="16139" width="32.875" style="1" customWidth="1"/>
    <col min="16140" max="16140" width="6.125" style="1" customWidth="1"/>
    <col min="16141" max="16384" width="11.375" style="1"/>
  </cols>
  <sheetData>
    <row r="2" spans="1:12" ht="26.25" x14ac:dyDescent="0.4">
      <c r="B2" s="86" t="str">
        <f>IF($C$7&lt;&gt;"","Indicar en que comisiones oficianes se consumió la Dotación Normal y en cuales se utilizará la Dotación Extra","Seleccionar primero el Número de Control del Vehículo")</f>
        <v>Seleccionar primero el Número de Control del Vehículo</v>
      </c>
      <c r="C2" s="86"/>
      <c r="D2" s="86"/>
      <c r="E2" s="86"/>
      <c r="F2" s="86"/>
      <c r="G2" s="86"/>
      <c r="H2" s="86"/>
      <c r="I2" s="86"/>
      <c r="K2"/>
    </row>
    <row r="3" spans="1:12" customFormat="1" ht="15" x14ac:dyDescent="0.25">
      <c r="L3" s="74"/>
    </row>
    <row r="4" spans="1:12" ht="15" customHeight="1" x14ac:dyDescent="0.25">
      <c r="B4" s="56" t="s">
        <v>152</v>
      </c>
      <c r="C4" s="99" t="e">
        <f>VLOOKUP($C$7,DatosVh[],3,FALSE)</f>
        <v>#N/A</v>
      </c>
      <c r="D4" s="99"/>
      <c r="E4" s="82" t="s">
        <v>141</v>
      </c>
      <c r="F4" s="83"/>
      <c r="G4" s="83"/>
      <c r="I4"/>
      <c r="K4"/>
    </row>
    <row r="5" spans="1:12" ht="15" customHeight="1" x14ac:dyDescent="0.25">
      <c r="B5" s="56" t="s">
        <v>135</v>
      </c>
      <c r="C5" s="99" t="e">
        <f>VLOOKUP($C$7,DatosVh[],5,FALSE)</f>
        <v>#N/A</v>
      </c>
      <c r="D5" s="99"/>
      <c r="E5" s="82"/>
      <c r="F5" s="83"/>
      <c r="G5" s="83"/>
      <c r="H5" s="33" t="s">
        <v>140</v>
      </c>
      <c r="I5"/>
      <c r="K5"/>
    </row>
    <row r="6" spans="1:12" ht="15" customHeight="1" x14ac:dyDescent="0.25">
      <c r="B6" s="92" t="s">
        <v>2</v>
      </c>
      <c r="C6" s="33" t="s">
        <v>148</v>
      </c>
      <c r="D6" s="33" t="s">
        <v>3</v>
      </c>
      <c r="E6" s="84" t="s">
        <v>142</v>
      </c>
      <c r="F6" s="85"/>
      <c r="G6" s="85"/>
      <c r="H6" s="61">
        <f ca="1">TODAY()</f>
        <v>42654</v>
      </c>
      <c r="I6" s="50"/>
      <c r="K6"/>
    </row>
    <row r="7" spans="1:12" ht="15.75" thickBot="1" x14ac:dyDescent="0.3">
      <c r="B7" s="92"/>
      <c r="C7" s="53"/>
      <c r="D7" s="54" t="e">
        <f>VLOOKUP($C$7,DatosVh[],2,FALSE)</f>
        <v>#N/A</v>
      </c>
      <c r="K7"/>
    </row>
    <row r="8" spans="1:12" ht="15" x14ac:dyDescent="0.25">
      <c r="B8" s="92"/>
      <c r="C8" s="33" t="s">
        <v>136</v>
      </c>
      <c r="D8" s="33" t="s">
        <v>137</v>
      </c>
      <c r="F8" s="57" t="s">
        <v>14</v>
      </c>
      <c r="G8" s="58" t="s">
        <v>138</v>
      </c>
      <c r="H8" s="59" t="s">
        <v>139</v>
      </c>
      <c r="I8"/>
      <c r="K8"/>
    </row>
    <row r="9" spans="1:12" ht="15" x14ac:dyDescent="0.25">
      <c r="B9" s="92"/>
      <c r="C9" s="54" t="e">
        <f>VLOOKUP($C$7,DatosVh[],8,FALSE)</f>
        <v>#N/A</v>
      </c>
      <c r="D9" s="54" t="e">
        <f>VLOOKUP($C$7,DatosVh[],11,FALSE)</f>
        <v>#N/A</v>
      </c>
      <c r="F9" s="93" t="e">
        <f>VLOOKUP($C$7,DatosVh[],9,FALSE)</f>
        <v>#N/A</v>
      </c>
      <c r="G9" s="95" t="e">
        <f>I65</f>
        <v>#N/A</v>
      </c>
      <c r="H9" s="97" t="e">
        <f>SUM(F9:G11)</f>
        <v>#N/A</v>
      </c>
      <c r="K9"/>
    </row>
    <row r="10" spans="1:12" ht="15" x14ac:dyDescent="0.25">
      <c r="B10" s="92"/>
      <c r="C10" s="33" t="s">
        <v>149</v>
      </c>
      <c r="D10" s="33" t="s">
        <v>4</v>
      </c>
      <c r="F10" s="93"/>
      <c r="G10" s="95"/>
      <c r="H10" s="97"/>
      <c r="K10"/>
    </row>
    <row r="11" spans="1:12" ht="15.75" thickBot="1" x14ac:dyDescent="0.3">
      <c r="B11" s="92"/>
      <c r="C11" s="54" t="e">
        <f>VLOOKUP($C$7,DatosVh[],10,FALSE)</f>
        <v>#N/A</v>
      </c>
      <c r="D11" s="55" t="e">
        <f>VLOOKUP(VLOOKUP($C$7,DatosVh[],11,FALSE),Cbust[],2,FALSE)</f>
        <v>#N/A</v>
      </c>
      <c r="F11" s="94"/>
      <c r="G11" s="96"/>
      <c r="H11" s="98"/>
      <c r="I11" s="60"/>
      <c r="K11"/>
    </row>
    <row r="12" spans="1:12" ht="15.75" thickBot="1" x14ac:dyDescent="0.3">
      <c r="B12" s="5"/>
      <c r="C12" s="5"/>
      <c r="D12" s="5"/>
      <c r="E12" s="5"/>
      <c r="F12" s="5"/>
      <c r="G12" s="5"/>
      <c r="H12" s="5"/>
      <c r="I12" s="5"/>
      <c r="K12"/>
    </row>
    <row r="13" spans="1:12" ht="18" x14ac:dyDescent="0.25">
      <c r="A13" s="6"/>
      <c r="B13" s="87" t="s">
        <v>5</v>
      </c>
      <c r="C13" s="88"/>
      <c r="D13" s="88"/>
      <c r="E13" s="88"/>
      <c r="F13" s="88"/>
      <c r="G13" s="88"/>
      <c r="H13" s="88"/>
      <c r="I13" s="89"/>
      <c r="K13"/>
    </row>
    <row r="14" spans="1:12" s="10" customFormat="1" ht="15" x14ac:dyDescent="0.25">
      <c r="A14" s="7"/>
      <c r="B14" s="42" t="s">
        <v>6</v>
      </c>
      <c r="C14" s="8">
        <v>1</v>
      </c>
      <c r="D14" s="8">
        <v>2</v>
      </c>
      <c r="E14" s="8">
        <v>3</v>
      </c>
      <c r="F14" s="8">
        <v>4</v>
      </c>
      <c r="G14" s="8">
        <v>5</v>
      </c>
      <c r="H14" s="8">
        <v>6</v>
      </c>
      <c r="I14" s="9">
        <v>7</v>
      </c>
      <c r="K14"/>
      <c r="L14" s="12"/>
    </row>
    <row r="15" spans="1:12" x14ac:dyDescent="0.2">
      <c r="A15" s="6"/>
      <c r="B15" s="42" t="s">
        <v>7</v>
      </c>
      <c r="C15" s="66"/>
      <c r="D15" s="43"/>
      <c r="E15" s="43"/>
      <c r="F15" s="43"/>
      <c r="G15" s="43"/>
      <c r="H15" s="43"/>
      <c r="I15" s="45"/>
    </row>
    <row r="16" spans="1:12" x14ac:dyDescent="0.2">
      <c r="A16" s="6"/>
      <c r="B16" s="42" t="s">
        <v>132</v>
      </c>
      <c r="C16" s="66"/>
      <c r="D16" s="66"/>
      <c r="E16" s="66"/>
      <c r="F16" s="66"/>
      <c r="G16" s="66"/>
      <c r="H16" s="66"/>
      <c r="I16" s="67"/>
    </row>
    <row r="17" spans="1:12" x14ac:dyDescent="0.2">
      <c r="A17" s="6"/>
      <c r="B17" s="42" t="s">
        <v>130</v>
      </c>
      <c r="C17" s="43"/>
      <c r="D17" s="43"/>
      <c r="E17" s="43"/>
      <c r="F17" s="43"/>
      <c r="G17" s="43"/>
      <c r="H17" s="43"/>
      <c r="I17" s="45"/>
    </row>
    <row r="18" spans="1:12" x14ac:dyDescent="0.2">
      <c r="A18" s="6"/>
      <c r="B18" s="42" t="s">
        <v>131</v>
      </c>
      <c r="C18" s="44" t="e">
        <f t="shared" ref="C18:I18" si="0">C17/$C$11</f>
        <v>#N/A</v>
      </c>
      <c r="D18" s="44" t="e">
        <f t="shared" si="0"/>
        <v>#N/A</v>
      </c>
      <c r="E18" s="44" t="e">
        <f t="shared" si="0"/>
        <v>#N/A</v>
      </c>
      <c r="F18" s="44" t="e">
        <f t="shared" si="0"/>
        <v>#N/A</v>
      </c>
      <c r="G18" s="44" t="e">
        <f t="shared" si="0"/>
        <v>#N/A</v>
      </c>
      <c r="H18" s="44" t="e">
        <f t="shared" si="0"/>
        <v>#N/A</v>
      </c>
      <c r="I18" s="41" t="e">
        <f t="shared" si="0"/>
        <v>#N/A</v>
      </c>
    </row>
    <row r="19" spans="1:12" s="10" customFormat="1" x14ac:dyDescent="0.2">
      <c r="A19" s="7"/>
      <c r="B19" s="42" t="s">
        <v>6</v>
      </c>
      <c r="C19" s="8">
        <v>8</v>
      </c>
      <c r="D19" s="8">
        <v>9</v>
      </c>
      <c r="E19" s="8">
        <v>10</v>
      </c>
      <c r="F19" s="8">
        <v>11</v>
      </c>
      <c r="G19" s="8">
        <v>12</v>
      </c>
      <c r="H19" s="8">
        <v>13</v>
      </c>
      <c r="I19" s="9">
        <v>14</v>
      </c>
      <c r="L19" s="12"/>
    </row>
    <row r="20" spans="1:12" x14ac:dyDescent="0.2">
      <c r="A20" s="6"/>
      <c r="B20" s="42" t="s">
        <v>7</v>
      </c>
      <c r="C20" s="66"/>
      <c r="D20" s="66"/>
      <c r="E20" s="66"/>
      <c r="F20" s="66"/>
      <c r="G20" s="66"/>
      <c r="H20" s="66"/>
      <c r="I20" s="67"/>
    </row>
    <row r="21" spans="1:12" x14ac:dyDescent="0.2">
      <c r="A21" s="6"/>
      <c r="B21" s="42" t="s">
        <v>132</v>
      </c>
      <c r="C21" s="66"/>
      <c r="D21" s="66"/>
      <c r="E21" s="66"/>
      <c r="F21" s="66"/>
      <c r="G21" s="66"/>
      <c r="H21" s="66"/>
      <c r="I21" s="67"/>
    </row>
    <row r="22" spans="1:12" x14ac:dyDescent="0.2">
      <c r="A22" s="6"/>
      <c r="B22" s="42" t="s">
        <v>130</v>
      </c>
      <c r="C22" s="43"/>
      <c r="D22" s="43"/>
      <c r="E22" s="43"/>
      <c r="F22" s="43"/>
      <c r="G22" s="43"/>
      <c r="H22" s="43"/>
      <c r="I22" s="45"/>
    </row>
    <row r="23" spans="1:12" x14ac:dyDescent="0.2">
      <c r="A23" s="6"/>
      <c r="B23" s="42" t="s">
        <v>131</v>
      </c>
      <c r="C23" s="44" t="e">
        <f t="shared" ref="C23:I23" si="1">C22/$C$11</f>
        <v>#N/A</v>
      </c>
      <c r="D23" s="44" t="e">
        <f t="shared" si="1"/>
        <v>#N/A</v>
      </c>
      <c r="E23" s="44" t="e">
        <f t="shared" si="1"/>
        <v>#N/A</v>
      </c>
      <c r="F23" s="44" t="e">
        <f t="shared" si="1"/>
        <v>#N/A</v>
      </c>
      <c r="G23" s="44" t="e">
        <f t="shared" si="1"/>
        <v>#N/A</v>
      </c>
      <c r="H23" s="44" t="e">
        <f t="shared" si="1"/>
        <v>#N/A</v>
      </c>
      <c r="I23" s="41" t="e">
        <f t="shared" si="1"/>
        <v>#N/A</v>
      </c>
    </row>
    <row r="24" spans="1:12" s="10" customFormat="1" x14ac:dyDescent="0.2">
      <c r="A24" s="7"/>
      <c r="B24" s="42" t="s">
        <v>6</v>
      </c>
      <c r="C24" s="8">
        <v>15</v>
      </c>
      <c r="D24" s="8">
        <v>16</v>
      </c>
      <c r="E24" s="8">
        <v>17</v>
      </c>
      <c r="F24" s="8">
        <v>18</v>
      </c>
      <c r="G24" s="8">
        <v>19</v>
      </c>
      <c r="H24" s="8">
        <v>20</v>
      </c>
      <c r="I24" s="9">
        <v>21</v>
      </c>
      <c r="L24" s="12"/>
    </row>
    <row r="25" spans="1:12" x14ac:dyDescent="0.2">
      <c r="A25" s="6"/>
      <c r="B25" s="42" t="s">
        <v>7</v>
      </c>
      <c r="C25" s="66"/>
      <c r="D25" s="66"/>
      <c r="E25" s="66"/>
      <c r="F25" s="66"/>
      <c r="G25" s="66"/>
      <c r="H25" s="66"/>
      <c r="I25" s="67"/>
    </row>
    <row r="26" spans="1:12" x14ac:dyDescent="0.2">
      <c r="A26" s="6"/>
      <c r="B26" s="42" t="s">
        <v>132</v>
      </c>
      <c r="C26" s="66"/>
      <c r="D26" s="66"/>
      <c r="E26" s="66"/>
      <c r="F26" s="66"/>
      <c r="G26" s="66"/>
      <c r="H26" s="66"/>
      <c r="I26" s="67"/>
    </row>
    <row r="27" spans="1:12" x14ac:dyDescent="0.2">
      <c r="A27" s="6"/>
      <c r="B27" s="42" t="s">
        <v>130</v>
      </c>
      <c r="C27" s="43"/>
      <c r="D27" s="43"/>
      <c r="E27" s="43"/>
      <c r="F27" s="43"/>
      <c r="G27" s="43"/>
      <c r="H27" s="43"/>
      <c r="I27" s="45"/>
    </row>
    <row r="28" spans="1:12" x14ac:dyDescent="0.2">
      <c r="A28" s="6"/>
      <c r="B28" s="42" t="s">
        <v>131</v>
      </c>
      <c r="C28" s="44" t="e">
        <f t="shared" ref="C28:I28" si="2">C27/$C$11</f>
        <v>#N/A</v>
      </c>
      <c r="D28" s="44" t="e">
        <f t="shared" si="2"/>
        <v>#N/A</v>
      </c>
      <c r="E28" s="44" t="e">
        <f t="shared" si="2"/>
        <v>#N/A</v>
      </c>
      <c r="F28" s="44" t="e">
        <f t="shared" si="2"/>
        <v>#N/A</v>
      </c>
      <c r="G28" s="44" t="e">
        <f t="shared" si="2"/>
        <v>#N/A</v>
      </c>
      <c r="H28" s="44" t="e">
        <f t="shared" si="2"/>
        <v>#N/A</v>
      </c>
      <c r="I28" s="41" t="e">
        <f t="shared" si="2"/>
        <v>#N/A</v>
      </c>
    </row>
    <row r="29" spans="1:12" s="10" customFormat="1" x14ac:dyDescent="0.2">
      <c r="A29" s="7"/>
      <c r="B29" s="42" t="s">
        <v>6</v>
      </c>
      <c r="C29" s="8">
        <v>22</v>
      </c>
      <c r="D29" s="8">
        <v>23</v>
      </c>
      <c r="E29" s="8">
        <v>24</v>
      </c>
      <c r="F29" s="8">
        <v>25</v>
      </c>
      <c r="G29" s="8">
        <v>26</v>
      </c>
      <c r="H29" s="8">
        <v>27</v>
      </c>
      <c r="I29" s="9">
        <v>28</v>
      </c>
      <c r="L29" s="12"/>
    </row>
    <row r="30" spans="1:12" x14ac:dyDescent="0.2">
      <c r="A30" s="6"/>
      <c r="B30" s="42" t="s">
        <v>7</v>
      </c>
      <c r="C30" s="66"/>
      <c r="D30" s="66"/>
      <c r="E30" s="66"/>
      <c r="F30" s="66"/>
      <c r="G30" s="66"/>
      <c r="H30" s="66"/>
      <c r="I30" s="67"/>
    </row>
    <row r="31" spans="1:12" x14ac:dyDescent="0.2">
      <c r="A31" s="6"/>
      <c r="B31" s="42" t="s">
        <v>132</v>
      </c>
      <c r="C31" s="66"/>
      <c r="D31" s="66"/>
      <c r="E31" s="66"/>
      <c r="F31" s="66"/>
      <c r="G31" s="66"/>
      <c r="H31" s="66"/>
      <c r="I31" s="67"/>
    </row>
    <row r="32" spans="1:12" x14ac:dyDescent="0.2">
      <c r="A32" s="6"/>
      <c r="B32" s="42" t="s">
        <v>130</v>
      </c>
      <c r="C32" s="43"/>
      <c r="D32" s="43"/>
      <c r="E32" s="43"/>
      <c r="F32" s="43"/>
      <c r="G32" s="43"/>
      <c r="H32" s="43"/>
      <c r="I32" s="45"/>
      <c r="J32" s="11"/>
    </row>
    <row r="33" spans="1:12" ht="13.5" thickBot="1" x14ac:dyDescent="0.25">
      <c r="A33" s="6"/>
      <c r="B33" s="42" t="s">
        <v>131</v>
      </c>
      <c r="C33" s="44" t="e">
        <f t="shared" ref="C33:I33" si="3">C32/$C$11</f>
        <v>#N/A</v>
      </c>
      <c r="D33" s="44" t="e">
        <f t="shared" si="3"/>
        <v>#N/A</v>
      </c>
      <c r="E33" s="44" t="e">
        <f t="shared" si="3"/>
        <v>#N/A</v>
      </c>
      <c r="F33" s="46" t="e">
        <f t="shared" si="3"/>
        <v>#N/A</v>
      </c>
      <c r="G33" s="46" t="e">
        <f t="shared" si="3"/>
        <v>#N/A</v>
      </c>
      <c r="H33" s="46" t="e">
        <f t="shared" si="3"/>
        <v>#N/A</v>
      </c>
      <c r="I33" s="47" t="e">
        <f t="shared" si="3"/>
        <v>#N/A</v>
      </c>
      <c r="J33" s="11"/>
    </row>
    <row r="34" spans="1:12" s="10" customFormat="1" x14ac:dyDescent="0.2">
      <c r="A34" s="7"/>
      <c r="B34" s="42" t="s">
        <v>6</v>
      </c>
      <c r="C34" s="8">
        <v>29</v>
      </c>
      <c r="D34" s="8">
        <v>30</v>
      </c>
      <c r="E34" s="35">
        <v>31</v>
      </c>
      <c r="F34" s="36"/>
      <c r="G34" s="37"/>
      <c r="H34" s="37"/>
      <c r="I34" s="38"/>
      <c r="L34" s="12"/>
    </row>
    <row r="35" spans="1:12" ht="15.75" thickBot="1" x14ac:dyDescent="0.3">
      <c r="A35" s="6"/>
      <c r="B35" s="42" t="s">
        <v>7</v>
      </c>
      <c r="C35" s="66"/>
      <c r="D35" s="66"/>
      <c r="E35" s="66"/>
      <c r="F35" s="39"/>
      <c r="G35" s="11"/>
      <c r="H35" s="50"/>
      <c r="I35" s="68"/>
    </row>
    <row r="36" spans="1:12" x14ac:dyDescent="0.2">
      <c r="A36" s="6"/>
      <c r="B36" s="42" t="s">
        <v>132</v>
      </c>
      <c r="C36" s="66"/>
      <c r="D36" s="66"/>
      <c r="E36" s="66"/>
      <c r="F36" s="39"/>
      <c r="G36" s="11"/>
      <c r="H36" s="63" t="s">
        <v>150</v>
      </c>
      <c r="I36" s="40">
        <f>SUM(C17:I17)+SUM(C22:I22)+SUM(C27:I27)+SUM(C32:I32)+SUM(C37:E37)</f>
        <v>0</v>
      </c>
    </row>
    <row r="37" spans="1:12" x14ac:dyDescent="0.2">
      <c r="A37" s="6"/>
      <c r="B37" s="42" t="s">
        <v>130</v>
      </c>
      <c r="C37" s="66"/>
      <c r="D37" s="66"/>
      <c r="E37" s="66"/>
      <c r="F37" s="39"/>
      <c r="G37" s="11"/>
      <c r="H37" s="64" t="s">
        <v>145</v>
      </c>
      <c r="I37" s="41" t="e">
        <f>SUM(C18:I18)+SUM(C23:I23)+SUM(C28:I28)+SUM(C33:I33)+SUM(C38:E38)</f>
        <v>#N/A</v>
      </c>
    </row>
    <row r="38" spans="1:12" ht="15.75" thickBot="1" x14ac:dyDescent="0.3">
      <c r="A38" s="6"/>
      <c r="B38" s="34" t="s">
        <v>131</v>
      </c>
      <c r="C38" s="46" t="e">
        <f>C37/$C$11</f>
        <v>#N/A</v>
      </c>
      <c r="D38" s="46" t="e">
        <f t="shared" ref="D38:E38" si="4">D37/$C$11</f>
        <v>#N/A</v>
      </c>
      <c r="E38" s="46" t="e">
        <f t="shared" si="4"/>
        <v>#N/A</v>
      </c>
      <c r="F38" s="90" t="e">
        <f>IF(AND($I$38&gt;($F$9-100),$I$38&lt;($F$9+100)),"","Este costo debe ser +/- $100 igual que la Dotación Normal &gt;&gt;&gt;")</f>
        <v>#N/A</v>
      </c>
      <c r="G38" s="91"/>
      <c r="H38" s="65" t="s">
        <v>144</v>
      </c>
      <c r="I38" s="49" t="e">
        <f>$D$11*I37</f>
        <v>#N/A</v>
      </c>
    </row>
    <row r="39" spans="1:12" ht="13.5" thickBot="1" x14ac:dyDescent="0.25">
      <c r="B39" s="5"/>
      <c r="C39" s="5"/>
      <c r="D39" s="5"/>
      <c r="E39" s="5"/>
      <c r="F39" s="5"/>
      <c r="G39" s="5"/>
      <c r="H39" s="5"/>
      <c r="I39" s="5"/>
    </row>
    <row r="40" spans="1:12" ht="18" x14ac:dyDescent="0.25">
      <c r="A40" s="6"/>
      <c r="B40" s="87" t="s">
        <v>8</v>
      </c>
      <c r="C40" s="88"/>
      <c r="D40" s="88"/>
      <c r="E40" s="88"/>
      <c r="F40" s="88"/>
      <c r="G40" s="88"/>
      <c r="H40" s="88"/>
      <c r="I40" s="89"/>
    </row>
    <row r="41" spans="1:12" s="10" customFormat="1" x14ac:dyDescent="0.2">
      <c r="A41" s="7"/>
      <c r="B41" s="42" t="s">
        <v>6</v>
      </c>
      <c r="C41" s="8">
        <v>1</v>
      </c>
      <c r="D41" s="8">
        <v>2</v>
      </c>
      <c r="E41" s="8">
        <v>3</v>
      </c>
      <c r="F41" s="8">
        <v>4</v>
      </c>
      <c r="G41" s="8">
        <v>5</v>
      </c>
      <c r="H41" s="8">
        <v>6</v>
      </c>
      <c r="I41" s="9">
        <v>7</v>
      </c>
      <c r="L41" s="12"/>
    </row>
    <row r="42" spans="1:12" x14ac:dyDescent="0.2">
      <c r="A42" s="6"/>
      <c r="B42" s="42" t="s">
        <v>7</v>
      </c>
      <c r="C42" s="66"/>
      <c r="D42" s="43"/>
      <c r="E42" s="43"/>
      <c r="F42" s="43"/>
      <c r="G42" s="43"/>
      <c r="H42" s="43"/>
      <c r="I42" s="45"/>
    </row>
    <row r="43" spans="1:12" x14ac:dyDescent="0.2">
      <c r="A43" s="6"/>
      <c r="B43" s="42" t="s">
        <v>132</v>
      </c>
      <c r="C43" s="43"/>
      <c r="D43" s="43"/>
      <c r="E43" s="43"/>
      <c r="F43" s="43"/>
      <c r="G43" s="43"/>
      <c r="H43" s="43"/>
      <c r="I43" s="45"/>
    </row>
    <row r="44" spans="1:12" x14ac:dyDescent="0.2">
      <c r="A44" s="6"/>
      <c r="B44" s="42" t="s">
        <v>130</v>
      </c>
      <c r="C44" s="43"/>
      <c r="D44" s="43"/>
      <c r="E44" s="43"/>
      <c r="F44" s="43"/>
      <c r="G44" s="43"/>
      <c r="H44" s="43"/>
      <c r="I44" s="45"/>
    </row>
    <row r="45" spans="1:12" x14ac:dyDescent="0.2">
      <c r="A45" s="6"/>
      <c r="B45" s="42" t="s">
        <v>131</v>
      </c>
      <c r="C45" s="44" t="e">
        <f t="shared" ref="C45:I45" si="5">C44/$C$11</f>
        <v>#N/A</v>
      </c>
      <c r="D45" s="44" t="e">
        <f t="shared" si="5"/>
        <v>#N/A</v>
      </c>
      <c r="E45" s="44" t="e">
        <f t="shared" si="5"/>
        <v>#N/A</v>
      </c>
      <c r="F45" s="44" t="e">
        <f t="shared" si="5"/>
        <v>#N/A</v>
      </c>
      <c r="G45" s="44" t="e">
        <f t="shared" si="5"/>
        <v>#N/A</v>
      </c>
      <c r="H45" s="44" t="e">
        <f t="shared" si="5"/>
        <v>#N/A</v>
      </c>
      <c r="I45" s="41" t="e">
        <f t="shared" si="5"/>
        <v>#N/A</v>
      </c>
    </row>
    <row r="46" spans="1:12" s="10" customFormat="1" x14ac:dyDescent="0.2">
      <c r="A46" s="7"/>
      <c r="B46" s="42" t="s">
        <v>6</v>
      </c>
      <c r="C46" s="8">
        <v>8</v>
      </c>
      <c r="D46" s="8">
        <v>9</v>
      </c>
      <c r="E46" s="8">
        <v>10</v>
      </c>
      <c r="F46" s="8">
        <v>11</v>
      </c>
      <c r="G46" s="8">
        <v>12</v>
      </c>
      <c r="H46" s="8">
        <v>13</v>
      </c>
      <c r="I46" s="9">
        <v>14</v>
      </c>
      <c r="L46" s="12"/>
    </row>
    <row r="47" spans="1:12" x14ac:dyDescent="0.2">
      <c r="A47" s="6"/>
      <c r="B47" s="42" t="s">
        <v>7</v>
      </c>
      <c r="C47" s="66"/>
      <c r="D47" s="66"/>
      <c r="E47" s="66"/>
      <c r="F47" s="66"/>
      <c r="G47" s="66"/>
      <c r="H47" s="66"/>
      <c r="I47" s="67"/>
    </row>
    <row r="48" spans="1:12" x14ac:dyDescent="0.2">
      <c r="A48" s="6"/>
      <c r="B48" s="42" t="s">
        <v>132</v>
      </c>
      <c r="C48" s="66"/>
      <c r="D48" s="66"/>
      <c r="E48" s="66"/>
      <c r="F48" s="66"/>
      <c r="G48" s="66"/>
      <c r="H48" s="66"/>
      <c r="I48" s="67"/>
    </row>
    <row r="49" spans="1:12" x14ac:dyDescent="0.2">
      <c r="A49" s="6"/>
      <c r="B49" s="42" t="s">
        <v>130</v>
      </c>
      <c r="C49" s="43"/>
      <c r="D49" s="43"/>
      <c r="E49" s="43"/>
      <c r="F49" s="43"/>
      <c r="G49" s="43"/>
      <c r="H49" s="43"/>
      <c r="I49" s="45"/>
    </row>
    <row r="50" spans="1:12" x14ac:dyDescent="0.2">
      <c r="A50" s="6"/>
      <c r="B50" s="42" t="s">
        <v>131</v>
      </c>
      <c r="C50" s="44" t="e">
        <f t="shared" ref="C50:I50" si="6">C49/$C$11</f>
        <v>#N/A</v>
      </c>
      <c r="D50" s="44" t="e">
        <f t="shared" si="6"/>
        <v>#N/A</v>
      </c>
      <c r="E50" s="44" t="e">
        <f t="shared" si="6"/>
        <v>#N/A</v>
      </c>
      <c r="F50" s="44" t="e">
        <f t="shared" si="6"/>
        <v>#N/A</v>
      </c>
      <c r="G50" s="44" t="e">
        <f t="shared" si="6"/>
        <v>#N/A</v>
      </c>
      <c r="H50" s="44" t="e">
        <f t="shared" si="6"/>
        <v>#N/A</v>
      </c>
      <c r="I50" s="41" t="e">
        <f t="shared" si="6"/>
        <v>#N/A</v>
      </c>
    </row>
    <row r="51" spans="1:12" s="10" customFormat="1" x14ac:dyDescent="0.2">
      <c r="A51" s="7"/>
      <c r="B51" s="42" t="s">
        <v>6</v>
      </c>
      <c r="C51" s="8">
        <v>15</v>
      </c>
      <c r="D51" s="8">
        <v>16</v>
      </c>
      <c r="E51" s="8">
        <v>17</v>
      </c>
      <c r="F51" s="8">
        <v>18</v>
      </c>
      <c r="G51" s="8">
        <v>19</v>
      </c>
      <c r="H51" s="8">
        <v>20</v>
      </c>
      <c r="I51" s="9">
        <v>21</v>
      </c>
      <c r="L51" s="12"/>
    </row>
    <row r="52" spans="1:12" x14ac:dyDescent="0.2">
      <c r="A52" s="6"/>
      <c r="B52" s="42" t="s">
        <v>7</v>
      </c>
      <c r="C52" s="66"/>
      <c r="D52" s="66"/>
      <c r="E52" s="66"/>
      <c r="F52" s="66"/>
      <c r="G52" s="66"/>
      <c r="H52" s="66"/>
      <c r="I52" s="67"/>
    </row>
    <row r="53" spans="1:12" x14ac:dyDescent="0.2">
      <c r="A53" s="6"/>
      <c r="B53" s="42" t="s">
        <v>132</v>
      </c>
      <c r="C53" s="66"/>
      <c r="D53" s="66"/>
      <c r="E53" s="66"/>
      <c r="F53" s="66"/>
      <c r="G53" s="66"/>
      <c r="H53" s="66"/>
      <c r="I53" s="67"/>
    </row>
    <row r="54" spans="1:12" x14ac:dyDescent="0.2">
      <c r="A54" s="6"/>
      <c r="B54" s="42" t="s">
        <v>130</v>
      </c>
      <c r="C54" s="43"/>
      <c r="D54" s="43"/>
      <c r="E54" s="43"/>
      <c r="F54" s="43"/>
      <c r="G54" s="43"/>
      <c r="H54" s="43"/>
      <c r="I54" s="45"/>
    </row>
    <row r="55" spans="1:12" x14ac:dyDescent="0.2">
      <c r="A55" s="6"/>
      <c r="B55" s="42" t="s">
        <v>131</v>
      </c>
      <c r="C55" s="44" t="e">
        <f t="shared" ref="C55:I55" si="7">C54/$C$11</f>
        <v>#N/A</v>
      </c>
      <c r="D55" s="44" t="e">
        <f t="shared" si="7"/>
        <v>#N/A</v>
      </c>
      <c r="E55" s="44" t="e">
        <f t="shared" si="7"/>
        <v>#N/A</v>
      </c>
      <c r="F55" s="44" t="e">
        <f t="shared" si="7"/>
        <v>#N/A</v>
      </c>
      <c r="G55" s="44" t="e">
        <f t="shared" si="7"/>
        <v>#N/A</v>
      </c>
      <c r="H55" s="44" t="e">
        <f t="shared" si="7"/>
        <v>#N/A</v>
      </c>
      <c r="I55" s="41" t="e">
        <f t="shared" si="7"/>
        <v>#N/A</v>
      </c>
    </row>
    <row r="56" spans="1:12" s="10" customFormat="1" x14ac:dyDescent="0.2">
      <c r="A56" s="7"/>
      <c r="B56" s="42" t="s">
        <v>6</v>
      </c>
      <c r="C56" s="8">
        <v>22</v>
      </c>
      <c r="D56" s="8">
        <v>23</v>
      </c>
      <c r="E56" s="8">
        <v>24</v>
      </c>
      <c r="F56" s="8">
        <v>25</v>
      </c>
      <c r="G56" s="8">
        <v>26</v>
      </c>
      <c r="H56" s="8">
        <v>27</v>
      </c>
      <c r="I56" s="9">
        <v>28</v>
      </c>
      <c r="L56" s="12"/>
    </row>
    <row r="57" spans="1:12" x14ac:dyDescent="0.2">
      <c r="A57" s="6"/>
      <c r="B57" s="42" t="s">
        <v>7</v>
      </c>
      <c r="C57" s="66"/>
      <c r="D57" s="66"/>
      <c r="E57" s="66"/>
      <c r="F57" s="66"/>
      <c r="G57" s="66"/>
      <c r="H57" s="66"/>
      <c r="I57" s="67"/>
    </row>
    <row r="58" spans="1:12" x14ac:dyDescent="0.2">
      <c r="A58" s="6"/>
      <c r="B58" s="42" t="s">
        <v>132</v>
      </c>
      <c r="C58" s="66"/>
      <c r="D58" s="66"/>
      <c r="E58" s="66"/>
      <c r="F58" s="66"/>
      <c r="G58" s="66"/>
      <c r="H58" s="66"/>
      <c r="I58" s="67"/>
    </row>
    <row r="59" spans="1:12" x14ac:dyDescent="0.2">
      <c r="A59" s="6"/>
      <c r="B59" s="42" t="s">
        <v>130</v>
      </c>
      <c r="C59" s="43"/>
      <c r="D59" s="43"/>
      <c r="E59" s="43"/>
      <c r="F59" s="43"/>
      <c r="G59" s="43"/>
      <c r="H59" s="43"/>
      <c r="I59" s="45"/>
      <c r="J59" s="11"/>
    </row>
    <row r="60" spans="1:12" ht="13.5" thickBot="1" x14ac:dyDescent="0.25">
      <c r="A60" s="6"/>
      <c r="B60" s="42" t="s">
        <v>131</v>
      </c>
      <c r="C60" s="44" t="e">
        <f t="shared" ref="C60:I60" si="8">C59/$C$11</f>
        <v>#N/A</v>
      </c>
      <c r="D60" s="44" t="e">
        <f t="shared" si="8"/>
        <v>#N/A</v>
      </c>
      <c r="E60" s="44" t="e">
        <f t="shared" si="8"/>
        <v>#N/A</v>
      </c>
      <c r="F60" s="46" t="e">
        <f t="shared" si="8"/>
        <v>#N/A</v>
      </c>
      <c r="G60" s="46" t="e">
        <f t="shared" si="8"/>
        <v>#N/A</v>
      </c>
      <c r="H60" s="46" t="e">
        <f t="shared" si="8"/>
        <v>#N/A</v>
      </c>
      <c r="I60" s="47" t="e">
        <f t="shared" si="8"/>
        <v>#N/A</v>
      </c>
      <c r="J60" s="11"/>
    </row>
    <row r="61" spans="1:12" s="10" customFormat="1" x14ac:dyDescent="0.2">
      <c r="A61" s="7"/>
      <c r="B61" s="42" t="s">
        <v>6</v>
      </c>
      <c r="C61" s="8">
        <v>29</v>
      </c>
      <c r="D61" s="8">
        <v>30</v>
      </c>
      <c r="E61" s="35">
        <v>31</v>
      </c>
      <c r="F61" s="36"/>
      <c r="G61" s="37"/>
      <c r="H61" s="37"/>
      <c r="I61" s="38"/>
      <c r="L61" s="12"/>
    </row>
    <row r="62" spans="1:12" ht="15.75" thickBot="1" x14ac:dyDescent="0.3">
      <c r="A62" s="6"/>
      <c r="B62" s="42" t="s">
        <v>7</v>
      </c>
      <c r="C62" s="66"/>
      <c r="D62" s="66"/>
      <c r="E62" s="69"/>
      <c r="F62" s="39"/>
      <c r="G62" s="11"/>
      <c r="H62" s="50"/>
      <c r="I62" s="68"/>
    </row>
    <row r="63" spans="1:12" x14ac:dyDescent="0.2">
      <c r="A63" s="6"/>
      <c r="B63" s="42" t="s">
        <v>132</v>
      </c>
      <c r="C63" s="66"/>
      <c r="D63" s="66"/>
      <c r="E63" s="69"/>
      <c r="F63" s="39"/>
      <c r="G63" s="11"/>
      <c r="H63" s="63" t="s">
        <v>151</v>
      </c>
      <c r="I63" s="40">
        <f>SUM(C44:I44)+SUM(C49:I49)+SUM(C54:I54)+SUM(C59:I59)+SUM(C64:E64)</f>
        <v>0</v>
      </c>
    </row>
    <row r="64" spans="1:12" x14ac:dyDescent="0.2">
      <c r="A64" s="6"/>
      <c r="B64" s="42" t="s">
        <v>130</v>
      </c>
      <c r="C64" s="66"/>
      <c r="D64" s="66"/>
      <c r="E64" s="69"/>
      <c r="F64" s="39"/>
      <c r="G64" s="11"/>
      <c r="H64" s="64" t="s">
        <v>146</v>
      </c>
      <c r="I64" s="41" t="e">
        <f>SUM(C45:I45)+SUM(C50:I50)+SUM(C55:I55)+SUM(C60:I60)+SUM(C65:E65)</f>
        <v>#N/A</v>
      </c>
    </row>
    <row r="65" spans="1:25" ht="15.75" thickBot="1" x14ac:dyDescent="0.3">
      <c r="A65" s="6"/>
      <c r="B65" s="34" t="s">
        <v>131</v>
      </c>
      <c r="C65" s="46" t="e">
        <f>C64/$C$11</f>
        <v>#N/A</v>
      </c>
      <c r="D65" s="46" t="e">
        <f t="shared" ref="D65" si="9">D64/$C$11</f>
        <v>#N/A</v>
      </c>
      <c r="E65" s="48" t="e">
        <f t="shared" ref="E65" si="10">E64/$C$11</f>
        <v>#N/A</v>
      </c>
      <c r="F65" s="70"/>
      <c r="G65" s="71"/>
      <c r="H65" s="65" t="s">
        <v>143</v>
      </c>
      <c r="I65" s="49" t="e">
        <f>$D$11*I64</f>
        <v>#N/A</v>
      </c>
    </row>
    <row r="66" spans="1:25" x14ac:dyDescent="0.2">
      <c r="B66" s="62" t="s">
        <v>158</v>
      </c>
    </row>
    <row r="67" spans="1:25" x14ac:dyDescent="0.2">
      <c r="C67" s="12" t="s">
        <v>0</v>
      </c>
      <c r="E67" s="12" t="s">
        <v>9</v>
      </c>
      <c r="F67" s="13"/>
      <c r="G67" s="12" t="s">
        <v>10</v>
      </c>
      <c r="I67" s="12" t="s">
        <v>1</v>
      </c>
    </row>
    <row r="68" spans="1:25" x14ac:dyDescent="0.2">
      <c r="G68" s="10"/>
    </row>
    <row r="69" spans="1:25" x14ac:dyDescent="0.2">
      <c r="C69" s="4"/>
      <c r="G69" s="14"/>
    </row>
    <row r="70" spans="1:25" x14ac:dyDescent="0.2">
      <c r="B70" s="11"/>
      <c r="C70" s="3"/>
      <c r="F70" s="11"/>
      <c r="G70" s="15"/>
      <c r="I70" s="3"/>
      <c r="L70" s="75"/>
    </row>
    <row r="71" spans="1:25" x14ac:dyDescent="0.2">
      <c r="B71" s="11"/>
      <c r="C71" s="51" t="s">
        <v>133</v>
      </c>
      <c r="E71" s="16" t="e">
        <f>VLOOKUP($C$7,DatosVh[],6,FALSE)</f>
        <v>#N/A</v>
      </c>
      <c r="F71" s="11"/>
      <c r="G71" s="16" t="s">
        <v>15</v>
      </c>
      <c r="I71" s="16" t="s">
        <v>11</v>
      </c>
      <c r="L71" s="76"/>
    </row>
    <row r="72" spans="1:25" x14ac:dyDescent="0.2">
      <c r="B72" s="2"/>
      <c r="C72" s="52" t="s">
        <v>134</v>
      </c>
      <c r="E72" s="12" t="e">
        <f>VLOOKUP($C$7,DatosVh[],5,FALSE)</f>
        <v>#N/A</v>
      </c>
      <c r="F72" s="17"/>
      <c r="G72" s="18" t="s">
        <v>12</v>
      </c>
      <c r="I72" s="12" t="s">
        <v>13</v>
      </c>
    </row>
    <row r="73" spans="1:25" ht="15" x14ac:dyDescent="0.25">
      <c r="L73" s="77">
        <v>1</v>
      </c>
      <c r="M73" s="19">
        <v>2</v>
      </c>
      <c r="N73" s="19">
        <v>3</v>
      </c>
      <c r="O73" s="19">
        <v>4</v>
      </c>
      <c r="P73" s="19">
        <v>5</v>
      </c>
      <c r="Q73" s="19">
        <v>6</v>
      </c>
      <c r="R73" s="19">
        <v>7</v>
      </c>
      <c r="S73" s="19">
        <v>8</v>
      </c>
      <c r="T73" s="19">
        <v>9</v>
      </c>
      <c r="U73" s="19">
        <v>10</v>
      </c>
      <c r="V73" s="19">
        <v>11</v>
      </c>
      <c r="X73" s="1" t="s">
        <v>157</v>
      </c>
      <c r="Y73" s="100">
        <v>42654</v>
      </c>
    </row>
    <row r="74" spans="1:25" ht="15" x14ac:dyDescent="0.25">
      <c r="L74" s="73" t="s">
        <v>16</v>
      </c>
      <c r="M74" s="25" t="s">
        <v>17</v>
      </c>
      <c r="N74" s="25" t="s">
        <v>18</v>
      </c>
      <c r="O74" s="25" t="s">
        <v>19</v>
      </c>
      <c r="P74" s="25" t="s">
        <v>20</v>
      </c>
      <c r="Q74" s="25" t="s">
        <v>147</v>
      </c>
      <c r="R74" s="25" t="s">
        <v>21</v>
      </c>
      <c r="S74" s="25" t="s">
        <v>22</v>
      </c>
      <c r="T74" s="25" t="s">
        <v>124</v>
      </c>
      <c r="U74" s="26" t="s">
        <v>123</v>
      </c>
      <c r="V74" s="32" t="s">
        <v>128</v>
      </c>
      <c r="X74" s="1" t="s">
        <v>126</v>
      </c>
      <c r="Y74" s="1" t="s">
        <v>127</v>
      </c>
    </row>
    <row r="75" spans="1:25" ht="15" x14ac:dyDescent="0.25">
      <c r="L75" s="78">
        <v>17281</v>
      </c>
      <c r="M75" s="20" t="s">
        <v>29</v>
      </c>
      <c r="N75" s="20" t="s">
        <v>30</v>
      </c>
      <c r="O75" s="20" t="s">
        <v>31</v>
      </c>
      <c r="P75" s="20" t="s">
        <v>26</v>
      </c>
      <c r="Q75" s="20" t="s">
        <v>30</v>
      </c>
      <c r="R75" s="20" t="s">
        <v>32</v>
      </c>
      <c r="S75" s="20" t="s">
        <v>33</v>
      </c>
      <c r="T75" s="20">
        <v>3500</v>
      </c>
      <c r="U75" s="22">
        <v>15</v>
      </c>
      <c r="V75" s="28" t="s">
        <v>125</v>
      </c>
      <c r="X75" s="1" t="s">
        <v>125</v>
      </c>
      <c r="Y75" s="27">
        <v>14.63</v>
      </c>
    </row>
    <row r="76" spans="1:25" ht="15" x14ac:dyDescent="0.25">
      <c r="L76" s="78">
        <v>17120</v>
      </c>
      <c r="M76" s="20" t="s">
        <v>34</v>
      </c>
      <c r="N76" s="20" t="s">
        <v>35</v>
      </c>
      <c r="O76" s="20" t="s">
        <v>12</v>
      </c>
      <c r="P76" s="20" t="s">
        <v>36</v>
      </c>
      <c r="Q76" s="20" t="s">
        <v>35</v>
      </c>
      <c r="R76" s="20" t="s">
        <v>32</v>
      </c>
      <c r="S76" s="20" t="s">
        <v>33</v>
      </c>
      <c r="T76" s="20">
        <v>5000</v>
      </c>
      <c r="U76" s="22">
        <v>15</v>
      </c>
      <c r="V76" s="28" t="s">
        <v>125</v>
      </c>
      <c r="X76" s="1" t="s">
        <v>129</v>
      </c>
      <c r="Y76" s="27">
        <v>14.81</v>
      </c>
    </row>
    <row r="77" spans="1:25" ht="15" x14ac:dyDescent="0.25">
      <c r="L77" s="78">
        <v>18809</v>
      </c>
      <c r="M77" s="20" t="s">
        <v>37</v>
      </c>
      <c r="N77" s="20" t="s">
        <v>38</v>
      </c>
      <c r="O77" s="20" t="s">
        <v>39</v>
      </c>
      <c r="P77" s="20" t="s">
        <v>26</v>
      </c>
      <c r="Q77" s="20" t="s">
        <v>30</v>
      </c>
      <c r="R77" s="20" t="s">
        <v>40</v>
      </c>
      <c r="S77" s="20" t="s">
        <v>41</v>
      </c>
      <c r="T77" s="20">
        <v>2500</v>
      </c>
      <c r="U77" s="22">
        <v>15</v>
      </c>
      <c r="V77" s="28" t="s">
        <v>129</v>
      </c>
    </row>
    <row r="78" spans="1:25" ht="15" x14ac:dyDescent="0.25">
      <c r="L78" s="78">
        <v>17474</v>
      </c>
      <c r="M78" s="20" t="s">
        <v>42</v>
      </c>
      <c r="N78" s="20" t="s">
        <v>30</v>
      </c>
      <c r="O78" s="20" t="s">
        <v>31</v>
      </c>
      <c r="P78" s="20" t="s">
        <v>26</v>
      </c>
      <c r="Q78" s="20" t="s">
        <v>30</v>
      </c>
      <c r="R78" s="20" t="s">
        <v>27</v>
      </c>
      <c r="S78" s="20" t="s">
        <v>43</v>
      </c>
      <c r="T78" s="20">
        <v>7000</v>
      </c>
      <c r="U78" s="22">
        <v>12</v>
      </c>
      <c r="V78" s="28" t="s">
        <v>129</v>
      </c>
    </row>
    <row r="79" spans="1:25" ht="15" x14ac:dyDescent="0.25">
      <c r="L79" s="78">
        <v>16908</v>
      </c>
      <c r="M79" s="20" t="s">
        <v>44</v>
      </c>
      <c r="N79" s="20" t="s">
        <v>30</v>
      </c>
      <c r="O79" s="20" t="s">
        <v>31</v>
      </c>
      <c r="P79" s="20" t="s">
        <v>26</v>
      </c>
      <c r="Q79" s="20" t="s">
        <v>30</v>
      </c>
      <c r="R79" s="20" t="s">
        <v>45</v>
      </c>
      <c r="S79" s="20" t="s">
        <v>46</v>
      </c>
      <c r="T79" s="20">
        <v>3500</v>
      </c>
      <c r="U79" s="22">
        <v>15</v>
      </c>
      <c r="V79" s="28" t="s">
        <v>129</v>
      </c>
    </row>
    <row r="80" spans="1:25" ht="15" x14ac:dyDescent="0.25">
      <c r="L80" s="78">
        <v>17181</v>
      </c>
      <c r="M80" s="20" t="s">
        <v>47</v>
      </c>
      <c r="N80" s="20" t="s">
        <v>48</v>
      </c>
      <c r="O80" s="20" t="s">
        <v>49</v>
      </c>
      <c r="P80" s="20" t="s">
        <v>50</v>
      </c>
      <c r="Q80" s="20" t="s">
        <v>48</v>
      </c>
      <c r="R80" s="20" t="s">
        <v>32</v>
      </c>
      <c r="S80" s="20" t="s">
        <v>33</v>
      </c>
      <c r="T80" s="20">
        <v>5000</v>
      </c>
      <c r="U80" s="22">
        <v>15</v>
      </c>
      <c r="V80" s="28" t="s">
        <v>125</v>
      </c>
    </row>
    <row r="81" spans="12:22" ht="15" x14ac:dyDescent="0.25">
      <c r="L81" s="78">
        <v>18798</v>
      </c>
      <c r="M81" s="20" t="s">
        <v>51</v>
      </c>
      <c r="N81" s="20" t="s">
        <v>30</v>
      </c>
      <c r="O81" s="20" t="s">
        <v>31</v>
      </c>
      <c r="P81" s="20" t="s">
        <v>26</v>
      </c>
      <c r="Q81" s="20" t="s">
        <v>30</v>
      </c>
      <c r="R81" s="20" t="s">
        <v>40</v>
      </c>
      <c r="S81" s="20" t="s">
        <v>41</v>
      </c>
      <c r="T81" s="20">
        <v>2500</v>
      </c>
      <c r="U81" s="22">
        <v>15</v>
      </c>
      <c r="V81" s="28" t="s">
        <v>129</v>
      </c>
    </row>
    <row r="82" spans="12:22" ht="15" x14ac:dyDescent="0.25">
      <c r="L82" s="78">
        <v>18867</v>
      </c>
      <c r="M82" s="20" t="s">
        <v>52</v>
      </c>
      <c r="N82" s="20" t="s">
        <v>153</v>
      </c>
      <c r="O82" s="20" t="s">
        <v>154</v>
      </c>
      <c r="P82" s="20" t="s">
        <v>36</v>
      </c>
      <c r="Q82" s="20" t="s">
        <v>35</v>
      </c>
      <c r="R82" s="20" t="s">
        <v>40</v>
      </c>
      <c r="S82" s="20" t="s">
        <v>41</v>
      </c>
      <c r="T82" s="20">
        <v>2500</v>
      </c>
      <c r="U82" s="22">
        <v>15</v>
      </c>
      <c r="V82" s="28" t="s">
        <v>129</v>
      </c>
    </row>
    <row r="83" spans="12:22" ht="15" x14ac:dyDescent="0.25">
      <c r="L83" s="78">
        <v>17188</v>
      </c>
      <c r="M83" s="20" t="s">
        <v>53</v>
      </c>
      <c r="N83" s="20" t="s">
        <v>155</v>
      </c>
      <c r="O83" s="20" t="s">
        <v>156</v>
      </c>
      <c r="P83" s="20" t="s">
        <v>36</v>
      </c>
      <c r="Q83" s="20" t="s">
        <v>35</v>
      </c>
      <c r="R83" s="20" t="s">
        <v>32</v>
      </c>
      <c r="S83" s="20" t="s">
        <v>33</v>
      </c>
      <c r="T83" s="20">
        <v>5000</v>
      </c>
      <c r="U83" s="22">
        <v>15</v>
      </c>
      <c r="V83" s="28" t="s">
        <v>125</v>
      </c>
    </row>
    <row r="84" spans="12:22" ht="15" x14ac:dyDescent="0.25">
      <c r="L84" s="78">
        <v>15500</v>
      </c>
      <c r="M84" s="20" t="s">
        <v>54</v>
      </c>
      <c r="N84" s="20" t="s">
        <v>55</v>
      </c>
      <c r="O84" s="20" t="s">
        <v>56</v>
      </c>
      <c r="P84" s="20" t="s">
        <v>57</v>
      </c>
      <c r="Q84" s="20" t="s">
        <v>55</v>
      </c>
      <c r="R84" s="20" t="s">
        <v>40</v>
      </c>
      <c r="S84" s="20" t="s">
        <v>58</v>
      </c>
      <c r="T84" s="20">
        <v>12500</v>
      </c>
      <c r="U84" s="22">
        <v>9</v>
      </c>
      <c r="V84" s="28" t="s">
        <v>129</v>
      </c>
    </row>
    <row r="85" spans="12:22" ht="15" x14ac:dyDescent="0.25">
      <c r="L85" s="78">
        <v>18824</v>
      </c>
      <c r="M85" s="20" t="s">
        <v>59</v>
      </c>
      <c r="N85" s="20" t="s">
        <v>60</v>
      </c>
      <c r="O85" s="20" t="s">
        <v>61</v>
      </c>
      <c r="P85" s="20" t="s">
        <v>62</v>
      </c>
      <c r="Q85" s="20" t="s">
        <v>60</v>
      </c>
      <c r="R85" s="20" t="s">
        <v>40</v>
      </c>
      <c r="S85" s="20" t="s">
        <v>41</v>
      </c>
      <c r="T85" s="20">
        <v>4500</v>
      </c>
      <c r="U85" s="22">
        <v>15</v>
      </c>
      <c r="V85" s="28" t="s">
        <v>129</v>
      </c>
    </row>
    <row r="86" spans="12:22" ht="15" x14ac:dyDescent="0.25">
      <c r="L86" s="78">
        <v>19109</v>
      </c>
      <c r="M86" s="20" t="s">
        <v>84</v>
      </c>
      <c r="N86" s="20" t="s">
        <v>55</v>
      </c>
      <c r="O86" s="20" t="s">
        <v>56</v>
      </c>
      <c r="P86" s="20" t="s">
        <v>57</v>
      </c>
      <c r="Q86" s="20" t="s">
        <v>55</v>
      </c>
      <c r="R86" s="20" t="s">
        <v>45</v>
      </c>
      <c r="S86" s="20" t="s">
        <v>64</v>
      </c>
      <c r="T86" s="20">
        <v>2500</v>
      </c>
      <c r="U86" s="22">
        <v>13</v>
      </c>
      <c r="V86" s="28" t="s">
        <v>129</v>
      </c>
    </row>
    <row r="87" spans="12:22" ht="15" x14ac:dyDescent="0.25">
      <c r="L87" s="78">
        <v>17284</v>
      </c>
      <c r="M87" s="20" t="s">
        <v>65</v>
      </c>
      <c r="N87" s="20" t="s">
        <v>60</v>
      </c>
      <c r="O87" s="20" t="s">
        <v>61</v>
      </c>
      <c r="P87" s="20" t="s">
        <v>62</v>
      </c>
      <c r="Q87" s="20" t="s">
        <v>60</v>
      </c>
      <c r="R87" s="20" t="s">
        <v>32</v>
      </c>
      <c r="S87" s="20" t="s">
        <v>33</v>
      </c>
      <c r="T87" s="20">
        <v>3000</v>
      </c>
      <c r="U87" s="22">
        <v>15</v>
      </c>
      <c r="V87" s="28" t="s">
        <v>125</v>
      </c>
    </row>
    <row r="88" spans="12:22" ht="15" x14ac:dyDescent="0.25">
      <c r="L88" s="78">
        <v>17285</v>
      </c>
      <c r="M88" s="20" t="s">
        <v>66</v>
      </c>
      <c r="N88" s="20" t="s">
        <v>67</v>
      </c>
      <c r="O88" s="20" t="s">
        <v>68</v>
      </c>
      <c r="P88" s="20" t="s">
        <v>69</v>
      </c>
      <c r="Q88" s="20" t="s">
        <v>67</v>
      </c>
      <c r="R88" s="20" t="s">
        <v>32</v>
      </c>
      <c r="S88" s="20" t="s">
        <v>33</v>
      </c>
      <c r="T88" s="20">
        <v>2500</v>
      </c>
      <c r="U88" s="22">
        <v>15</v>
      </c>
      <c r="V88" s="28" t="s">
        <v>125</v>
      </c>
    </row>
    <row r="89" spans="12:22" ht="15" x14ac:dyDescent="0.25">
      <c r="L89" s="78">
        <v>13772</v>
      </c>
      <c r="M89" s="20" t="s">
        <v>70</v>
      </c>
      <c r="N89" s="20" t="s">
        <v>71</v>
      </c>
      <c r="O89" s="20" t="s">
        <v>72</v>
      </c>
      <c r="P89" s="20" t="s">
        <v>73</v>
      </c>
      <c r="Q89" s="20" t="s">
        <v>71</v>
      </c>
      <c r="R89" s="20" t="s">
        <v>74</v>
      </c>
      <c r="S89" s="20" t="s">
        <v>75</v>
      </c>
      <c r="T89" s="20">
        <v>12000</v>
      </c>
      <c r="U89" s="22">
        <v>16</v>
      </c>
      <c r="V89" s="28" t="s">
        <v>129</v>
      </c>
    </row>
    <row r="90" spans="12:22" ht="15" x14ac:dyDescent="0.25">
      <c r="L90" s="78">
        <v>17182</v>
      </c>
      <c r="M90" s="20" t="s">
        <v>76</v>
      </c>
      <c r="N90" s="20" t="s">
        <v>77</v>
      </c>
      <c r="O90" s="20" t="s">
        <v>78</v>
      </c>
      <c r="P90" s="20" t="s">
        <v>79</v>
      </c>
      <c r="Q90" s="20" t="s">
        <v>77</v>
      </c>
      <c r="R90" s="20" t="s">
        <v>32</v>
      </c>
      <c r="S90" s="20" t="s">
        <v>33</v>
      </c>
      <c r="T90" s="20">
        <v>2500</v>
      </c>
      <c r="U90" s="22">
        <v>15</v>
      </c>
      <c r="V90" s="28" t="s">
        <v>125</v>
      </c>
    </row>
    <row r="91" spans="12:22" ht="15" x14ac:dyDescent="0.25">
      <c r="L91" s="78">
        <v>17183</v>
      </c>
      <c r="M91" s="20" t="s">
        <v>80</v>
      </c>
      <c r="N91" s="21" t="s">
        <v>81</v>
      </c>
      <c r="O91" s="21" t="s">
        <v>82</v>
      </c>
      <c r="P91" s="20" t="s">
        <v>83</v>
      </c>
      <c r="Q91" s="20" t="s">
        <v>81</v>
      </c>
      <c r="R91" s="20" t="s">
        <v>32</v>
      </c>
      <c r="S91" s="20" t="s">
        <v>33</v>
      </c>
      <c r="T91" s="20">
        <v>2500</v>
      </c>
      <c r="U91" s="22">
        <v>15</v>
      </c>
      <c r="V91" s="28" t="s">
        <v>125</v>
      </c>
    </row>
    <row r="92" spans="12:22" ht="15" x14ac:dyDescent="0.25">
      <c r="L92" s="78">
        <v>19082</v>
      </c>
      <c r="M92" s="20" t="s">
        <v>63</v>
      </c>
      <c r="N92" s="20" t="s">
        <v>81</v>
      </c>
      <c r="O92" s="20" t="s">
        <v>82</v>
      </c>
      <c r="P92" s="20" t="s">
        <v>83</v>
      </c>
      <c r="Q92" s="20" t="s">
        <v>81</v>
      </c>
      <c r="R92" s="20" t="s">
        <v>45</v>
      </c>
      <c r="S92" s="20" t="s">
        <v>64</v>
      </c>
      <c r="T92" s="20">
        <v>2500</v>
      </c>
      <c r="U92" s="22">
        <v>13</v>
      </c>
      <c r="V92" s="28" t="s">
        <v>129</v>
      </c>
    </row>
    <row r="93" spans="12:22" ht="15" x14ac:dyDescent="0.25">
      <c r="L93" s="78">
        <v>16909</v>
      </c>
      <c r="M93" s="20" t="s">
        <v>85</v>
      </c>
      <c r="N93" s="20" t="s">
        <v>71</v>
      </c>
      <c r="O93" s="20" t="s">
        <v>72</v>
      </c>
      <c r="P93" s="20" t="s">
        <v>73</v>
      </c>
      <c r="Q93" s="20" t="s">
        <v>71</v>
      </c>
      <c r="R93" s="20" t="s">
        <v>45</v>
      </c>
      <c r="S93" s="20" t="s">
        <v>46</v>
      </c>
      <c r="T93" s="20">
        <v>2000</v>
      </c>
      <c r="U93" s="22">
        <v>15</v>
      </c>
      <c r="V93" s="28" t="s">
        <v>129</v>
      </c>
    </row>
    <row r="94" spans="12:22" ht="15" x14ac:dyDescent="0.25">
      <c r="L94" s="78">
        <v>17185</v>
      </c>
      <c r="M94" s="20" t="s">
        <v>89</v>
      </c>
      <c r="N94" s="20" t="s">
        <v>90</v>
      </c>
      <c r="O94" s="20" t="s">
        <v>91</v>
      </c>
      <c r="P94" s="20" t="s">
        <v>92</v>
      </c>
      <c r="Q94" s="20" t="s">
        <v>90</v>
      </c>
      <c r="R94" s="20" t="s">
        <v>32</v>
      </c>
      <c r="S94" s="20" t="s">
        <v>33</v>
      </c>
      <c r="T94" s="20">
        <v>3000</v>
      </c>
      <c r="U94" s="22">
        <v>15</v>
      </c>
      <c r="V94" s="28" t="s">
        <v>125</v>
      </c>
    </row>
    <row r="95" spans="12:22" ht="15" x14ac:dyDescent="0.25">
      <c r="L95" s="78">
        <v>17186</v>
      </c>
      <c r="M95" s="20" t="s">
        <v>93</v>
      </c>
      <c r="N95" s="20" t="s">
        <v>94</v>
      </c>
      <c r="O95" s="20" t="s">
        <v>95</v>
      </c>
      <c r="P95" s="20" t="s">
        <v>96</v>
      </c>
      <c r="Q95" s="20" t="s">
        <v>94</v>
      </c>
      <c r="R95" s="20" t="s">
        <v>32</v>
      </c>
      <c r="S95" s="20" t="s">
        <v>33</v>
      </c>
      <c r="T95" s="20">
        <v>5000</v>
      </c>
      <c r="U95" s="22">
        <v>15</v>
      </c>
      <c r="V95" s="28" t="s">
        <v>125</v>
      </c>
    </row>
    <row r="96" spans="12:22" ht="15" x14ac:dyDescent="0.25">
      <c r="L96" s="78">
        <v>17282</v>
      </c>
      <c r="M96" s="20" t="s">
        <v>97</v>
      </c>
      <c r="N96" s="20" t="s">
        <v>86</v>
      </c>
      <c r="O96" s="20" t="s">
        <v>87</v>
      </c>
      <c r="P96" s="20" t="s">
        <v>88</v>
      </c>
      <c r="Q96" s="20" t="s">
        <v>86</v>
      </c>
      <c r="R96" s="20" t="s">
        <v>32</v>
      </c>
      <c r="S96" s="20" t="s">
        <v>33</v>
      </c>
      <c r="T96" s="20">
        <v>3500</v>
      </c>
      <c r="U96" s="22">
        <v>15</v>
      </c>
      <c r="V96" s="28" t="s">
        <v>125</v>
      </c>
    </row>
    <row r="97" spans="12:22" ht="15" x14ac:dyDescent="0.25">
      <c r="L97" s="78">
        <v>4978</v>
      </c>
      <c r="M97" s="20" t="s">
        <v>98</v>
      </c>
      <c r="N97" s="20" t="s">
        <v>81</v>
      </c>
      <c r="O97" s="20" t="s">
        <v>82</v>
      </c>
      <c r="P97" s="20" t="s">
        <v>83</v>
      </c>
      <c r="Q97" s="20" t="s">
        <v>81</v>
      </c>
      <c r="R97" s="20" t="s">
        <v>40</v>
      </c>
      <c r="S97" s="20" t="s">
        <v>99</v>
      </c>
      <c r="T97" s="20">
        <v>1500</v>
      </c>
      <c r="U97" s="22">
        <v>6</v>
      </c>
      <c r="V97" s="28" t="s">
        <v>129</v>
      </c>
    </row>
    <row r="98" spans="12:22" ht="15" x14ac:dyDescent="0.25">
      <c r="L98" s="78">
        <v>5157</v>
      </c>
      <c r="M98" s="20" t="s">
        <v>100</v>
      </c>
      <c r="N98" s="20" t="s">
        <v>90</v>
      </c>
      <c r="O98" s="20" t="s">
        <v>91</v>
      </c>
      <c r="P98" s="20" t="s">
        <v>92</v>
      </c>
      <c r="Q98" s="20" t="s">
        <v>90</v>
      </c>
      <c r="R98" s="20" t="s">
        <v>40</v>
      </c>
      <c r="S98" s="20" t="s">
        <v>101</v>
      </c>
      <c r="T98" s="20">
        <v>7000</v>
      </c>
      <c r="U98" s="22">
        <v>6</v>
      </c>
      <c r="V98" s="28" t="s">
        <v>129</v>
      </c>
    </row>
    <row r="99" spans="12:22" ht="15" x14ac:dyDescent="0.25">
      <c r="L99" s="78">
        <v>14223</v>
      </c>
      <c r="M99" s="20" t="s">
        <v>102</v>
      </c>
      <c r="N99" s="20" t="s">
        <v>90</v>
      </c>
      <c r="O99" s="20" t="s">
        <v>91</v>
      </c>
      <c r="P99" s="20" t="s">
        <v>92</v>
      </c>
      <c r="Q99" s="20" t="s">
        <v>90</v>
      </c>
      <c r="R99" s="20" t="s">
        <v>103</v>
      </c>
      <c r="S99" s="20" t="s">
        <v>104</v>
      </c>
      <c r="T99" s="20">
        <v>8000</v>
      </c>
      <c r="U99" s="22">
        <v>13</v>
      </c>
      <c r="V99" s="28" t="s">
        <v>125</v>
      </c>
    </row>
    <row r="100" spans="12:22" ht="15" x14ac:dyDescent="0.25">
      <c r="L100" s="78">
        <v>14224</v>
      </c>
      <c r="M100" s="20" t="s">
        <v>105</v>
      </c>
      <c r="N100" s="20" t="s">
        <v>90</v>
      </c>
      <c r="O100" s="20" t="s">
        <v>91</v>
      </c>
      <c r="P100" s="20" t="s">
        <v>92</v>
      </c>
      <c r="Q100" s="20" t="s">
        <v>90</v>
      </c>
      <c r="R100" s="20" t="s">
        <v>106</v>
      </c>
      <c r="S100" s="20" t="s">
        <v>107</v>
      </c>
      <c r="T100" s="20">
        <v>8000</v>
      </c>
      <c r="U100" s="22">
        <v>8</v>
      </c>
      <c r="V100" s="28" t="s">
        <v>125</v>
      </c>
    </row>
    <row r="101" spans="12:22" ht="15" x14ac:dyDescent="0.25">
      <c r="L101" s="78">
        <v>12854</v>
      </c>
      <c r="M101" s="20" t="s">
        <v>108</v>
      </c>
      <c r="N101" s="20" t="s">
        <v>90</v>
      </c>
      <c r="O101" s="20" t="s">
        <v>91</v>
      </c>
      <c r="P101" s="20" t="s">
        <v>92</v>
      </c>
      <c r="Q101" s="20" t="s">
        <v>90</v>
      </c>
      <c r="R101" s="20" t="s">
        <v>74</v>
      </c>
      <c r="S101" s="20" t="s">
        <v>109</v>
      </c>
      <c r="T101" s="20">
        <v>15000</v>
      </c>
      <c r="U101" s="22">
        <v>11</v>
      </c>
      <c r="V101" s="28" t="s">
        <v>129</v>
      </c>
    </row>
    <row r="102" spans="12:22" ht="15" x14ac:dyDescent="0.25">
      <c r="L102" s="78">
        <v>17187</v>
      </c>
      <c r="M102" s="20" t="s">
        <v>110</v>
      </c>
      <c r="N102" s="20" t="s">
        <v>111</v>
      </c>
      <c r="O102" s="20" t="s">
        <v>112</v>
      </c>
      <c r="P102" s="20" t="s">
        <v>113</v>
      </c>
      <c r="Q102" s="20" t="s">
        <v>111</v>
      </c>
      <c r="R102" s="20" t="s">
        <v>32</v>
      </c>
      <c r="S102" s="20" t="s">
        <v>33</v>
      </c>
      <c r="T102" s="20">
        <v>3500</v>
      </c>
      <c r="U102" s="22">
        <v>15</v>
      </c>
      <c r="V102" s="28" t="s">
        <v>125</v>
      </c>
    </row>
    <row r="103" spans="12:22" ht="15" x14ac:dyDescent="0.25">
      <c r="L103" s="78">
        <v>16616</v>
      </c>
      <c r="M103" s="20" t="s">
        <v>114</v>
      </c>
      <c r="N103" s="20" t="s">
        <v>111</v>
      </c>
      <c r="O103" s="20" t="s">
        <v>112</v>
      </c>
      <c r="P103" s="20" t="s">
        <v>113</v>
      </c>
      <c r="Q103" s="20" t="s">
        <v>111</v>
      </c>
      <c r="R103" s="20" t="s">
        <v>45</v>
      </c>
      <c r="S103" s="20" t="s">
        <v>46</v>
      </c>
      <c r="T103" s="20">
        <v>4500</v>
      </c>
      <c r="U103" s="22">
        <v>15</v>
      </c>
      <c r="V103" s="28" t="s">
        <v>129</v>
      </c>
    </row>
    <row r="104" spans="12:22" ht="15" x14ac:dyDescent="0.25">
      <c r="L104" s="79">
        <v>17283</v>
      </c>
      <c r="M104" s="23" t="s">
        <v>115</v>
      </c>
      <c r="N104" s="23" t="s">
        <v>116</v>
      </c>
      <c r="O104" s="23" t="s">
        <v>117</v>
      </c>
      <c r="P104" s="20" t="s">
        <v>118</v>
      </c>
      <c r="Q104" s="20" t="s">
        <v>116</v>
      </c>
      <c r="R104" s="23" t="s">
        <v>32</v>
      </c>
      <c r="S104" s="23" t="s">
        <v>33</v>
      </c>
      <c r="T104" s="23">
        <v>2500</v>
      </c>
      <c r="U104" s="24">
        <v>15</v>
      </c>
      <c r="V104" s="31" t="s">
        <v>125</v>
      </c>
    </row>
    <row r="105" spans="12:22" ht="15" x14ac:dyDescent="0.25">
      <c r="L105" s="80">
        <v>17184</v>
      </c>
      <c r="M105" s="28" t="s">
        <v>119</v>
      </c>
      <c r="N105" s="28" t="s">
        <v>120</v>
      </c>
      <c r="O105" s="28" t="s">
        <v>121</v>
      </c>
      <c r="P105" s="23" t="s">
        <v>122</v>
      </c>
      <c r="Q105" s="23" t="s">
        <v>120</v>
      </c>
      <c r="R105" s="28" t="s">
        <v>32</v>
      </c>
      <c r="S105" s="28" t="s">
        <v>33</v>
      </c>
      <c r="T105" s="28">
        <v>2500</v>
      </c>
      <c r="U105" s="72">
        <v>15</v>
      </c>
      <c r="V105" s="28" t="s">
        <v>125</v>
      </c>
    </row>
    <row r="107" spans="12:22" ht="15" x14ac:dyDescent="0.25">
      <c r="L107" s="81">
        <v>17527</v>
      </c>
      <c r="M107" s="21" t="s">
        <v>23</v>
      </c>
      <c r="N107" s="21" t="s">
        <v>24</v>
      </c>
      <c r="O107" s="21" t="s">
        <v>25</v>
      </c>
      <c r="P107" s="21" t="s">
        <v>26</v>
      </c>
      <c r="Q107" s="21"/>
      <c r="R107" s="21" t="s">
        <v>27</v>
      </c>
      <c r="S107" s="21" t="s">
        <v>28</v>
      </c>
      <c r="T107" s="21">
        <v>26000</v>
      </c>
      <c r="U107" s="29">
        <v>7</v>
      </c>
      <c r="V107" s="30" t="s">
        <v>129</v>
      </c>
    </row>
  </sheetData>
  <sheetProtection algorithmName="SHA-512" hashValue="20GRjn4URpNyOAYNomypMZIup+zK4s0wfKEBN7s80sZg4lHSR741jqQzE+dZHpe9t4wCRDnIkVheuOMjFn2rRw==" saltValue="LWonthvZklhSNNhMalGBZg==" spinCount="100000" sheet="1" selectLockedCells="1"/>
  <mergeCells count="12">
    <mergeCell ref="E4:G5"/>
    <mergeCell ref="E6:G6"/>
    <mergeCell ref="B2:I2"/>
    <mergeCell ref="B13:I13"/>
    <mergeCell ref="B40:I40"/>
    <mergeCell ref="F38:G38"/>
    <mergeCell ref="B6:B11"/>
    <mergeCell ref="F9:F11"/>
    <mergeCell ref="G9:G11"/>
    <mergeCell ref="H9:H11"/>
    <mergeCell ref="C4:D4"/>
    <mergeCell ref="C5:D5"/>
  </mergeCells>
  <conditionalFormatting sqref="C7">
    <cfRule type="expression" dxfId="20" priority="6">
      <formula>$C$7&lt;&gt;""</formula>
    </cfRule>
  </conditionalFormatting>
  <conditionalFormatting sqref="B2:I2">
    <cfRule type="expression" dxfId="19" priority="2">
      <formula>$B$2="Indicar en que comisiones oficianes se consumió la Dotación Normal y en cuales se utilizará la Dotación Extra"</formula>
    </cfRule>
    <cfRule type="expression" dxfId="18" priority="3">
      <formula>$B$2="Seleccionar primero el Número de Control del Vehículo"</formula>
    </cfRule>
  </conditionalFormatting>
  <conditionalFormatting sqref="F38">
    <cfRule type="expression" dxfId="17" priority="10">
      <formula>AND($I$38&gt;($F$9-100),$I$38&lt;($F$9+100))</formula>
    </cfRule>
  </conditionalFormatting>
  <dataValidations xWindow="802" yWindow="455" count="4">
    <dataValidation type="list" allowBlank="1" showInputMessage="1" showErrorMessage="1" sqref="C7">
      <formula1>NoCtrl</formula1>
    </dataValidation>
    <dataValidation type="decimal" operator="greaterThan" allowBlank="1" showInputMessage="1" showErrorMessage="1" error="El valor debe ser numérico" promptTitle="Suma de kilómetros por ruta" prompt="Debe indicar el total de kilómetros a recorrer sumando las distancias entre cada destino de la ruta." sqref="C17:I17 C22:I22 C27:I27 C32:I32 C37:E37 C44:I44 C49:I49 C54:I54 C59:I59 C64:E64">
      <formula1>0</formula1>
    </dataValidation>
    <dataValidation allowBlank="1" showInputMessage="1" showErrorMessage="1" promptTitle="Indicar origen y destino(s)" prompt="Debe indicar el origen y destinos a recorrer en la ruta separados por diagonales &quot;/&quot;_x000a_Ejemplo: P.G.B/D.G.P./Gto./P.G.B." sqref="C16:I16 C21:I21 C26:I26 C31:I31 C36:E36 C43:I43 C48:I48 C53:I53 C58:I58 C63:E63"/>
    <dataValidation allowBlank="1" showInputMessage="1" showErrorMessage="1" promptTitle="Indicar Objetivo de la Comisión" prompt="Debe indicar de manera breve el objetivo de la comisión._x000a_Si son varias comisiones en el mismo día, separarlas con diagonales &quot;/&quot;._x000a_Ejemplo: Reunión de directores/ Inauguración Rally/ Junta con Alcalde" sqref="C15:I15 C20:I20 C25:I25 C30:I30 C35:E35 C42:I42 C47:I47 C52:I52 C57:I57 C62:E62"/>
  </dataValidations>
  <printOptions horizontalCentered="1"/>
  <pageMargins left="0.26" right="0.25" top="0.75" bottom="0.75" header="0.3" footer="0.3"/>
  <pageSetup scale="48" orientation="landscape" r:id="rId1"/>
  <headerFooter>
    <oddHeader>&amp;R&amp;K00-004Folio</oddHeader>
  </headerFooter>
  <drawing r:id="rId2"/>
  <legacy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SEC V2.0</vt:lpstr>
      <vt:lpstr>'SEC V2.0'!Área_de_impresión</vt:lpstr>
      <vt:lpstr>NoCtrl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fsalinash</dc:creator>
  <cp:lastModifiedBy>Aldo Sánchez</cp:lastModifiedBy>
  <cp:lastPrinted>2016-06-16T14:43:53Z</cp:lastPrinted>
  <dcterms:created xsi:type="dcterms:W3CDTF">2012-11-16T19:02:10Z</dcterms:created>
  <dcterms:modified xsi:type="dcterms:W3CDTF">2016-10-11T18:29:19Z</dcterms:modified>
</cp:coreProperties>
</file>