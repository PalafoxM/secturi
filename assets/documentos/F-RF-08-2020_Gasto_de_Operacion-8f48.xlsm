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ownloads\"/>
    </mc:Choice>
  </mc:AlternateContent>
  <xr:revisionPtr revIDLastSave="0" documentId="13_ncr:1_{202C98D6-FEFC-4B4F-A4C9-A072CD2855F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GO" sheetId="20" r:id="rId1"/>
    <sheet name="Hoja1" sheetId="24" state="hidden" r:id="rId2"/>
    <sheet name="PROYECTO" sheetId="22" state="hidden" r:id="rId3"/>
    <sheet name="Hoja3" sheetId="23" state="hidden" r:id="rId4"/>
  </sheets>
  <functionGroups builtInGroupCount="19"/>
  <definedNames>
    <definedName name="_xlnm._FilterDatabase" localSheetId="0" hidden="1">GO!$A$61:$G$62</definedName>
    <definedName name="_xlnm._FilterDatabase" localSheetId="2" hidden="1">PROYECTO!$A$1:$A$34</definedName>
    <definedName name="LISTPART">Hoja3!$B:$B</definedName>
    <definedName name="PARTIDA">Hoja3!$1:$1048576</definedName>
    <definedName name="PROYECT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C58" i="23"/>
  <c r="B78" i="23"/>
  <c r="B11" i="23"/>
  <c r="C17" i="23"/>
  <c r="B235" i="23"/>
  <c r="B66" i="23"/>
  <c r="B34" i="23"/>
  <c r="B75" i="23"/>
  <c r="C91" i="23"/>
  <c r="B196" i="23"/>
  <c r="B9" i="23"/>
  <c r="B226" i="23"/>
  <c r="C69" i="23"/>
  <c r="C92" i="23"/>
  <c r="B12" i="23"/>
  <c r="B38" i="23"/>
  <c r="B208" i="23"/>
  <c r="C249" i="23"/>
  <c r="B164" i="23"/>
  <c r="B14" i="23"/>
  <c r="C32" i="23"/>
  <c r="C169" i="23"/>
  <c r="B71" i="23"/>
  <c r="B175" i="23"/>
  <c r="B84" i="23"/>
  <c r="B154" i="23"/>
  <c r="C42" i="23"/>
  <c r="B96" i="23"/>
  <c r="C163" i="23"/>
  <c r="B54" i="23"/>
  <c r="C11" i="23"/>
  <c r="C246" i="23"/>
  <c r="C152" i="23"/>
  <c r="C89" i="23"/>
  <c r="C186" i="23"/>
  <c r="B48" i="23"/>
  <c r="B169" i="23"/>
  <c r="C78" i="23"/>
  <c r="B91" i="23"/>
  <c r="C111" i="23"/>
  <c r="C114" i="23"/>
  <c r="C143" i="23"/>
  <c r="C146" i="23"/>
  <c r="C218" i="23"/>
  <c r="C245" i="23"/>
  <c r="B249" i="23"/>
  <c r="B120" i="23"/>
  <c r="B80" i="23"/>
  <c r="B46" i="23"/>
  <c r="C7" i="23"/>
  <c r="B81" i="23"/>
  <c r="C102" i="23"/>
  <c r="C167" i="23"/>
  <c r="C227" i="23"/>
  <c r="C53" i="23"/>
  <c r="C160" i="23"/>
  <c r="C15" i="23"/>
  <c r="B186" i="23"/>
  <c r="B87" i="23"/>
  <c r="B103" i="23"/>
  <c r="C40" i="23"/>
  <c r="C28" i="23"/>
  <c r="C196" i="23"/>
  <c r="B62" i="23"/>
  <c r="C110" i="23"/>
  <c r="C49" i="23"/>
  <c r="C142" i="23"/>
  <c r="C25" i="23"/>
  <c r="B183" i="23"/>
  <c r="B248" i="23"/>
  <c r="C10" i="23"/>
  <c r="C238" i="23"/>
  <c r="C44" i="23"/>
  <c r="B36" i="23"/>
  <c r="C20" i="23"/>
  <c r="C165" i="23"/>
  <c r="C95" i="23"/>
  <c r="C76" i="23"/>
  <c r="B107" i="23"/>
  <c r="B197" i="23"/>
  <c r="C148" i="23"/>
  <c r="C18" i="23"/>
  <c r="B74" i="23"/>
  <c r="C205" i="23"/>
  <c r="B115" i="23"/>
  <c r="C3" i="23"/>
  <c r="C181" i="23"/>
  <c r="B247" i="23"/>
  <c r="C63" i="23"/>
  <c r="C47" i="23"/>
  <c r="C14" i="23"/>
  <c r="C192" i="23"/>
  <c r="C139" i="23"/>
  <c r="C23" i="23"/>
  <c r="B232" i="23"/>
  <c r="B93" i="23"/>
  <c r="B59" i="23"/>
  <c r="B57" i="23"/>
  <c r="B108" i="23"/>
  <c r="C83" i="23"/>
  <c r="C180" i="23"/>
  <c r="C30" i="23"/>
  <c r="C202" i="23"/>
  <c r="B98" i="23"/>
  <c r="C229" i="23"/>
  <c r="B191" i="23"/>
  <c r="C71" i="23"/>
  <c r="C193" i="23"/>
  <c r="C60" i="23"/>
  <c r="B51" i="23"/>
  <c r="B236" i="23"/>
  <c r="B30" i="23"/>
  <c r="C51" i="23"/>
  <c r="B174" i="23"/>
  <c r="B239" i="23"/>
  <c r="C141" i="23"/>
  <c r="C57" i="23"/>
  <c r="B49" i="23"/>
  <c r="B52" i="23"/>
  <c r="B55" i="23"/>
  <c r="C231" i="23"/>
  <c r="C99" i="23"/>
  <c r="B7" i="23"/>
  <c r="C166" i="23"/>
  <c r="B159" i="23"/>
  <c r="C107" i="23"/>
  <c r="B205" i="23"/>
  <c r="C119" i="23"/>
  <c r="C68" i="23"/>
  <c r="B129" i="23"/>
  <c r="C176" i="23"/>
  <c r="B64" i="23"/>
  <c r="B179" i="23"/>
  <c r="B110" i="23"/>
  <c r="C21" i="23"/>
  <c r="C26" i="23"/>
  <c r="C72" i="23"/>
  <c r="B82" i="23"/>
  <c r="C137" i="23"/>
  <c r="C38" i="23"/>
  <c r="B185" i="23"/>
  <c r="B166" i="23"/>
  <c r="C204" i="23"/>
  <c r="B19" i="23"/>
  <c r="C108" i="23"/>
  <c r="F53" i="20"/>
  <c r="B193" i="23"/>
  <c r="B225" i="23"/>
  <c r="C211" i="23"/>
  <c r="C222" i="23"/>
  <c r="B145" i="23"/>
  <c r="C67" i="23"/>
  <c r="B155" i="23"/>
  <c r="C65" i="23"/>
  <c r="B104" i="23"/>
  <c r="C164" i="23"/>
  <c r="B202" i="23"/>
  <c r="B10" i="23"/>
  <c r="C184" i="23"/>
  <c r="B94" i="23"/>
  <c r="B237" i="23"/>
  <c r="C215" i="23"/>
  <c r="B5" i="23"/>
  <c r="C182" i="23"/>
  <c r="C177" i="23"/>
  <c r="B92" i="23"/>
  <c r="B189" i="23"/>
  <c r="C140" i="23"/>
  <c r="C144" i="23"/>
  <c r="C46" i="23"/>
  <c r="B20" i="23"/>
  <c r="C90" i="23"/>
  <c r="C84" i="23"/>
  <c r="C200" i="23"/>
  <c r="B211" i="23"/>
  <c r="C158" i="23"/>
  <c r="C149" i="23"/>
  <c r="B101" i="23"/>
  <c r="C66" i="23"/>
  <c r="C59" i="23"/>
  <c r="B105" i="23"/>
  <c r="C122" i="23"/>
  <c r="B135" i="23"/>
  <c r="C43" i="23"/>
  <c r="B47" i="23"/>
  <c r="C203" i="23"/>
  <c r="C189" i="23"/>
  <c r="C248" i="23"/>
  <c r="C64" i="23"/>
  <c r="B133" i="23"/>
  <c r="B188" i="23"/>
  <c r="B144" i="23"/>
  <c r="B204" i="23"/>
  <c r="B60" i="23"/>
  <c r="B8" i="23"/>
  <c r="B243" i="23"/>
  <c r="B190" i="23"/>
  <c r="B148" i="23"/>
  <c r="B31" i="23"/>
  <c r="B152" i="23"/>
  <c r="C33" i="23"/>
  <c r="C106" i="23"/>
  <c r="C105" i="23"/>
  <c r="B217" i="23"/>
  <c r="C216" i="23"/>
  <c r="B182" i="23"/>
  <c r="B25" i="23"/>
  <c r="C117" i="23"/>
  <c r="B24" i="23"/>
  <c r="C118" i="23"/>
  <c r="C27" i="23"/>
  <c r="C234" i="23"/>
  <c r="B99" i="23"/>
  <c r="B216" i="23"/>
  <c r="B147" i="23"/>
  <c r="B150" i="23"/>
  <c r="B42" i="23"/>
  <c r="B97" i="23"/>
  <c r="B136" i="23"/>
  <c r="B146" i="23"/>
  <c r="C241" i="23"/>
  <c r="B69" i="23"/>
  <c r="B124" i="23"/>
  <c r="B121" i="23"/>
  <c r="B215" i="23"/>
  <c r="C235" i="23"/>
  <c r="C147" i="23"/>
  <c r="B56" i="23"/>
  <c r="C112" i="23"/>
  <c r="B70" i="23"/>
  <c r="B224" i="23"/>
  <c r="B100" i="23"/>
  <c r="B195" i="23"/>
  <c r="C5" i="23"/>
  <c r="C242" i="23"/>
  <c r="B83" i="23"/>
  <c r="B73" i="23"/>
  <c r="B192" i="23"/>
  <c r="B228" i="23"/>
  <c r="C237" i="23"/>
  <c r="C120" i="23"/>
  <c r="C123" i="23"/>
  <c r="B199" i="23"/>
  <c r="C239" i="23"/>
  <c r="C121" i="23"/>
  <c r="C56" i="23"/>
  <c r="C244" i="23"/>
  <c r="C125" i="23"/>
  <c r="C126" i="23"/>
  <c r="C81" i="23"/>
  <c r="B130" i="23"/>
  <c r="B127" i="23"/>
  <c r="B117" i="23"/>
  <c r="C16" i="23"/>
  <c r="B201" i="23"/>
  <c r="C22" i="23"/>
  <c r="B220" i="23"/>
  <c r="B173" i="23"/>
  <c r="C101" i="23"/>
  <c r="B131" i="23"/>
  <c r="B102" i="23"/>
  <c r="C80" i="23"/>
  <c r="B112" i="23"/>
  <c r="B113" i="23"/>
  <c r="C212" i="23"/>
  <c r="C187" i="23"/>
  <c r="C52" i="23"/>
  <c r="B114" i="23"/>
  <c r="B209" i="23"/>
  <c r="B231" i="23"/>
  <c r="B3" i="23"/>
  <c r="B171" i="23"/>
  <c r="B158" i="23"/>
  <c r="B17" i="23"/>
  <c r="B233" i="23"/>
  <c r="C130" i="23"/>
  <c r="B151" i="23"/>
  <c r="C73" i="23"/>
  <c r="B176" i="23"/>
  <c r="C161" i="23"/>
  <c r="B207" i="23"/>
  <c r="B29" i="23"/>
  <c r="B41" i="23"/>
  <c r="B184" i="23"/>
  <c r="B21" i="23"/>
  <c r="C150" i="23"/>
  <c r="C98" i="23"/>
  <c r="B162" i="23"/>
  <c r="C223" i="23"/>
  <c r="C9" i="23"/>
  <c r="B194" i="23"/>
  <c r="C194" i="23"/>
  <c r="C179" i="23"/>
  <c r="C36" i="23"/>
  <c r="C19" i="23"/>
  <c r="B90" i="23"/>
  <c r="C4" i="23"/>
  <c r="C24" i="23"/>
  <c r="B149" i="23"/>
  <c r="C206" i="23"/>
  <c r="B132" i="23"/>
  <c r="B123" i="23"/>
  <c r="B61" i="23"/>
  <c r="B106" i="23"/>
  <c r="B18" i="23"/>
  <c r="C50" i="23"/>
  <c r="B181" i="23"/>
  <c r="B23" i="23"/>
  <c r="C174" i="23"/>
  <c r="B125" i="23"/>
  <c r="B240" i="23"/>
  <c r="C236" i="23"/>
  <c r="C93" i="23"/>
  <c r="C201" i="23"/>
  <c r="C233" i="23"/>
  <c r="C247" i="23"/>
  <c r="B39" i="23"/>
  <c r="C210" i="23"/>
  <c r="C70" i="23"/>
  <c r="B32" i="23"/>
  <c r="C131" i="23"/>
  <c r="B203" i="23"/>
  <c r="C124" i="23"/>
  <c r="B230" i="23"/>
  <c r="C86" i="23"/>
  <c r="C48" i="23"/>
  <c r="C188" i="23"/>
  <c r="B165" i="23"/>
  <c r="C35" i="23"/>
  <c r="B65" i="23"/>
  <c r="C240" i="23"/>
  <c r="B153" i="23"/>
  <c r="C173" i="23"/>
  <c r="C77" i="23"/>
  <c r="B167" i="23"/>
  <c r="B109" i="23"/>
  <c r="C145" i="23"/>
  <c r="C171" i="23"/>
  <c r="B22" i="23"/>
  <c r="B15" i="23"/>
  <c r="C153" i="23"/>
  <c r="C172" i="23"/>
  <c r="B234" i="23"/>
  <c r="B4" i="23"/>
  <c r="C134" i="23"/>
  <c r="B116" i="23"/>
  <c r="C135" i="23"/>
  <c r="C157" i="23"/>
  <c r="C8" i="23"/>
  <c r="C217" i="23"/>
  <c r="B244" i="23"/>
  <c r="B200" i="23"/>
  <c r="C221" i="23"/>
  <c r="B16" i="23"/>
  <c r="C197" i="23"/>
  <c r="B35" i="23"/>
  <c r="C100" i="23"/>
  <c r="C207" i="23"/>
  <c r="B245" i="23"/>
  <c r="C61" i="23"/>
  <c r="C159" i="23"/>
  <c r="B68" i="23"/>
  <c r="C213" i="23"/>
  <c r="B214" i="23"/>
  <c r="B198" i="23"/>
  <c r="B223" i="23"/>
  <c r="B170" i="23"/>
  <c r="B140" i="23"/>
  <c r="C12" i="23"/>
  <c r="B246" i="23"/>
  <c r="C185" i="23"/>
  <c r="C109" i="23"/>
  <c r="C208" i="23"/>
  <c r="B85" i="23"/>
  <c r="B53" i="23"/>
  <c r="B161" i="23"/>
  <c r="B141" i="23"/>
  <c r="B218" i="23"/>
  <c r="B26" i="23"/>
  <c r="C162" i="23"/>
  <c r="B27" i="23"/>
  <c r="C128" i="23"/>
  <c r="B72" i="23"/>
  <c r="C82" i="23"/>
  <c r="B119" i="23"/>
  <c r="B33" i="23"/>
  <c r="C191" i="23"/>
  <c r="B241" i="23"/>
  <c r="B67" i="23"/>
  <c r="C96" i="23"/>
  <c r="B213" i="23"/>
  <c r="C190" i="23"/>
  <c r="B157" i="23"/>
  <c r="C199" i="23"/>
  <c r="C195" i="23"/>
  <c r="C226" i="23"/>
  <c r="B37" i="23"/>
  <c r="C183" i="23"/>
  <c r="B206" i="23"/>
  <c r="B168" i="23"/>
  <c r="B45" i="23"/>
  <c r="C220" i="23"/>
  <c r="C224" i="23"/>
  <c r="B43" i="23"/>
  <c r="B163" i="23"/>
  <c r="C104" i="23"/>
  <c r="B6" i="23"/>
  <c r="B95" i="23"/>
  <c r="B172" i="23"/>
  <c r="C29" i="23"/>
  <c r="B139" i="23"/>
  <c r="C168" i="23"/>
  <c r="C55" i="23"/>
  <c r="C155" i="23"/>
  <c r="C41" i="23"/>
  <c r="C178" i="23"/>
  <c r="C132" i="23"/>
  <c r="C209" i="23"/>
  <c r="C225" i="23"/>
  <c r="C138" i="23"/>
  <c r="C113" i="23"/>
  <c r="C74" i="23"/>
  <c r="B44" i="23"/>
  <c r="C154" i="23"/>
  <c r="B137" i="23"/>
  <c r="B2" i="23"/>
  <c r="B13" i="23"/>
  <c r="B58" i="23"/>
  <c r="B212" i="23"/>
  <c r="B180" i="23"/>
  <c r="B77" i="23"/>
  <c r="B156" i="23"/>
  <c r="B111" i="23"/>
  <c r="B229" i="23"/>
  <c r="B118" i="23"/>
  <c r="C85" i="23"/>
  <c r="B50" i="23"/>
  <c r="B28" i="23"/>
  <c r="C87" i="23"/>
  <c r="C175" i="23"/>
  <c r="C54" i="23"/>
  <c r="B143" i="23"/>
  <c r="C219" i="23"/>
  <c r="B242" i="23"/>
  <c r="C228" i="23"/>
  <c r="B63" i="23"/>
  <c r="C156" i="23"/>
  <c r="C232" i="23"/>
  <c r="B177" i="23"/>
  <c r="B238" i="23"/>
  <c r="C45" i="23"/>
  <c r="C133" i="23"/>
  <c r="C2" i="23"/>
  <c r="C170" i="23"/>
  <c r="C127" i="23"/>
  <c r="C243" i="23"/>
  <c r="C214" i="23"/>
  <c r="B187" i="23"/>
  <c r="C116" i="23"/>
  <c r="C13" i="23"/>
  <c r="C31" i="23"/>
  <c r="C79" i="23"/>
  <c r="C94" i="23"/>
  <c r="B227" i="23"/>
  <c r="C39" i="23"/>
  <c r="C75" i="23"/>
  <c r="C151" i="23"/>
  <c r="C37" i="23"/>
  <c r="C62" i="23"/>
  <c r="C230" i="23"/>
  <c r="B86" i="23"/>
  <c r="B40" i="23"/>
  <c r="B122" i="23"/>
  <c r="C88" i="23"/>
  <c r="B219" i="23"/>
  <c r="B138" i="23"/>
  <c r="B89" i="23"/>
  <c r="B178" i="23"/>
  <c r="C129" i="23"/>
  <c r="C97" i="23"/>
  <c r="B142" i="23"/>
  <c r="C103" i="23"/>
  <c r="B79" i="23"/>
  <c r="B160" i="23"/>
  <c r="B222" i="23"/>
  <c r="C198" i="23"/>
  <c r="B210" i="23"/>
  <c r="C34" i="23"/>
  <c r="C136" i="23"/>
  <c r="B221" i="23"/>
  <c r="B134" i="23"/>
  <c r="C115" i="23"/>
  <c r="B76" i="23"/>
  <c r="C6" i="23"/>
  <c r="B88" i="23"/>
  <c r="B126" i="23"/>
  <c r="B128" i="23"/>
</calcChain>
</file>

<file path=xl/sharedStrings.xml><?xml version="1.0" encoding="utf-8"?>
<sst xmlns="http://schemas.openxmlformats.org/spreadsheetml/2006/main" count="369" uniqueCount="348">
  <si>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</si>
  <si>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</si>
  <si>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</si>
  <si>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</si>
  <si>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</si>
  <si>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</si>
  <si>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</si>
  <si>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</si>
  <si>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</si>
  <si>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</si>
  <si>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</si>
  <si>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</si>
  <si>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</si>
  <si>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</si>
  <si>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</si>
  <si>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</si>
  <si>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</si>
  <si>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</si>
  <si>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</si>
  <si>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</si>
  <si>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</si>
  <si>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</si>
  <si>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</si>
  <si>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</si>
  <si>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</si>
  <si>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</si>
  <si>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</si>
  <si>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</si>
  <si>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</si>
  <si>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</si>
  <si>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</si>
  <si>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</si>
  <si>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</si>
  <si>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</si>
  <si>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</si>
  <si>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</si>
  <si>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</si>
  <si>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</si>
  <si>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</si>
  <si>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</si>
  <si>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</si>
  <si>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</si>
  <si>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</si>
  <si>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</si>
  <si>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</si>
  <si>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</si>
  <si>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</si>
  <si>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</si>
  <si>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</si>
  <si>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</si>
  <si>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</si>
  <si>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</si>
  <si>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</si>
  <si>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</si>
  <si>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</si>
  <si>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</si>
  <si>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</si>
  <si>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</si>
  <si>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</si>
  <si>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</si>
  <si>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</si>
  <si>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</si>
  <si>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</si>
  <si>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</si>
  <si>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</si>
  <si>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</si>
  <si>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</si>
  <si>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</si>
  <si>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</si>
  <si>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</si>
  <si>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</si>
  <si>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</si>
  <si>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</si>
  <si>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</si>
  <si>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</si>
  <si>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</si>
  <si>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</si>
  <si>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</si>
  <si>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</si>
  <si>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</si>
  <si>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</si>
  <si>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</si>
  <si>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</si>
  <si>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</si>
  <si>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</si>
  <si>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</si>
  <si>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</si>
  <si>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</si>
  <si>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</si>
  <si>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</si>
  <si>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</si>
  <si>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</si>
  <si>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</si>
  <si>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</si>
  <si>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</si>
  <si>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</si>
  <si>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</si>
  <si>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</si>
  <si>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</si>
  <si>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</si>
  <si>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</si>
  <si>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</si>
  <si>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</si>
  <si>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</si>
  <si>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</si>
  <si>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</si>
  <si>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</si>
  <si>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</si>
  <si>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</si>
  <si>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</si>
  <si>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</si>
  <si>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</si>
  <si>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</si>
  <si>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</si>
  <si>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</si>
  <si>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</si>
  <si>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</si>
  <si>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</si>
  <si>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</si>
  <si>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</si>
  <si>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</si>
  <si>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</si>
  <si>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</si>
  <si>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</si>
  <si>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</si>
  <si>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</si>
  <si>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</si>
  <si>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</si>
  <si>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</si>
  <si>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</si>
  <si>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</si>
  <si>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</si>
  <si>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</si>
  <si>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</si>
  <si>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</si>
  <si>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</si>
  <si>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</si>
  <si>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</si>
  <si>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</si>
  <si>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</si>
  <si>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</si>
  <si>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</si>
  <si>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</si>
  <si>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</si>
  <si>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</si>
  <si>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</si>
  <si>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</si>
  <si>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</si>
  <si>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</si>
  <si>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</si>
  <si>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</si>
  <si>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</si>
  <si>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</si>
  <si>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</si>
  <si>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</si>
  <si>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</si>
  <si>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</si>
  <si>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</si>
  <si>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</si>
  <si>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</si>
  <si>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</si>
  <si>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</si>
  <si>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</si>
  <si>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</si>
  <si>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</si>
  <si>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</si>
  <si>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</si>
  <si>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</si>
  <si>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</si>
  <si>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</si>
  <si>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</si>
  <si>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</si>
  <si>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</si>
  <si>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</si>
  <si>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</si>
  <si>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</si>
  <si>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</si>
  <si>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</si>
  <si>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</si>
  <si>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</si>
  <si>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</si>
  <si>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</si>
  <si>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</si>
  <si>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</si>
  <si>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</si>
  <si>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</si>
  <si>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</si>
  <si>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</si>
  <si>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</si>
  <si>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</si>
  <si>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</si>
  <si>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</si>
  <si>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</si>
  <si>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</si>
  <si>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</si>
  <si>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</si>
  <si>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</si>
  <si>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</si>
  <si>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</si>
  <si>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</si>
  <si>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</si>
  <si>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</si>
  <si>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</si>
  <si>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</si>
  <si>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</si>
  <si>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</si>
  <si>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</si>
  <si>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</si>
  <si>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</si>
  <si>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</si>
  <si>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</si>
  <si>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</si>
  <si>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</si>
  <si>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</si>
  <si>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</si>
  <si>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</si>
  <si>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</si>
  <si>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</si>
  <si>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</si>
  <si>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</si>
  <si>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</si>
  <si>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</si>
  <si>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</si>
  <si>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</si>
  <si>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</si>
  <si>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</si>
  <si>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</si>
  <si>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</si>
  <si>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</si>
  <si>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</si>
  <si>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</si>
  <si>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</si>
  <si>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</si>
  <si>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</si>
  <si>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</si>
  <si>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</si>
  <si>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</si>
  <si>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</si>
  <si>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</si>
  <si>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</si>
  <si>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</si>
  <si>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</si>
  <si>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</si>
  <si>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</si>
  <si>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</si>
  <si>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</si>
  <si>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</si>
  <si>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</si>
  <si>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</si>
  <si>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</si>
  <si>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</si>
  <si>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</si>
  <si>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</si>
  <si>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</si>
  <si>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</si>
  <si>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</si>
  <si>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</si>
  <si>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</si>
  <si>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</si>
  <si>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</si>
  <si>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</si>
  <si>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</si>
  <si>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</si>
  <si>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</si>
  <si>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</si>
  <si>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</si>
  <si>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</si>
  <si>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</si>
  <si>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</si>
  <si>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</si>
  <si>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</si>
  <si>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</si>
  <si>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</si>
  <si>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</si>
  <si>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</si>
  <si>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</si>
  <si>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</si>
  <si>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</si>
  <si>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</si>
  <si>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</si>
  <si>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</si>
  <si>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</si>
  <si>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</si>
  <si>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</si>
  <si>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</si>
  <si>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</si>
  <si>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</si>
  <si>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</si>
  <si>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</si>
  <si>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</si>
  <si>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</si>
  <si>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</si>
  <si>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</si>
  <si>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</si>
  <si>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</si>
  <si>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</si>
  <si>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</si>
  <si>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</si>
  <si>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</si>
  <si>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</si>
  <si>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</si>
  <si>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</si>
  <si>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COMPROBANTE </t>
  </si>
  <si>
    <t>IMPORTE TOTAL</t>
  </si>
  <si>
    <t xml:space="preserve">que se envían para su revisión y trámite de pago        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</si>
  <si>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</si>
  <si>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</si>
  <si>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</si>
  <si>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</si>
  <si>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Y20.GG.G1074</t>
  </si>
  <si>
    <t>Y20.GG.G2061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</si>
  <si>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</si>
  <si>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</si>
  <si>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</si>
  <si>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</si>
  <si>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</si>
  <si>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</si>
  <si>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</si>
  <si>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</si>
  <si>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</si>
  <si>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</si>
  <si>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</si>
  <si>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</si>
  <si>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</si>
  <si>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</si>
  <si>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</si>
  <si>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</si>
  <si>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</si>
  <si>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</si>
  <si>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</si>
  <si>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</si>
  <si>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</si>
  <si>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</si>
  <si>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</si>
  <si>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</si>
  <si>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</si>
  <si>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</si>
  <si>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</si>
  <si>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</si>
  <si>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</si>
  <si>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</si>
  <si>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</si>
  <si>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</si>
  <si>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Y20.GG.G1286</t>
  </si>
  <si>
    <t>Y20.GG.Q3214</t>
  </si>
  <si>
    <t>FORMATO GO - 1  20</t>
  </si>
  <si>
    <t xml:space="preserve">TITULAR DE LA DEPENDENCIA 
MTRO. JUAN JOSÉ ALVÁREZ BRUNEL
SECRETARIO DE TURISMO </t>
  </si>
  <si>
    <t>LIC. VÍCTOR ZÁRATE FLORES
DIRECTOR DE ASUNTOS JURÍDICO
ACUERDO SECRETARIAL 003/2020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</si>
</sst>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7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5" fillId="0" borderId="26" xfId="0" applyFont="1" applyFill="1" applyBorder="1" applyProtection="1"/>
    <xf numFmtId="0" fontId="5" fillId="0" borderId="6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2" fillId="0" borderId="37" xfId="0" applyFont="1" applyFill="1" applyBorder="1" applyAlignment="1" applyProtection="1">
      <alignment vertic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9" xfId="0" applyFont="1" applyFill="1" applyBorder="1" applyProtection="1"/>
    <xf numFmtId="0" fontId="5" fillId="0" borderId="40" xfId="0" applyFont="1" applyFill="1" applyBorder="1" applyProtection="1"/>
    <xf numFmtId="0" fontId="5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5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5" fillId="0" borderId="59" xfId="0" applyFont="1" applyFill="1" applyBorder="1" applyProtection="1"/>
    <xf numFmtId="0" fontId="3" fillId="0" borderId="60" xfId="0" applyFont="1" applyFill="1" applyBorder="1" applyProtection="1"/>
    <xf numFmtId="0" fontId="5" fillId="0" borderId="60" xfId="0" applyFont="1" applyFill="1" applyBorder="1" applyProtection="1"/>
    <xf numFmtId="0" fontId="5" fillId="0" borderId="61" xfId="0" applyFont="1" applyFill="1" applyBorder="1" applyProtection="1"/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</xf>
    <xf numFmtId="0" fontId="3" fillId="0" borderId="42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44" xfId="0" applyFont="1" applyFill="1" applyBorder="1" applyAlignment="1" applyProtection="1">
      <alignment horizontal="center"/>
    </xf>
    <xf numFmtId="0" fontId="3" fillId="0" borderId="53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26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44" xfId="0" applyFont="1" applyFill="1" applyBorder="1" applyAlignment="1" applyProtection="1">
      <alignment horizontal="center" vertical="center"/>
    </xf>
    <xf numFmtId="0" fontId="3" fillId="0" borderId="56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62" xfId="0" applyFont="1" applyFill="1" applyBorder="1" applyAlignment="1" applyProtection="1">
      <alignment horizontal="center" vertical="center" wrapText="1"/>
      <protection locked="0"/>
    </xf>
    <xf numFmtId="0" fontId="3" fillId="0" borderId="34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4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24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25" xfId="0" applyFont="1" applyFill="1" applyBorder="1" applyAlignment="1" applyProtection="1">
      <alignment horizontal="center"/>
      <protection locked="0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center"/>
      <protection locked="0"/>
    </xf>
    <xf numFmtId="0" fontId="2" fillId="0" borderId="27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2" fillId="0" borderId="53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54" xfId="0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Fill="1" applyBorder="1" applyAlignment="1" applyProtection="1">
      <alignment horizontal="center" vertical="center" wrapText="1"/>
      <protection locked="0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</xf>
    <xf numFmtId="0" fontId="3" fillId="0" borderId="54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6" fillId="0" borderId="40" xfId="0" applyFont="1" applyFill="1" applyBorder="1" applyAlignment="1" applyProtection="1">
      <alignment horizontal="center"/>
    </xf>
    <xf numFmtId="0" fontId="6" fillId="0" borderId="41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2</xdr:col>
      <xdr:colOff>285750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5"/>
  <sheetViews>
    <sheetView tabSelected="1" topLeftCell="A46" zoomScale="80" zoomScaleNormal="80" workbookViewId="0">
      <selection activeCell="E61" sqref="E61:G61"/>
    </sheetView>
  </sheetViews>
  <sheetFormatPr baseColWidth="10" defaultColWidth="11.44140625" defaultRowHeight="18" x14ac:dyDescent="0.35"/>
  <cols>
    <col min="1" max="1" width="19.44140625" style="8" customWidth="1"/>
    <col min="2" max="2" width="17.33203125" style="8" customWidth="1"/>
    <col min="3" max="3" width="19.5546875" style="8" customWidth="1"/>
    <col min="4" max="4" width="12.33203125" style="8" bestFit="1" customWidth="1"/>
    <col min="5" max="5" width="24.5546875" style="8" customWidth="1"/>
    <col min="6" max="6" width="22.5546875" style="8" customWidth="1"/>
    <col min="7" max="7" width="21.109375" style="8" customWidth="1"/>
    <col min="8" max="8" width="13.5546875" style="8" customWidth="1"/>
    <col min="9" max="9" width="33.6640625" style="8" customWidth="1"/>
    <col min="10" max="16384" width="11.44140625" style="8"/>
  </cols>
  <sheetData>
    <row r="1" spans="1:9" x14ac:dyDescent="0.35">
      <c r="A1" s="37"/>
      <c r="B1" s="38"/>
      <c r="C1" s="38"/>
      <c r="D1" s="38"/>
      <c r="E1" s="38"/>
      <c r="F1" s="38"/>
      <c r="G1" s="38"/>
      <c r="H1" s="142" t="s">
        <v>345</v>
      </c>
      <c r="I1" s="143"/>
    </row>
    <row r="2" spans="1:9" ht="26.25" customHeight="1" x14ac:dyDescent="0.35">
      <c r="A2" s="39"/>
      <c r="B2" s="9"/>
      <c r="C2" s="110" t="s">
        <v>0</v>
      </c>
      <c r="D2" s="110"/>
      <c r="E2" s="110"/>
      <c r="F2" s="110"/>
      <c r="G2" s="110"/>
      <c r="H2" s="110"/>
      <c r="I2" s="144"/>
    </row>
    <row r="3" spans="1:9" ht="26.25" customHeight="1" x14ac:dyDescent="0.35">
      <c r="A3" s="39"/>
      <c r="B3" s="9"/>
      <c r="C3" s="110" t="s">
        <v>1</v>
      </c>
      <c r="D3" s="110"/>
      <c r="E3" s="110"/>
      <c r="F3" s="110"/>
      <c r="G3" s="110"/>
      <c r="H3" s="110"/>
      <c r="I3" s="144"/>
    </row>
    <row r="4" spans="1:9" ht="15.75" customHeight="1" x14ac:dyDescent="0.35">
      <c r="A4" s="145"/>
      <c r="B4" s="146"/>
      <c r="C4" s="146"/>
      <c r="D4" s="146"/>
      <c r="E4" s="146"/>
      <c r="F4" s="10"/>
      <c r="G4" s="10"/>
      <c r="H4" s="10"/>
      <c r="I4" s="40"/>
    </row>
    <row r="5" spans="1:9" x14ac:dyDescent="0.35">
      <c r="A5" s="39"/>
      <c r="B5" s="9"/>
      <c r="C5" s="9"/>
      <c r="D5" s="9"/>
      <c r="E5" s="9"/>
      <c r="F5" s="9"/>
      <c r="G5" s="9"/>
      <c r="H5" s="9"/>
      <c r="I5" s="41"/>
    </row>
    <row r="6" spans="1:9" x14ac:dyDescent="0.35">
      <c r="A6" s="109"/>
      <c r="B6" s="110"/>
      <c r="C6" s="110"/>
      <c r="D6" s="110"/>
      <c r="E6" s="110"/>
      <c r="F6" s="110"/>
      <c r="G6" s="110"/>
      <c r="H6" s="110"/>
      <c r="I6" s="144"/>
    </row>
    <row r="7" spans="1:9" x14ac:dyDescent="0.35">
      <c r="A7" s="39"/>
      <c r="B7" s="9"/>
      <c r="C7" s="9"/>
      <c r="D7" s="11"/>
      <c r="E7" s="11"/>
      <c r="F7" s="11"/>
      <c r="G7" s="11"/>
      <c r="H7" s="9"/>
      <c r="I7" s="41"/>
    </row>
    <row r="8" spans="1:9" ht="12.75" customHeight="1" x14ac:dyDescent="0.35">
      <c r="A8" s="39"/>
      <c r="B8" s="9"/>
      <c r="C8" s="9"/>
      <c r="D8" s="9"/>
      <c r="E8" s="9"/>
      <c r="F8" s="9"/>
      <c r="G8" s="9"/>
      <c r="H8" s="9"/>
      <c r="I8" s="41"/>
    </row>
    <row r="9" spans="1:9" ht="17.25" customHeight="1" x14ac:dyDescent="0.35">
      <c r="A9" s="39"/>
      <c r="B9" s="11"/>
      <c r="C9" s="11" t="s">
        <v>2</v>
      </c>
      <c r="D9" s="34">
        <f>COUNTA(A27:B50)</f>
        <v>0</v>
      </c>
      <c r="E9" s="64" t="s">
        <v>3</v>
      </c>
      <c r="F9" s="64"/>
      <c r="G9" s="64"/>
      <c r="H9" s="149">
        <f>D53</f>
        <v>500</v>
      </c>
      <c r="I9" s="150"/>
    </row>
    <row r="10" spans="1:9" ht="17.25" customHeight="1" x14ac:dyDescent="0.35">
      <c r="A10" s="39"/>
      <c r="B10" s="11"/>
      <c r="C10" s="64" t="s">
        <v>304</v>
      </c>
      <c r="D10" s="64"/>
      <c r="E10" s="64"/>
      <c r="F10" s="64"/>
      <c r="G10" s="64"/>
      <c r="H10" s="9"/>
      <c r="I10" s="41"/>
    </row>
    <row r="11" spans="1:9" x14ac:dyDescent="0.35">
      <c r="A11" s="39"/>
      <c r="B11" s="9"/>
      <c r="C11" s="9"/>
      <c r="D11" s="9"/>
      <c r="E11" s="9"/>
      <c r="F11" s="9"/>
      <c r="G11" s="9"/>
      <c r="H11" s="9"/>
      <c r="I11" s="41"/>
    </row>
    <row r="12" spans="1:9" ht="28.95" customHeight="1" x14ac:dyDescent="0.35">
      <c r="A12" s="109"/>
      <c r="B12" s="110"/>
      <c r="C12" s="110"/>
      <c r="D12" s="9"/>
      <c r="E12" s="151" t="s">
        <v>4</v>
      </c>
      <c r="F12" s="60"/>
      <c r="G12" s="60"/>
      <c r="H12" s="60"/>
      <c r="I12" s="68"/>
    </row>
    <row r="13" spans="1:9" ht="10.199999999999999" customHeight="1" x14ac:dyDescent="0.35">
      <c r="A13" s="39"/>
      <c r="B13" s="9"/>
      <c r="C13" s="9"/>
      <c r="D13" s="9"/>
      <c r="E13" s="152" t="s">
        <v>5</v>
      </c>
      <c r="F13" s="125"/>
      <c r="G13" s="125"/>
      <c r="H13" s="125"/>
      <c r="I13" s="153"/>
    </row>
    <row r="14" spans="1:9" ht="27" customHeight="1" thickBot="1" x14ac:dyDescent="0.4">
      <c r="A14" s="42" t="s">
        <v>6</v>
      </c>
      <c r="B14" s="9"/>
      <c r="C14" s="9"/>
      <c r="D14" s="9"/>
      <c r="E14" s="154"/>
      <c r="F14" s="155"/>
      <c r="G14" s="155"/>
      <c r="H14" s="155"/>
      <c r="I14" s="156"/>
    </row>
    <row r="15" spans="1:9" ht="26.4" customHeight="1" thickTop="1" x14ac:dyDescent="0.35">
      <c r="A15" s="109" t="s">
        <v>0</v>
      </c>
      <c r="B15" s="110"/>
      <c r="C15" s="110"/>
      <c r="D15" s="157"/>
      <c r="E15" s="14" t="s">
        <v>7</v>
      </c>
      <c r="F15" s="15" t="s">
        <v>8</v>
      </c>
      <c r="G15" s="135" t="s">
        <v>9</v>
      </c>
      <c r="H15" s="135" t="s">
        <v>10</v>
      </c>
      <c r="I15" s="136"/>
    </row>
    <row r="16" spans="1:9" ht="16.5" customHeight="1" x14ac:dyDescent="0.35">
      <c r="A16" s="39"/>
      <c r="B16" s="9"/>
      <c r="C16" s="9"/>
      <c r="D16" s="9"/>
      <c r="E16" s="16" t="s">
        <v>11</v>
      </c>
      <c r="F16" s="17" t="s">
        <v>12</v>
      </c>
      <c r="G16" s="137"/>
      <c r="H16" s="137"/>
      <c r="I16" s="138"/>
    </row>
    <row r="17" spans="1:9" s="20" customFormat="1" ht="24" customHeight="1" x14ac:dyDescent="0.3">
      <c r="A17" s="43" t="s">
        <v>13</v>
      </c>
      <c r="B17" s="18">
        <v>5185913</v>
      </c>
      <c r="C17" s="55" t="s">
        <v>14</v>
      </c>
      <c r="D17" s="19" t="s">
        <v>15</v>
      </c>
      <c r="E17" s="162" t="s">
        <v>16</v>
      </c>
      <c r="F17" s="174"/>
      <c r="G17" s="165" t="s">
        <v>17</v>
      </c>
      <c r="H17" s="168" t="s">
        <v>18</v>
      </c>
      <c r="I17" s="169"/>
    </row>
    <row r="18" spans="1:9" s="20" customFormat="1" ht="18.600000000000001" customHeight="1" x14ac:dyDescent="0.3">
      <c r="A18" s="43"/>
      <c r="B18" s="18"/>
      <c r="C18" s="55"/>
      <c r="D18" s="19"/>
      <c r="E18" s="163"/>
      <c r="F18" s="175"/>
      <c r="G18" s="166"/>
      <c r="H18" s="170"/>
      <c r="I18" s="171"/>
    </row>
    <row r="19" spans="1:9" s="20" customFormat="1" ht="16.95" customHeight="1" x14ac:dyDescent="0.3">
      <c r="A19" s="158" t="s">
        <v>19</v>
      </c>
      <c r="B19" s="159" t="s">
        <v>20</v>
      </c>
      <c r="C19" s="159"/>
      <c r="D19" s="19"/>
      <c r="E19" s="163"/>
      <c r="F19" s="174"/>
      <c r="G19" s="166"/>
      <c r="H19" s="170"/>
      <c r="I19" s="171"/>
    </row>
    <row r="20" spans="1:9" s="20" customFormat="1" ht="24.6" customHeight="1" thickBot="1" x14ac:dyDescent="0.35">
      <c r="A20" s="158"/>
      <c r="B20" s="159"/>
      <c r="C20" s="159"/>
      <c r="D20" s="21"/>
      <c r="E20" s="164"/>
      <c r="F20" s="176"/>
      <c r="G20" s="167"/>
      <c r="H20" s="172"/>
      <c r="I20" s="173"/>
    </row>
    <row r="21" spans="1:9" s="20" customFormat="1" ht="21.6" customHeight="1" thickTop="1" x14ac:dyDescent="0.3">
      <c r="A21" s="44" t="s">
        <v>21</v>
      </c>
      <c r="B21" s="22" t="s">
        <v>22</v>
      </c>
      <c r="C21" s="22"/>
      <c r="D21" s="23"/>
      <c r="E21" s="24"/>
      <c r="F21" s="24"/>
      <c r="G21" s="25"/>
      <c r="H21" s="1"/>
      <c r="I21" s="45"/>
    </row>
    <row r="22" spans="1:9" s="20" customFormat="1" ht="22.2" customHeight="1" x14ac:dyDescent="0.3">
      <c r="A22" s="160" t="s">
        <v>23</v>
      </c>
      <c r="B22" s="73"/>
      <c r="C22" s="73"/>
      <c r="D22" s="73"/>
      <c r="E22" s="73"/>
      <c r="F22" s="73"/>
      <c r="G22" s="73"/>
      <c r="H22" s="73"/>
      <c r="I22" s="74"/>
    </row>
    <row r="23" spans="1:9" s="20" customFormat="1" ht="22.2" customHeight="1" x14ac:dyDescent="0.3">
      <c r="A23" s="160" t="s">
        <v>24</v>
      </c>
      <c r="B23" s="73"/>
      <c r="C23" s="73"/>
      <c r="D23" s="73"/>
      <c r="E23" s="73"/>
      <c r="F23" s="73"/>
      <c r="G23" s="73"/>
      <c r="H23" s="73"/>
      <c r="I23" s="74"/>
    </row>
    <row r="24" spans="1:9" s="20" customFormat="1" ht="7.5" customHeight="1" x14ac:dyDescent="0.3">
      <c r="A24" s="94" t="s">
        <v>302</v>
      </c>
      <c r="B24" s="96"/>
      <c r="C24" s="73" t="s">
        <v>25</v>
      </c>
      <c r="D24" s="73" t="s">
        <v>26</v>
      </c>
      <c r="E24" s="73"/>
      <c r="F24" s="73" t="s">
        <v>27</v>
      </c>
      <c r="G24" s="73"/>
      <c r="H24" s="73"/>
      <c r="I24" s="74"/>
    </row>
    <row r="25" spans="1:9" s="20" customFormat="1" ht="15.6" customHeight="1" x14ac:dyDescent="0.3">
      <c r="A25" s="177"/>
      <c r="B25" s="178"/>
      <c r="C25" s="73"/>
      <c r="D25" s="73"/>
      <c r="E25" s="73"/>
      <c r="F25" s="73"/>
      <c r="G25" s="73"/>
      <c r="H25" s="73"/>
      <c r="I25" s="74"/>
    </row>
    <row r="26" spans="1:9" s="20" customFormat="1" ht="26.4" customHeight="1" x14ac:dyDescent="0.3">
      <c r="A26" s="99"/>
      <c r="B26" s="100"/>
      <c r="C26" s="73"/>
      <c r="D26" s="73"/>
      <c r="E26" s="73"/>
      <c r="F26" s="137" t="s">
        <v>28</v>
      </c>
      <c r="G26" s="137"/>
      <c r="H26" s="137"/>
      <c r="I26" s="56" t="s">
        <v>29</v>
      </c>
    </row>
    <row r="27" spans="1:9" s="20" customFormat="1" ht="16.5" customHeight="1" x14ac:dyDescent="0.3">
      <c r="A27" s="57"/>
      <c r="B27" s="58"/>
      <c r="C27" s="32">
        <v>2120</v>
      </c>
      <c r="D27" s="77">
        <v>500</v>
      </c>
      <c r="E27" s="78"/>
      <c r="F27" s="148"/>
      <c r="G27" s="148"/>
      <c r="H27" s="148"/>
      <c r="I27" s="46"/>
    </row>
    <row r="28" spans="1:9" s="20" customFormat="1" ht="16.5" customHeight="1" x14ac:dyDescent="0.3">
      <c r="A28" s="62"/>
      <c r="B28" s="161"/>
      <c r="C28" s="32"/>
      <c r="D28" s="71"/>
      <c r="E28" s="72"/>
      <c r="F28" s="147"/>
      <c r="G28" s="148"/>
      <c r="H28" s="148"/>
      <c r="I28" s="46"/>
    </row>
    <row r="29" spans="1:9" s="20" customFormat="1" ht="16.5" customHeight="1" x14ac:dyDescent="0.3">
      <c r="A29" s="62"/>
      <c r="B29" s="63"/>
      <c r="C29" s="32"/>
      <c r="D29" s="71"/>
      <c r="E29" s="72"/>
      <c r="F29" s="75"/>
      <c r="G29" s="76"/>
      <c r="H29" s="76"/>
      <c r="I29" s="47"/>
    </row>
    <row r="30" spans="1:9" s="20" customFormat="1" ht="16.5" customHeight="1" x14ac:dyDescent="0.3">
      <c r="A30" s="62"/>
      <c r="B30" s="63"/>
      <c r="C30" s="32"/>
      <c r="D30" s="71"/>
      <c r="E30" s="72"/>
      <c r="F30" s="75"/>
      <c r="G30" s="76"/>
      <c r="H30" s="76"/>
      <c r="I30" s="47"/>
    </row>
    <row r="31" spans="1:9" s="20" customFormat="1" ht="16.5" customHeight="1" x14ac:dyDescent="0.3">
      <c r="A31" s="62"/>
      <c r="B31" s="63"/>
      <c r="C31" s="32"/>
      <c r="D31" s="71"/>
      <c r="E31" s="72"/>
      <c r="F31" s="75"/>
      <c r="G31" s="76"/>
      <c r="H31" s="76"/>
      <c r="I31" s="47"/>
    </row>
    <row r="32" spans="1:9" s="20" customFormat="1" ht="16.5" customHeight="1" x14ac:dyDescent="0.3">
      <c r="A32" s="62"/>
      <c r="B32" s="63"/>
      <c r="C32" s="32"/>
      <c r="D32" s="71"/>
      <c r="E32" s="72"/>
      <c r="F32" s="75"/>
      <c r="G32" s="76"/>
      <c r="H32" s="76"/>
      <c r="I32" s="47"/>
    </row>
    <row r="33" spans="1:9" s="20" customFormat="1" ht="16.5" customHeight="1" x14ac:dyDescent="0.3">
      <c r="A33" s="62"/>
      <c r="B33" s="63"/>
      <c r="C33" s="32"/>
      <c r="D33" s="71"/>
      <c r="E33" s="72"/>
      <c r="F33" s="75"/>
      <c r="G33" s="76"/>
      <c r="H33" s="76"/>
      <c r="I33" s="47"/>
    </row>
    <row r="34" spans="1:9" s="20" customFormat="1" ht="16.5" customHeight="1" x14ac:dyDescent="0.3">
      <c r="A34" s="62"/>
      <c r="B34" s="63"/>
      <c r="C34" s="32"/>
      <c r="D34" s="71"/>
      <c r="E34" s="72"/>
      <c r="F34" s="75"/>
      <c r="G34" s="76"/>
      <c r="H34" s="76"/>
      <c r="I34" s="47"/>
    </row>
    <row r="35" spans="1:9" s="20" customFormat="1" ht="16.5" customHeight="1" x14ac:dyDescent="0.3">
      <c r="A35" s="62"/>
      <c r="B35" s="63"/>
      <c r="C35" s="32"/>
      <c r="D35" s="71"/>
      <c r="E35" s="72"/>
      <c r="F35" s="75"/>
      <c r="G35" s="76"/>
      <c r="H35" s="76"/>
      <c r="I35" s="47"/>
    </row>
    <row r="36" spans="1:9" s="20" customFormat="1" ht="16.5" customHeight="1" x14ac:dyDescent="0.3">
      <c r="A36" s="62"/>
      <c r="B36" s="63"/>
      <c r="C36" s="32"/>
      <c r="D36" s="71"/>
      <c r="E36" s="72"/>
      <c r="F36" s="75"/>
      <c r="G36" s="76"/>
      <c r="H36" s="76"/>
      <c r="I36" s="47"/>
    </row>
    <row r="37" spans="1:9" s="20" customFormat="1" ht="16.5" customHeight="1" x14ac:dyDescent="0.3">
      <c r="A37" s="62"/>
      <c r="B37" s="63"/>
      <c r="C37" s="32"/>
      <c r="D37" s="71"/>
      <c r="E37" s="72"/>
      <c r="F37" s="75"/>
      <c r="G37" s="76"/>
      <c r="H37" s="76"/>
      <c r="I37" s="47"/>
    </row>
    <row r="38" spans="1:9" s="20" customFormat="1" ht="16.5" customHeight="1" x14ac:dyDescent="0.3">
      <c r="A38" s="62"/>
      <c r="B38" s="63"/>
      <c r="C38" s="32"/>
      <c r="D38" s="71"/>
      <c r="E38" s="72"/>
      <c r="F38" s="75"/>
      <c r="G38" s="76"/>
      <c r="H38" s="76"/>
      <c r="I38" s="47"/>
    </row>
    <row r="39" spans="1:9" s="20" customFormat="1" ht="16.5" customHeight="1" x14ac:dyDescent="0.3">
      <c r="A39" s="62"/>
      <c r="B39" s="63"/>
      <c r="C39" s="32"/>
      <c r="D39" s="71"/>
      <c r="E39" s="72"/>
      <c r="F39" s="75"/>
      <c r="G39" s="76"/>
      <c r="H39" s="76"/>
      <c r="I39" s="47"/>
    </row>
    <row r="40" spans="1:9" s="20" customFormat="1" ht="16.5" customHeight="1" x14ac:dyDescent="0.3">
      <c r="A40" s="62"/>
      <c r="B40" s="63"/>
      <c r="C40" s="32"/>
      <c r="D40" s="71"/>
      <c r="E40" s="72"/>
      <c r="F40" s="75"/>
      <c r="G40" s="76"/>
      <c r="H40" s="76"/>
      <c r="I40" s="47"/>
    </row>
    <row r="41" spans="1:9" s="20" customFormat="1" ht="16.5" customHeight="1" x14ac:dyDescent="0.3">
      <c r="A41" s="62"/>
      <c r="B41" s="63"/>
      <c r="C41" s="32"/>
      <c r="D41" s="71"/>
      <c r="E41" s="72"/>
      <c r="F41" s="75"/>
      <c r="G41" s="76"/>
      <c r="H41" s="76"/>
      <c r="I41" s="47"/>
    </row>
    <row r="42" spans="1:9" s="20" customFormat="1" ht="16.5" customHeight="1" x14ac:dyDescent="0.3">
      <c r="A42" s="57"/>
      <c r="B42" s="58"/>
      <c r="C42" s="32"/>
      <c r="D42" s="77"/>
      <c r="E42" s="78"/>
      <c r="F42" s="75"/>
      <c r="G42" s="76"/>
      <c r="H42" s="76"/>
      <c r="I42" s="47"/>
    </row>
    <row r="43" spans="1:9" s="20" customFormat="1" ht="16.5" customHeight="1" x14ac:dyDescent="0.3">
      <c r="A43" s="57"/>
      <c r="B43" s="58"/>
      <c r="C43" s="32"/>
      <c r="D43" s="77"/>
      <c r="E43" s="78"/>
      <c r="F43" s="75"/>
      <c r="G43" s="76"/>
      <c r="H43" s="76"/>
      <c r="I43" s="47"/>
    </row>
    <row r="44" spans="1:9" s="20" customFormat="1" ht="16.5" customHeight="1" x14ac:dyDescent="0.3">
      <c r="A44" s="57"/>
      <c r="B44" s="58"/>
      <c r="C44" s="32"/>
      <c r="D44" s="77"/>
      <c r="E44" s="78"/>
      <c r="F44" s="75"/>
      <c r="G44" s="76"/>
      <c r="H44" s="76"/>
      <c r="I44" s="47"/>
    </row>
    <row r="45" spans="1:9" s="20" customFormat="1" ht="16.5" customHeight="1" x14ac:dyDescent="0.3">
      <c r="A45" s="62"/>
      <c r="B45" s="63"/>
      <c r="C45" s="32"/>
      <c r="D45" s="77"/>
      <c r="E45" s="78"/>
      <c r="F45" s="75"/>
      <c r="G45" s="76"/>
      <c r="H45" s="76"/>
      <c r="I45" s="47"/>
    </row>
    <row r="46" spans="1:9" s="20" customFormat="1" ht="16.5" customHeight="1" x14ac:dyDescent="0.3">
      <c r="A46" s="62"/>
      <c r="B46" s="63"/>
      <c r="C46" s="32"/>
      <c r="D46" s="71"/>
      <c r="E46" s="72"/>
      <c r="F46" s="75"/>
      <c r="G46" s="76"/>
      <c r="H46" s="76"/>
      <c r="I46" s="47"/>
    </row>
    <row r="47" spans="1:9" s="20" customFormat="1" ht="16.5" customHeight="1" x14ac:dyDescent="0.3">
      <c r="A47" s="62"/>
      <c r="B47" s="63"/>
      <c r="C47" s="32"/>
      <c r="D47" s="71"/>
      <c r="E47" s="72"/>
      <c r="F47" s="75"/>
      <c r="G47" s="76"/>
      <c r="H47" s="76"/>
      <c r="I47" s="47"/>
    </row>
    <row r="48" spans="1:9" s="20" customFormat="1" ht="16.5" customHeight="1" x14ac:dyDescent="0.3">
      <c r="A48" s="62"/>
      <c r="B48" s="63"/>
      <c r="C48" s="32"/>
      <c r="D48" s="71"/>
      <c r="E48" s="72"/>
      <c r="F48" s="75"/>
      <c r="G48" s="76"/>
      <c r="H48" s="76"/>
      <c r="I48" s="47"/>
    </row>
    <row r="49" spans="1:9" s="20" customFormat="1" ht="16.5" customHeight="1" x14ac:dyDescent="0.3">
      <c r="A49" s="57"/>
      <c r="B49" s="58"/>
      <c r="C49" s="32"/>
      <c r="D49" s="71"/>
      <c r="E49" s="72"/>
      <c r="F49" s="75"/>
      <c r="G49" s="76"/>
      <c r="H49" s="76"/>
      <c r="I49" s="47"/>
    </row>
    <row r="50" spans="1:9" s="20" customFormat="1" ht="16.5" customHeight="1" x14ac:dyDescent="0.3">
      <c r="A50" s="57"/>
      <c r="B50" s="58"/>
      <c r="C50" s="32"/>
      <c r="D50" s="71"/>
      <c r="E50" s="72"/>
      <c r="F50" s="75"/>
      <c r="G50" s="76"/>
      <c r="H50" s="76"/>
      <c r="I50" s="47"/>
    </row>
    <row r="51" spans="1:9" s="20" customFormat="1" ht="10.5" customHeight="1" x14ac:dyDescent="0.3">
      <c r="A51" s="140"/>
      <c r="B51" s="141"/>
      <c r="C51" s="33"/>
      <c r="D51" s="26"/>
      <c r="E51" s="27"/>
      <c r="F51" s="28"/>
      <c r="G51" s="28"/>
      <c r="H51" s="28"/>
      <c r="I51" s="48"/>
    </row>
    <row r="52" spans="1:9" s="20" customFormat="1" ht="6" customHeight="1" thickBot="1" x14ac:dyDescent="0.35">
      <c r="A52" s="139"/>
      <c r="B52" s="64"/>
      <c r="C52" s="12"/>
      <c r="D52" s="12"/>
      <c r="E52" s="12"/>
      <c r="F52" s="12"/>
      <c r="G52" s="12"/>
      <c r="H52" s="12"/>
      <c r="I52" s="49"/>
    </row>
    <row r="53" spans="1:9" s="20" customFormat="1" ht="35.4" customHeight="1" thickTop="1" x14ac:dyDescent="0.3">
      <c r="A53" s="59" t="s">
        <v>303</v>
      </c>
      <c r="B53" s="60"/>
      <c r="C53" s="61"/>
      <c r="D53" s="69">
        <f>SUM(D27:E51)</f>
        <v>500</v>
      </c>
      <c r="E53" s="70"/>
      <c r="F53" s="67" t="str">
        <f>PesosMN(D53)</f>
        <v xml:space="preserve"> ( QUINIENTOS PESOS 00/100 M.N.)</v>
      </c>
      <c r="G53" s="60"/>
      <c r="H53" s="60"/>
      <c r="I53" s="68"/>
    </row>
    <row r="54" spans="1:9" s="20" customFormat="1" ht="5.4" customHeight="1" thickBot="1" x14ac:dyDescent="0.35">
      <c r="A54" s="42"/>
      <c r="B54" s="12"/>
      <c r="C54" s="12"/>
      <c r="D54" s="12"/>
      <c r="E54" s="12"/>
      <c r="F54" s="12"/>
      <c r="G54" s="12"/>
      <c r="H54" s="12"/>
      <c r="I54" s="49"/>
    </row>
    <row r="55" spans="1:9" s="20" customFormat="1" ht="24.6" customHeight="1" thickTop="1" x14ac:dyDescent="0.3">
      <c r="A55" s="122" t="s">
        <v>30</v>
      </c>
      <c r="B55" s="123"/>
      <c r="C55" s="123"/>
      <c r="D55" s="123"/>
      <c r="E55" s="119" t="s">
        <v>31</v>
      </c>
      <c r="F55" s="120"/>
      <c r="G55" s="121"/>
      <c r="H55" s="106"/>
      <c r="I55" s="107"/>
    </row>
    <row r="56" spans="1:9" s="20" customFormat="1" ht="27.6" customHeight="1" x14ac:dyDescent="0.3">
      <c r="A56" s="65" t="s">
        <v>305</v>
      </c>
      <c r="B56" s="66"/>
      <c r="C56" s="66"/>
      <c r="D56" s="66"/>
      <c r="E56" s="101"/>
      <c r="F56" s="102"/>
      <c r="G56" s="103"/>
      <c r="H56" s="108"/>
      <c r="I56" s="79"/>
    </row>
    <row r="57" spans="1:9" s="20" customFormat="1" ht="15" customHeight="1" x14ac:dyDescent="0.3">
      <c r="A57" s="109"/>
      <c r="B57" s="110"/>
      <c r="C57" s="110"/>
      <c r="D57" s="110"/>
      <c r="E57" s="113"/>
      <c r="F57" s="114"/>
      <c r="G57" s="115"/>
      <c r="H57" s="108"/>
      <c r="I57" s="79"/>
    </row>
    <row r="58" spans="1:9" s="20" customFormat="1" ht="15" customHeight="1" x14ac:dyDescent="0.3">
      <c r="A58" s="109"/>
      <c r="B58" s="110"/>
      <c r="C58" s="110"/>
      <c r="D58" s="110"/>
      <c r="E58" s="113"/>
      <c r="F58" s="114"/>
      <c r="G58" s="115"/>
      <c r="H58" s="108"/>
      <c r="I58" s="79"/>
    </row>
    <row r="59" spans="1:9" s="20" customFormat="1" ht="15" customHeight="1" x14ac:dyDescent="0.3">
      <c r="A59" s="109"/>
      <c r="B59" s="110"/>
      <c r="C59" s="110"/>
      <c r="D59" s="110"/>
      <c r="E59" s="113"/>
      <c r="F59" s="114"/>
      <c r="G59" s="115"/>
      <c r="H59" s="108"/>
      <c r="I59" s="79"/>
    </row>
    <row r="60" spans="1:9" s="20" customFormat="1" ht="96.75" customHeight="1" x14ac:dyDescent="0.3">
      <c r="A60" s="111"/>
      <c r="B60" s="112"/>
      <c r="C60" s="112"/>
      <c r="D60" s="112"/>
      <c r="E60" s="116"/>
      <c r="F60" s="117"/>
      <c r="G60" s="118"/>
      <c r="H60" s="108"/>
      <c r="I60" s="79"/>
    </row>
    <row r="61" spans="1:9" s="31" customFormat="1" ht="101.25" customHeight="1" x14ac:dyDescent="0.3">
      <c r="A61" s="124" t="s">
        <v>308</v>
      </c>
      <c r="B61" s="125"/>
      <c r="C61" s="125"/>
      <c r="D61" s="126"/>
      <c r="E61" s="104" t="s">
        <v>347</v>
      </c>
      <c r="F61" s="104"/>
      <c r="G61" s="105"/>
      <c r="H61" s="108"/>
      <c r="I61" s="79"/>
    </row>
    <row r="62" spans="1:9" s="31" customFormat="1" ht="55.5" customHeight="1" x14ac:dyDescent="0.3">
      <c r="A62" s="127"/>
      <c r="B62" s="128"/>
      <c r="C62" s="128"/>
      <c r="D62" s="129"/>
      <c r="E62" s="130"/>
      <c r="F62" s="131"/>
      <c r="G62" s="132"/>
      <c r="H62" s="133"/>
      <c r="I62" s="134"/>
    </row>
    <row r="63" spans="1:9" s="20" customFormat="1" ht="6.75" customHeight="1" x14ac:dyDescent="0.3">
      <c r="A63" s="42"/>
      <c r="B63" s="12"/>
      <c r="C63" s="12"/>
      <c r="D63" s="12"/>
      <c r="E63" s="12"/>
      <c r="F63" s="12"/>
      <c r="G63" s="12"/>
      <c r="H63" s="12"/>
      <c r="I63" s="49"/>
    </row>
    <row r="64" spans="1:9" s="20" customFormat="1" ht="18" customHeight="1" x14ac:dyDescent="0.3">
      <c r="A64" s="59" t="s">
        <v>32</v>
      </c>
      <c r="B64" s="60"/>
      <c r="C64" s="60"/>
      <c r="D64" s="60"/>
      <c r="E64" s="60"/>
      <c r="F64" s="60"/>
      <c r="G64" s="60"/>
      <c r="H64" s="60"/>
      <c r="I64" s="68"/>
    </row>
    <row r="65" spans="1:9" s="20" customFormat="1" ht="5.4" customHeight="1" x14ac:dyDescent="0.3">
      <c r="A65" s="42"/>
      <c r="B65" s="12"/>
      <c r="C65" s="12"/>
      <c r="D65" s="54"/>
      <c r="E65" s="54"/>
      <c r="F65" s="54"/>
      <c r="G65" s="54"/>
      <c r="H65" s="12"/>
      <c r="I65" s="49"/>
    </row>
    <row r="66" spans="1:9" s="20" customFormat="1" ht="24" customHeight="1" x14ac:dyDescent="0.3">
      <c r="A66" s="94" t="s">
        <v>33</v>
      </c>
      <c r="B66" s="95"/>
      <c r="C66" s="95"/>
      <c r="D66" s="96"/>
      <c r="E66" s="97" t="s">
        <v>34</v>
      </c>
      <c r="F66" s="95"/>
      <c r="G66" s="95"/>
      <c r="H66" s="95"/>
      <c r="I66" s="98"/>
    </row>
    <row r="67" spans="1:9" s="20" customFormat="1" ht="30" customHeight="1" x14ac:dyDescent="0.3">
      <c r="A67" s="99" t="s">
        <v>35</v>
      </c>
      <c r="B67" s="89"/>
      <c r="C67" s="89"/>
      <c r="D67" s="100"/>
      <c r="E67" s="88" t="s">
        <v>36</v>
      </c>
      <c r="F67" s="89"/>
      <c r="G67" s="89"/>
      <c r="H67" s="89"/>
      <c r="I67" s="90"/>
    </row>
    <row r="68" spans="1:9" s="20" customFormat="1" ht="25.95" customHeight="1" x14ac:dyDescent="0.3">
      <c r="A68" s="91" t="s">
        <v>37</v>
      </c>
      <c r="B68" s="92"/>
      <c r="C68" s="92"/>
      <c r="D68" s="93"/>
      <c r="E68" s="13"/>
      <c r="F68" s="12"/>
      <c r="G68" s="12"/>
      <c r="H68" s="12"/>
      <c r="I68" s="49"/>
    </row>
    <row r="69" spans="1:9" s="20" customFormat="1" ht="23.25" customHeight="1" x14ac:dyDescent="0.3">
      <c r="A69" s="82"/>
      <c r="B69" s="83"/>
      <c r="C69" s="83"/>
      <c r="D69" s="84"/>
      <c r="E69" s="36"/>
      <c r="F69" s="25"/>
      <c r="G69" s="25"/>
      <c r="H69" s="12"/>
      <c r="I69" s="49"/>
    </row>
    <row r="70" spans="1:9" s="20" customFormat="1" ht="23.25" customHeight="1" x14ac:dyDescent="0.3">
      <c r="A70" s="65"/>
      <c r="B70" s="66"/>
      <c r="C70" s="66"/>
      <c r="D70" s="85"/>
      <c r="E70" s="36"/>
      <c r="F70" s="25"/>
      <c r="G70" s="25"/>
      <c r="H70" s="12"/>
      <c r="I70" s="49"/>
    </row>
    <row r="71" spans="1:9" s="20" customFormat="1" ht="23.25" customHeight="1" x14ac:dyDescent="0.3">
      <c r="A71" s="65"/>
      <c r="B71" s="66"/>
      <c r="C71" s="66"/>
      <c r="D71" s="85"/>
      <c r="E71" s="36"/>
      <c r="F71" s="25"/>
      <c r="G71" s="25"/>
      <c r="H71" s="66"/>
      <c r="I71" s="79"/>
    </row>
    <row r="72" spans="1:9" s="20" customFormat="1" ht="23.25" customHeight="1" x14ac:dyDescent="0.3">
      <c r="A72" s="65"/>
      <c r="B72" s="66"/>
      <c r="C72" s="66"/>
      <c r="D72" s="85"/>
      <c r="E72" s="36"/>
      <c r="F72" s="25"/>
      <c r="G72" s="25"/>
      <c r="H72" s="66"/>
      <c r="I72" s="79"/>
    </row>
    <row r="73" spans="1:9" ht="23.25" customHeight="1" x14ac:dyDescent="0.35">
      <c r="A73" s="86"/>
      <c r="B73" s="80"/>
      <c r="C73" s="80"/>
      <c r="D73" s="87"/>
      <c r="E73" s="29"/>
      <c r="F73" s="30"/>
      <c r="G73" s="30"/>
      <c r="H73" s="80"/>
      <c r="I73" s="81"/>
    </row>
    <row r="74" spans="1:9" ht="18.600000000000001" thickBot="1" x14ac:dyDescent="0.4">
      <c r="A74" s="50"/>
      <c r="B74" s="51"/>
      <c r="C74" s="52"/>
      <c r="D74" s="52"/>
      <c r="E74" s="52"/>
      <c r="F74" s="52"/>
      <c r="G74" s="52"/>
      <c r="H74" s="52"/>
      <c r="I74" s="53"/>
    </row>
    <row r="75" spans="1:9" x14ac:dyDescent="0.35">
      <c r="A75" s="9"/>
      <c r="B75" s="9"/>
      <c r="C75" s="9"/>
      <c r="D75" s="9"/>
      <c r="E75" s="9"/>
      <c r="F75" s="9"/>
      <c r="G75" s="9"/>
      <c r="H75" s="9"/>
      <c r="I75" s="9"/>
    </row>
  </sheetData>
  <sheetProtection formatCells="0" formatColumns="0" formatRows="0" insertColumns="0" insertRows="0" deleteColumns="0" deleteRows="0" sort="0" autoFilter="0" pivotTables="0"/>
  <mergeCells count="124"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D33:E33"/>
    <mergeCell ref="D35:E35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F32:H32"/>
    <mergeCell ref="D45:E45"/>
    <mergeCell ref="D40:E40"/>
    <mergeCell ref="D37:E37"/>
    <mergeCell ref="A44:B44"/>
    <mergeCell ref="A48:B48"/>
    <mergeCell ref="A51:B51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H15:I16"/>
    <mergeCell ref="F43:H43"/>
    <mergeCell ref="F45:H45"/>
    <mergeCell ref="F46:H46"/>
    <mergeCell ref="F49:H49"/>
    <mergeCell ref="D49:E49"/>
    <mergeCell ref="D36:E36"/>
    <mergeCell ref="A52:B52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A43:B43"/>
    <mergeCell ref="A47:B47"/>
    <mergeCell ref="A49:B49"/>
    <mergeCell ref="H71:I73"/>
    <mergeCell ref="A69:D73"/>
    <mergeCell ref="E67:I67"/>
    <mergeCell ref="A68:D68"/>
    <mergeCell ref="A64:I64"/>
    <mergeCell ref="A66:D66"/>
    <mergeCell ref="E66:I66"/>
    <mergeCell ref="A67:D67"/>
    <mergeCell ref="E56:G56"/>
    <mergeCell ref="E61:G61"/>
    <mergeCell ref="H55:I61"/>
    <mergeCell ref="A57:D60"/>
    <mergeCell ref="E57:G60"/>
    <mergeCell ref="E55:G55"/>
    <mergeCell ref="A55:D55"/>
    <mergeCell ref="A61:D62"/>
    <mergeCell ref="E62:G62"/>
    <mergeCell ref="H62:I62"/>
    <mergeCell ref="A50:B50"/>
    <mergeCell ref="A53:C53"/>
    <mergeCell ref="A45:B45"/>
    <mergeCell ref="A46:B46"/>
    <mergeCell ref="C10:G10"/>
    <mergeCell ref="A56:D56"/>
    <mergeCell ref="F53:I53"/>
    <mergeCell ref="D53:E53"/>
    <mergeCell ref="D50:E50"/>
    <mergeCell ref="D48:E48"/>
    <mergeCell ref="F24:I25"/>
    <mergeCell ref="F44:H44"/>
    <mergeCell ref="F36:H36"/>
    <mergeCell ref="F37:H37"/>
    <mergeCell ref="F47:H47"/>
    <mergeCell ref="F48:H48"/>
    <mergeCell ref="F50:H50"/>
    <mergeCell ref="F39:H39"/>
    <mergeCell ref="F40:H40"/>
    <mergeCell ref="F42:H42"/>
    <mergeCell ref="F38:H38"/>
    <mergeCell ref="F41:H41"/>
    <mergeCell ref="D42:E42"/>
    <mergeCell ref="D41:E41"/>
  </mergeCells>
  <pageMargins left="0.7" right="0.7" top="0.75" bottom="0.75" header="0.3" footer="0.3"/>
  <pageSetup scale="4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 DE SELECCION" error="FAVOR DE SELECCIONAR LA PARTIDA" promptTitle="LISTA DE PARTDA" xr:uid="{00000000-0002-0000-0000-000000000000}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 xr:uid="{00000000-0002-0000-0000-000001000000}">
          <x14:formula1>
            <xm:f>PROYECTO!$A$2:$A$39</xm:f>
          </x14:formula1>
          <xm:sqref>F17:F20</xm:sqref>
        </x14:dataValidation>
        <x14:dataValidation type="list" showInputMessage="1" showErrorMessage="1" xr:uid="{00000000-0002-0000-0000-000002000000}">
          <x14:formula1>
            <xm:f>Hoja1!$A$1:$A$4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5"/>
  <sheetViews>
    <sheetView workbookViewId="0">
      <selection activeCell="D2" sqref="D2"/>
    </sheetView>
  </sheetViews>
  <sheetFormatPr baseColWidth="10" defaultRowHeight="14.4" x14ac:dyDescent="0.3"/>
  <cols>
    <col min="1" max="1" width="33.5546875" bestFit="1" customWidth="1"/>
  </cols>
  <sheetData>
    <row r="1" spans="1:1" ht="105" thickBot="1" x14ac:dyDescent="0.35">
      <c r="A1" s="35" t="s">
        <v>346</v>
      </c>
    </row>
    <row r="2" spans="1:1" ht="105.6" thickTop="1" thickBot="1" x14ac:dyDescent="0.35">
      <c r="A2" s="35" t="s">
        <v>347</v>
      </c>
    </row>
    <row r="3" spans="1:1" ht="262.2" thickTop="1" thickBot="1" x14ac:dyDescent="0.35">
      <c r="A3" s="35" t="s">
        <v>306</v>
      </c>
    </row>
    <row r="4" spans="1:1" ht="244.8" thickTop="1" thickBot="1" x14ac:dyDescent="0.35">
      <c r="A4" s="35" t="s">
        <v>307</v>
      </c>
    </row>
    <row r="5" spans="1:1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47"/>
  <sheetViews>
    <sheetView topLeftCell="A6" workbookViewId="0">
      <selection activeCell="E61" sqref="E61:G61"/>
    </sheetView>
  </sheetViews>
  <sheetFormatPr baseColWidth="10" defaultRowHeight="14.4" x14ac:dyDescent="0.3"/>
  <cols>
    <col min="1" max="1" width="23.5546875" style="3" bestFit="1" customWidth="1"/>
    <col min="2" max="2" width="37.6640625" bestFit="1" customWidth="1"/>
  </cols>
  <sheetData>
    <row r="1" spans="1:2" x14ac:dyDescent="0.3">
      <c r="A1" s="3" t="s">
        <v>50</v>
      </c>
      <c r="B1" t="s">
        <v>301</v>
      </c>
    </row>
    <row r="2" spans="1:2" x14ac:dyDescent="0.3">
      <c r="A2" t="s">
        <v>309</v>
      </c>
      <c r="B2" s="4" t="s">
        <v>46</v>
      </c>
    </row>
    <row r="3" spans="1:2" x14ac:dyDescent="0.3">
      <c r="A3" t="s">
        <v>310</v>
      </c>
      <c r="B3" s="7"/>
    </row>
    <row r="4" spans="1:2" x14ac:dyDescent="0.3">
      <c r="A4" t="s">
        <v>343</v>
      </c>
      <c r="B4" s="7"/>
    </row>
    <row r="5" spans="1:2" x14ac:dyDescent="0.3">
      <c r="A5" t="s">
        <v>311</v>
      </c>
      <c r="B5" s="7" t="s">
        <v>38</v>
      </c>
    </row>
    <row r="6" spans="1:2" x14ac:dyDescent="0.3">
      <c r="A6" t="s">
        <v>312</v>
      </c>
      <c r="B6" s="5" t="s">
        <v>43</v>
      </c>
    </row>
    <row r="7" spans="1:2" x14ac:dyDescent="0.3">
      <c r="A7" t="s">
        <v>313</v>
      </c>
      <c r="B7" s="5" t="s">
        <v>49</v>
      </c>
    </row>
    <row r="8" spans="1:2" x14ac:dyDescent="0.3">
      <c r="A8" t="s">
        <v>314</v>
      </c>
      <c r="B8" s="5" t="s">
        <v>48</v>
      </c>
    </row>
    <row r="9" spans="1:2" x14ac:dyDescent="0.3">
      <c r="A9" t="s">
        <v>315</v>
      </c>
      <c r="B9" s="5" t="s">
        <v>47</v>
      </c>
    </row>
    <row r="10" spans="1:2" x14ac:dyDescent="0.3">
      <c r="A10" t="s">
        <v>316</v>
      </c>
      <c r="B10" s="4" t="s">
        <v>46</v>
      </c>
    </row>
    <row r="11" spans="1:2" x14ac:dyDescent="0.3">
      <c r="A11" t="s">
        <v>317</v>
      </c>
      <c r="B11" s="5" t="s">
        <v>39</v>
      </c>
    </row>
    <row r="12" spans="1:2" x14ac:dyDescent="0.3">
      <c r="A12" t="s">
        <v>318</v>
      </c>
      <c r="B12" s="5" t="s">
        <v>39</v>
      </c>
    </row>
    <row r="13" spans="1:2" x14ac:dyDescent="0.3">
      <c r="A13" t="s">
        <v>319</v>
      </c>
      <c r="B13" s="5" t="s">
        <v>39</v>
      </c>
    </row>
    <row r="14" spans="1:2" x14ac:dyDescent="0.3">
      <c r="A14" t="s">
        <v>320</v>
      </c>
      <c r="B14" s="4" t="s">
        <v>40</v>
      </c>
    </row>
    <row r="15" spans="1:2" x14ac:dyDescent="0.3">
      <c r="A15" t="s">
        <v>321</v>
      </c>
      <c r="B15" s="4" t="s">
        <v>40</v>
      </c>
    </row>
    <row r="16" spans="1:2" x14ac:dyDescent="0.3">
      <c r="A16" t="s">
        <v>322</v>
      </c>
      <c r="B16" s="4" t="s">
        <v>40</v>
      </c>
    </row>
    <row r="17" spans="1:2" x14ac:dyDescent="0.3">
      <c r="A17" t="s">
        <v>323</v>
      </c>
      <c r="B17" s="6" t="s">
        <v>42</v>
      </c>
    </row>
    <row r="18" spans="1:2" x14ac:dyDescent="0.3">
      <c r="A18" t="s">
        <v>324</v>
      </c>
      <c r="B18" s="5" t="s">
        <v>44</v>
      </c>
    </row>
    <row r="19" spans="1:2" x14ac:dyDescent="0.3">
      <c r="A19" t="s">
        <v>325</v>
      </c>
      <c r="B19" s="4" t="s">
        <v>45</v>
      </c>
    </row>
    <row r="20" spans="1:2" x14ac:dyDescent="0.3">
      <c r="A20" t="s">
        <v>326</v>
      </c>
      <c r="B20" s="4" t="s">
        <v>45</v>
      </c>
    </row>
    <row r="21" spans="1:2" x14ac:dyDescent="0.3">
      <c r="A21" t="s">
        <v>327</v>
      </c>
      <c r="B21" s="4" t="s">
        <v>45</v>
      </c>
    </row>
    <row r="22" spans="1:2" x14ac:dyDescent="0.3">
      <c r="A22" t="s">
        <v>328</v>
      </c>
      <c r="B22" s="5" t="s">
        <v>43</v>
      </c>
    </row>
    <row r="23" spans="1:2" x14ac:dyDescent="0.3">
      <c r="A23" t="s">
        <v>329</v>
      </c>
      <c r="B23" s="5" t="s">
        <v>43</v>
      </c>
    </row>
    <row r="24" spans="1:2" x14ac:dyDescent="0.3">
      <c r="A24" t="s">
        <v>330</v>
      </c>
      <c r="B24" s="6" t="s">
        <v>41</v>
      </c>
    </row>
    <row r="25" spans="1:2" x14ac:dyDescent="0.3">
      <c r="A25" t="s">
        <v>331</v>
      </c>
      <c r="B25" s="6" t="s">
        <v>41</v>
      </c>
    </row>
    <row r="26" spans="1:2" x14ac:dyDescent="0.3">
      <c r="A26" t="s">
        <v>332</v>
      </c>
      <c r="B26" s="4" t="s">
        <v>40</v>
      </c>
    </row>
    <row r="27" spans="1:2" x14ac:dyDescent="0.3">
      <c r="A27" t="s">
        <v>333</v>
      </c>
      <c r="B27" s="5" t="s">
        <v>39</v>
      </c>
    </row>
    <row r="28" spans="1:2" x14ac:dyDescent="0.3">
      <c r="A28" t="s">
        <v>334</v>
      </c>
      <c r="B28" s="4" t="s">
        <v>45</v>
      </c>
    </row>
    <row r="29" spans="1:2" x14ac:dyDescent="0.3">
      <c r="A29" t="s">
        <v>335</v>
      </c>
      <c r="B29" s="4" t="s">
        <v>45</v>
      </c>
    </row>
    <row r="30" spans="1:2" x14ac:dyDescent="0.3">
      <c r="A30" t="s">
        <v>336</v>
      </c>
      <c r="B30" s="4" t="s">
        <v>45</v>
      </c>
    </row>
    <row r="31" spans="1:2" x14ac:dyDescent="0.3">
      <c r="A31" t="s">
        <v>337</v>
      </c>
      <c r="B31" s="4" t="s">
        <v>45</v>
      </c>
    </row>
    <row r="32" spans="1:2" x14ac:dyDescent="0.3">
      <c r="A32" t="s">
        <v>338</v>
      </c>
      <c r="B32" s="4" t="s">
        <v>45</v>
      </c>
    </row>
    <row r="33" spans="1:2" x14ac:dyDescent="0.3">
      <c r="A33" t="s">
        <v>339</v>
      </c>
      <c r="B33" s="4" t="s">
        <v>40</v>
      </c>
    </row>
    <row r="34" spans="1:2" x14ac:dyDescent="0.3">
      <c r="A34" t="s">
        <v>340</v>
      </c>
      <c r="B34" s="4" t="s">
        <v>40</v>
      </c>
    </row>
    <row r="35" spans="1:2" x14ac:dyDescent="0.3">
      <c r="A35" t="s">
        <v>341</v>
      </c>
    </row>
    <row r="36" spans="1:2" x14ac:dyDescent="0.3">
      <c r="A36" t="s">
        <v>342</v>
      </c>
    </row>
    <row r="37" spans="1:2" x14ac:dyDescent="0.3">
      <c r="A37" t="s">
        <v>344</v>
      </c>
    </row>
    <row r="38" spans="1:2" x14ac:dyDescent="0.3">
      <c r="A38"/>
    </row>
    <row r="39" spans="1:2" x14ac:dyDescent="0.3">
      <c r="A39"/>
    </row>
    <row r="40" spans="1:2" x14ac:dyDescent="0.3">
      <c r="A40"/>
    </row>
    <row r="41" spans="1:2" x14ac:dyDescent="0.3">
      <c r="A41"/>
    </row>
    <row r="42" spans="1:2" x14ac:dyDescent="0.3">
      <c r="A42"/>
    </row>
    <row r="43" spans="1:2" x14ac:dyDescent="0.3">
      <c r="A43"/>
    </row>
    <row r="44" spans="1:2" x14ac:dyDescent="0.3">
      <c r="A44"/>
    </row>
    <row r="45" spans="1:2" x14ac:dyDescent="0.3">
      <c r="A45"/>
    </row>
    <row r="46" spans="1:2" x14ac:dyDescent="0.3">
      <c r="A46"/>
    </row>
    <row r="47" spans="1:2" x14ac:dyDescent="0.3">
      <c r="A47"/>
    </row>
  </sheetData>
  <autoFilter ref="A1:A34" xr:uid="{00000000-0009-0000-0000-000002000000}">
    <sortState xmlns:xlrd2="http://schemas.microsoft.com/office/spreadsheetml/2017/richdata2" ref="A2:A34">
      <sortCondition ref="A1:A3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E61" sqref="E61:G61"/>
    </sheetView>
  </sheetViews>
  <sheetFormatPr baseColWidth="10" defaultColWidth="11.44140625" defaultRowHeight="14.4" x14ac:dyDescent="0.3"/>
  <cols>
    <col min="1" max="1" width="75.6640625" customWidth="1"/>
    <col min="2" max="2" width="8.88671875" bestFit="1" customWidth="1"/>
    <col min="3" max="3" width="128.109375" bestFit="1" customWidth="1"/>
  </cols>
  <sheetData>
    <row r="1" spans="1:3" x14ac:dyDescent="0.3">
      <c r="B1" s="2" t="s">
        <v>51</v>
      </c>
      <c r="C1" s="2" t="s">
        <v>52</v>
      </c>
    </row>
    <row r="2" spans="1:3" x14ac:dyDescent="0.3">
      <c r="A2" t="s">
        <v>53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3">
      <c r="A3" t="s">
        <v>54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3">
      <c r="A4" t="s">
        <v>55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3">
      <c r="A5" t="s">
        <v>56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3">
      <c r="A6" t="s">
        <v>57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3">
      <c r="A7" t="s">
        <v>58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3">
      <c r="A8" t="s">
        <v>59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3">
      <c r="A9" t="s">
        <v>60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3">
      <c r="A10" t="s">
        <v>61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3">
      <c r="A11" t="s">
        <v>62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3">
      <c r="A12" t="s">
        <v>63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3">
      <c r="A13" t="s">
        <v>64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3">
      <c r="A14" t="s">
        <v>65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3">
      <c r="A15" t="s">
        <v>66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3">
      <c r="A16" t="s">
        <v>67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3">
      <c r="A17" t="s">
        <v>68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3">
      <c r="A18" t="s">
        <v>69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3">
      <c r="A19" t="s">
        <v>70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3">
      <c r="A20" t="s">
        <v>71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3">
      <c r="A21" t="s">
        <v>72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3">
      <c r="A22" t="s">
        <v>73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3">
      <c r="A23" t="s">
        <v>74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3">
      <c r="A24" t="s">
        <v>75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3">
      <c r="A25" t="s">
        <v>76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3">
      <c r="A26" t="s">
        <v>77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3">
      <c r="A27" t="s">
        <v>78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3">
      <c r="A28" t="s">
        <v>79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3">
      <c r="A29" t="s">
        <v>80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3">
      <c r="A30" t="s">
        <v>81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3">
      <c r="A31" t="s">
        <v>82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3">
      <c r="A32" t="s">
        <v>83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3">
      <c r="A33" t="s">
        <v>84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3">
      <c r="A34" t="s">
        <v>85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3">
      <c r="A35" t="s">
        <v>86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3">
      <c r="A36" t="s">
        <v>87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3">
      <c r="A37" t="s">
        <v>88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3">
      <c r="A38" t="s">
        <v>89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3">
      <c r="A39" t="s">
        <v>90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3">
      <c r="A40" t="s">
        <v>91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3">
      <c r="A41" t="s">
        <v>92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3">
      <c r="A42" t="s">
        <v>93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3">
      <c r="A43" t="s">
        <v>94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3">
      <c r="A44" t="s">
        <v>95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3">
      <c r="A45" t="s">
        <v>96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3">
      <c r="A46" t="s">
        <v>97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3">
      <c r="A47" t="s">
        <v>98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3">
      <c r="A48" t="s">
        <v>99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3">
      <c r="A49" t="s">
        <v>100</v>
      </c>
      <c r="B49">
        <f t="shared" si="2"/>
        <v>2740</v>
      </c>
      <c r="C49" t="str">
        <f t="shared" si="3"/>
        <v xml:space="preserve"> Productos textiles</v>
      </c>
    </row>
    <row r="50" spans="1:3" x14ac:dyDescent="0.3">
      <c r="A50" t="s">
        <v>101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3">
      <c r="A51" t="s">
        <v>102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3">
      <c r="A52" t="s">
        <v>103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3">
      <c r="A53" t="s">
        <v>104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3">
      <c r="A54" t="s">
        <v>105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3">
      <c r="A55" t="s">
        <v>106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3">
      <c r="A56" t="s">
        <v>107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3">
      <c r="A57" t="s">
        <v>108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3">
      <c r="A58" t="s">
        <v>109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3">
      <c r="A59" t="s">
        <v>110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3">
      <c r="A60" t="s">
        <v>111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3">
      <c r="A61" t="s">
        <v>112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3">
      <c r="A62" t="s">
        <v>113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3">
      <c r="A63" t="s">
        <v>114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3">
      <c r="A64" t="s">
        <v>115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3">
      <c r="A65" t="s">
        <v>116</v>
      </c>
      <c r="B65">
        <f t="shared" si="4"/>
        <v>3000</v>
      </c>
      <c r="C65" t="str">
        <f t="shared" si="5"/>
        <v xml:space="preserve"> SERVICIOS GENERALES</v>
      </c>
    </row>
    <row r="66" spans="1:3" x14ac:dyDescent="0.3">
      <c r="A66" t="s">
        <v>117</v>
      </c>
      <c r="B66">
        <f t="shared" si="4"/>
        <v>3100</v>
      </c>
      <c r="C66" t="str">
        <f t="shared" si="5"/>
        <v xml:space="preserve"> SERVICIOS BÁSICOS</v>
      </c>
    </row>
    <row r="67" spans="1:3" x14ac:dyDescent="0.3">
      <c r="A67" t="s">
        <v>118</v>
      </c>
      <c r="B67">
        <f t="shared" si="4"/>
        <v>3110</v>
      </c>
      <c r="C67" t="str">
        <f t="shared" si="5"/>
        <v xml:space="preserve"> Energía eléctrica</v>
      </c>
    </row>
    <row r="68" spans="1:3" x14ac:dyDescent="0.3">
      <c r="A68" t="s">
        <v>119</v>
      </c>
      <c r="B68">
        <f t="shared" si="4"/>
        <v>3120</v>
      </c>
      <c r="C68" t="str">
        <f t="shared" si="5"/>
        <v xml:space="preserve"> Gas</v>
      </c>
    </row>
    <row r="69" spans="1:3" x14ac:dyDescent="0.3">
      <c r="A69" t="s">
        <v>120</v>
      </c>
      <c r="B69">
        <f t="shared" si="4"/>
        <v>3130</v>
      </c>
      <c r="C69" t="str">
        <f t="shared" si="5"/>
        <v xml:space="preserve"> Agua</v>
      </c>
    </row>
    <row r="70" spans="1:3" x14ac:dyDescent="0.3">
      <c r="A70" t="s">
        <v>121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3">
      <c r="A71" t="s">
        <v>122</v>
      </c>
      <c r="B71">
        <f t="shared" si="4"/>
        <v>3150</v>
      </c>
      <c r="C71" t="str">
        <f t="shared" si="5"/>
        <v xml:space="preserve"> Telefonía celular</v>
      </c>
    </row>
    <row r="72" spans="1:3" x14ac:dyDescent="0.3">
      <c r="A72" t="s">
        <v>123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3">
      <c r="A73" t="s">
        <v>124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3">
      <c r="A74" t="s">
        <v>125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3">
      <c r="A75" t="s">
        <v>126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3">
      <c r="A76" t="s">
        <v>127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3">
      <c r="A77" t="s">
        <v>128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3">
      <c r="A78" t="s">
        <v>129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3">
      <c r="A79" t="s">
        <v>130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3">
      <c r="A80" t="s">
        <v>131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3">
      <c r="A81" t="s">
        <v>132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3">
      <c r="A82" t="s">
        <v>133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3">
      <c r="A83" t="s">
        <v>134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3">
      <c r="A84" t="s">
        <v>135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3">
      <c r="A85" t="s">
        <v>136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3">
      <c r="A86" t="s">
        <v>137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3">
      <c r="A87" t="s">
        <v>138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3">
      <c r="A88" t="s">
        <v>139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3">
      <c r="A89" t="s">
        <v>140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3">
      <c r="A90" t="s">
        <v>141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3">
      <c r="A91" t="s">
        <v>142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3">
      <c r="A92" t="s">
        <v>143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3">
      <c r="A93" t="s">
        <v>144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3">
      <c r="A94" t="s">
        <v>145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3">
      <c r="A95" t="s">
        <v>146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3">
      <c r="A96" t="s">
        <v>147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3">
      <c r="A97" t="s">
        <v>148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3">
      <c r="A98" t="s">
        <v>149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3">
      <c r="A99" t="s">
        <v>150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3">
      <c r="A100" t="s">
        <v>151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3">
      <c r="A101" t="s">
        <v>152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3">
      <c r="A102" t="s">
        <v>153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3">
      <c r="A103" t="s">
        <v>154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3">
      <c r="A104" t="s">
        <v>155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3">
      <c r="A105" t="s">
        <v>156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3">
      <c r="A106" t="s">
        <v>157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3">
      <c r="A107" t="s">
        <v>158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3">
      <c r="A108" t="s">
        <v>159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3">
      <c r="A109" t="s">
        <v>160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3">
      <c r="A110" t="s">
        <v>161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3">
      <c r="A111" t="s">
        <v>162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3">
      <c r="A112" t="s">
        <v>163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3">
      <c r="A113" t="s">
        <v>164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3">
      <c r="A114" t="s">
        <v>165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3">
      <c r="A115" t="s">
        <v>166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3">
      <c r="A116" t="s">
        <v>167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3">
      <c r="A117" t="s">
        <v>168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3">
      <c r="A118" t="s">
        <v>169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3">
      <c r="A119" t="s">
        <v>170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3">
      <c r="A120" t="s">
        <v>171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3">
      <c r="A121" t="s">
        <v>172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3">
      <c r="A122" t="s">
        <v>173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3">
      <c r="A123" t="s">
        <v>174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3">
      <c r="A124" t="s">
        <v>175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3">
      <c r="A125" t="s">
        <v>176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3">
      <c r="A126" t="s">
        <v>177</v>
      </c>
      <c r="B126">
        <f t="shared" si="6"/>
        <v>3710</v>
      </c>
      <c r="C126" t="str">
        <f t="shared" si="7"/>
        <v xml:space="preserve"> Pasajes aéreos</v>
      </c>
    </row>
    <row r="127" spans="1:3" x14ac:dyDescent="0.3">
      <c r="A127" t="s">
        <v>178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3">
      <c r="A128" t="s">
        <v>179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3">
      <c r="A129" t="s">
        <v>180</v>
      </c>
      <c r="B129">
        <f t="shared" si="6"/>
        <v>3740</v>
      </c>
      <c r="C129" t="str">
        <f t="shared" si="7"/>
        <v xml:space="preserve"> Autotransporte</v>
      </c>
    </row>
    <row r="130" spans="1:3" x14ac:dyDescent="0.3">
      <c r="A130" t="s">
        <v>181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3">
      <c r="A131" t="s">
        <v>182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3">
      <c r="A132" t="s">
        <v>183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3">
      <c r="A133" t="s">
        <v>184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3">
      <c r="A134" t="s">
        <v>185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3">
      <c r="A135" t="s">
        <v>186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3">
      <c r="A136" t="s">
        <v>187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3">
      <c r="A137" t="s">
        <v>188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3">
      <c r="A138" t="s">
        <v>189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3">
      <c r="A139" t="s">
        <v>190</v>
      </c>
      <c r="B139">
        <f t="shared" si="6"/>
        <v>3840</v>
      </c>
      <c r="C139" t="str">
        <f t="shared" si="7"/>
        <v xml:space="preserve"> Exposiciones</v>
      </c>
    </row>
    <row r="140" spans="1:3" x14ac:dyDescent="0.3">
      <c r="A140" t="s">
        <v>191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3">
      <c r="A141" t="s">
        <v>192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3">
      <c r="A142" t="s">
        <v>193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3">
      <c r="A143" t="s">
        <v>194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3">
      <c r="A144" t="s">
        <v>195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3">
      <c r="A145" t="s">
        <v>196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3">
      <c r="A146" t="s">
        <v>197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3">
      <c r="A147" t="s">
        <v>198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3">
      <c r="A148" t="s">
        <v>199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3">
      <c r="A149" t="s">
        <v>200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3">
      <c r="A150" t="s">
        <v>201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3">
      <c r="A151" t="s">
        <v>202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3">
      <c r="A152" t="s">
        <v>203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3">
      <c r="A153" t="s">
        <v>204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3">
      <c r="A154" t="s">
        <v>205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3">
      <c r="A155" t="s">
        <v>206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3">
      <c r="A156" t="s">
        <v>207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3">
      <c r="A157" t="s">
        <v>208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3">
      <c r="A158" t="s">
        <v>209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3">
      <c r="A159" t="s">
        <v>210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3">
      <c r="A160" t="s">
        <v>211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3">
      <c r="A161" t="s">
        <v>212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3">
      <c r="A162" t="s">
        <v>213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3">
      <c r="A163" t="s">
        <v>214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3">
      <c r="A164" t="s">
        <v>215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3">
      <c r="A165" t="s">
        <v>216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3">
      <c r="A166" t="s">
        <v>217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3">
      <c r="A167" t="s">
        <v>218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3">
      <c r="A168" t="s">
        <v>219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3">
      <c r="A169" t="s">
        <v>220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3">
      <c r="A170" t="s">
        <v>221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3">
      <c r="A171" t="s">
        <v>222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3">
      <c r="A172" t="s">
        <v>223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3">
      <c r="A173" t="s">
        <v>224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3">
      <c r="A174" t="s">
        <v>225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3">
      <c r="A175" t="s">
        <v>226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3">
      <c r="A176" t="s">
        <v>227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3">
      <c r="A177" t="s">
        <v>228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3">
      <c r="A178" t="s">
        <v>229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3">
      <c r="A179" t="s">
        <v>230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3">
      <c r="A180" t="s">
        <v>231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3">
      <c r="A181" t="s">
        <v>232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3">
      <c r="A182" t="s">
        <v>233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3">
      <c r="A183" t="s">
        <v>234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3">
      <c r="A184" t="s">
        <v>235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3">
      <c r="A185" t="s">
        <v>236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3">
      <c r="A186" t="s">
        <v>237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3">
      <c r="A187" t="s">
        <v>238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3">
      <c r="A188" t="s">
        <v>239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3">
      <c r="A189" t="s">
        <v>240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3">
      <c r="A190" t="s">
        <v>241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3">
      <c r="A191" t="s">
        <v>242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3">
      <c r="A192" t="s">
        <v>243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3">
      <c r="A193" t="s">
        <v>244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3">
      <c r="A194" t="s">
        <v>245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3">
      <c r="A195" t="s">
        <v>246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3">
      <c r="A196" t="s">
        <v>247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3">
      <c r="A197" t="s">
        <v>248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3">
      <c r="A198" t="s">
        <v>249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3">
      <c r="A199" t="s">
        <v>250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3">
      <c r="A200" t="s">
        <v>251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3">
      <c r="A201" t="s">
        <v>252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3">
      <c r="A202" t="s">
        <v>253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3">
      <c r="A203" t="s">
        <v>254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3">
      <c r="A204" t="s">
        <v>255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3">
      <c r="A205" t="s">
        <v>256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3">
      <c r="A206" t="s">
        <v>257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3">
      <c r="A207" t="s">
        <v>258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3">
      <c r="A208" t="s">
        <v>259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3">
      <c r="A209" t="s">
        <v>260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3">
      <c r="A210" t="s">
        <v>261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3">
      <c r="A211" t="s">
        <v>262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3">
      <c r="A212" t="s">
        <v>263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3">
      <c r="A213" t="s">
        <v>264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3">
      <c r="A214" t="s">
        <v>265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3">
      <c r="A215" t="s">
        <v>266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3">
      <c r="A216" t="s">
        <v>267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3">
      <c r="A217" t="s">
        <v>268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3">
      <c r="A218" t="s">
        <v>269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3">
      <c r="A219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3">
      <c r="A220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3">
      <c r="A221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3">
      <c r="A222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3">
      <c r="A223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3">
      <c r="A22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3">
      <c r="A225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3">
      <c r="A226" t="s">
        <v>277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3">
      <c r="A227" t="s">
        <v>278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3">
      <c r="A228" t="s">
        <v>279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3">
      <c r="A229" t="s">
        <v>280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3">
      <c r="A230" t="s">
        <v>281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3">
      <c r="A231" t="s">
        <v>282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3">
      <c r="A232" t="s">
        <v>283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3">
      <c r="A233" t="s">
        <v>284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3">
      <c r="A234" t="s">
        <v>285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3">
      <c r="A235" t="s">
        <v>286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3">
      <c r="A236" t="s">
        <v>287</v>
      </c>
      <c r="B236">
        <f t="shared" si="10"/>
        <v>4510</v>
      </c>
      <c r="C236" t="str">
        <f t="shared" si="11"/>
        <v xml:space="preserve"> Pensiones</v>
      </c>
    </row>
    <row r="237" spans="1:3" x14ac:dyDescent="0.3">
      <c r="A237" t="s">
        <v>288</v>
      </c>
      <c r="B237">
        <f t="shared" si="10"/>
        <v>4520</v>
      </c>
      <c r="C237" t="str">
        <f t="shared" si="11"/>
        <v xml:space="preserve"> Jubilaciones</v>
      </c>
    </row>
    <row r="238" spans="1:3" x14ac:dyDescent="0.3">
      <c r="A238" t="s">
        <v>289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3">
      <c r="A239" t="s">
        <v>290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3">
      <c r="A240" t="s">
        <v>291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3">
      <c r="A241" t="s">
        <v>292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3">
      <c r="A242" t="s">
        <v>293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3">
      <c r="A243" t="s">
        <v>294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3">
      <c r="A244" t="s">
        <v>295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3">
      <c r="A245" t="s">
        <v>296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3">
      <c r="A246" t="s">
        <v>297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3">
      <c r="A247" t="s">
        <v>298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3">
      <c r="A248" t="s">
        <v>299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3">
      <c r="A249" t="s">
        <v>300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GO</vt:lpstr>
      <vt:lpstr>Hoja1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</cp:lastModifiedBy>
  <cp:lastPrinted>2019-07-11T15:29:12Z</cp:lastPrinted>
  <dcterms:created xsi:type="dcterms:W3CDTF">2016-02-08T15:52:06Z</dcterms:created>
  <dcterms:modified xsi:type="dcterms:W3CDTF">2020-06-04T17:18:31Z</dcterms:modified>
</cp:coreProperties>
</file>