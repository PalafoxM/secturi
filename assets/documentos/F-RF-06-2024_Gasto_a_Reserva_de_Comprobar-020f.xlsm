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4352BFBD-B1A3-4F9C-90F4-635BC38A4245}" xr6:coauthVersionLast="47" xr6:coauthVersionMax="47" xr10:uidLastSave="{00000000-0000-0000-0000-000000000000}"/>
  <bookViews>
    <workbookView xWindow="-120" yWindow="-120" windowWidth="29040" windowHeight="15840" tabRatio="601" activeTab="5" xr2:uid="{00000000-000D-0000-FFFF-FFFF00000000}"/>
  </bookViews>
  <sheets>
    <sheet name="GRC" sheetId="20" r:id="rId1"/>
    <sheet name="RELACION DE COMPROBANTES" sheetId="25" r:id="rId2"/>
    <sheet name="ENCABEZADO" sheetId="26" r:id="rId3"/>
    <sheet name="Hoja1" sheetId="21" state="hidden" r:id="rId4"/>
    <sheet name="partida" sheetId="22" state="hidden" r:id="rId5"/>
    <sheet name="DESGLOSE" sheetId="27" r:id="rId6"/>
    <sheet name="proyecto" sheetId="24" state="hidden" r:id="rId7"/>
  </sheets>
  <functionGroups builtInGroupCount="19"/>
  <definedNames>
    <definedName name="_xlnm._FilterDatabase" localSheetId="4" hidden="1">partida!$B$1:$C$1</definedName>
    <definedName name="CONCEPTO">GRC!#REF!</definedName>
    <definedName name="E027PB0292">proyecto!$A$2:$A$24</definedName>
    <definedName name="E027PC0293">proyecto!$A$26:$A$55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proyecto!$A$112:$A$113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<sst xmlns="http://schemas.openxmlformats.org/spreadsheetml/2006/main" count="1781" uniqueCount="1046">
  <si>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</si>
  <si>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</si>
  <si>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</si>
  <si>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</si>
  <si>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</si>
  <si>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</si>
  <si>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</si>
  <si>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</si>
  <si>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</si>
  <si>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</si>
  <si>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</si>
  <si>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</si>
  <si>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</si>
  <si>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</si>
  <si>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</si>
  <si>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</si>
  <si>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</si>
  <si>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</si>
  <si>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</si>
  <si>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</si>
  <si>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</si>
  <si>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</si>
  <si>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</si>
  <si>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</si>
  <si>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</si>
  <si>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</si>
  <si>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</si>
  <si>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</si>
  <si>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</si>
  <si>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</si>
  <si>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</si>
  <si>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</si>
  <si>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</si>
  <si>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</si>
  <si>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</si>
  <si>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</si>
  <si>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</si>
  <si>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</si>
  <si>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</si>
  <si>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</si>
  <si>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</si>
  <si>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</si>
  <si>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</si>
  <si>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</si>
  <si>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</si>
  <si>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</si>
  <si>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</si>
  <si>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</si>
  <si>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</si>
  <si>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</si>
  <si>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</si>
  <si>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</si>
  <si>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</si>
  <si>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</si>
  <si>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</si>
  <si>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</si>
  <si>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</si>
  <si>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</si>
  <si>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</si>
  <si>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</si>
  <si>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</si>
  <si>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</si>
  <si>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</si>
  <si>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</si>
  <si>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</si>
  <si>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</si>
  <si>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</si>
  <si>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</si>
  <si>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</si>
  <si>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</si>
  <si>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</si>
  <si>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</si>
  <si>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</si>
  <si>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</si>
  <si>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</si>
  <si>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</si>
  <si>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</si>
  <si>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</si>
  <si>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</si>
  <si>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</si>
  <si>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</si>
  <si>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</si>
  <si>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</si>
  <si>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</si>
  <si>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</si>
  <si>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</si>
  <si>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</si>
  <si>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</si>
  <si>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</si>
  <si>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</si>
  <si>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</si>
  <si>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</si>
  <si>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</si>
  <si>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</si>
  <si>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</si>
  <si>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</si>
  <si>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</si>
  <si>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</si>
  <si>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</si>
  <si>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</si>
  <si>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</si>
  <si>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</si>
  <si>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</si>
  <si>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</si>
  <si>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</si>
  <si>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</si>
  <si>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</si>
  <si>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</si>
  <si>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</si>
  <si>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</si>
  <si>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</si>
  <si>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</si>
  <si>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</si>
  <si>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</si>
  <si>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</si>
  <si>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</si>
  <si>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</si>
  <si>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</si>
  <si>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</si>
  <si>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</si>
  <si>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</si>
  <si>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</si>
  <si>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</si>
  <si>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</si>
  <si>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</si>
  <si>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</si>
  <si>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</si>
  <si>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</si>
  <si>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</si>
  <si>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</si>
  <si>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</si>
  <si>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</si>
  <si>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</si>
  <si>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</si>
  <si>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</si>
  <si>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</si>
  <si>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</si>
  <si>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</si>
  <si>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</si>
  <si>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</si>
  <si>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</si>
  <si>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</si>
  <si>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</si>
  <si>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</si>
  <si>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</si>
  <si>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</si>
  <si>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</si>
  <si>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</si>
  <si>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</si>
  <si>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</si>
  <si>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</si>
  <si>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</si>
  <si>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</si>
  <si>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</si>
  <si>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</si>
  <si>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</si>
  <si>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</si>
  <si>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</si>
  <si>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</si>
  <si>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</si>
  <si>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</si>
  <si>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</si>
  <si>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</si>
  <si>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</si>
  <si>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</si>
  <si>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</si>
  <si>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</si>
  <si>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</si>
  <si>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</si>
  <si>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</si>
  <si>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</si>
  <si>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</si>
  <si>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</si>
  <si>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</si>
  <si>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</si>
  <si>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</si>
  <si>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</si>
  <si>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</si>
  <si>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</si>
  <si>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</si>
  <si>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</si>
  <si>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</si>
  <si>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</si>
  <si>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</si>
  <si>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</si>
  <si>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</si>
  <si>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</si>
  <si>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</si>
  <si>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</si>
  <si>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</si>
  <si>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</si>
  <si>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</si>
  <si>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</si>
  <si>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</si>
  <si>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</si>
  <si>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</si>
  <si>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</si>
  <si>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</si>
  <si>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</si>
  <si>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</si>
  <si>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</si>
  <si>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</si>
  <si>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</si>
  <si>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</si>
  <si>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</si>
  <si>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</si>
  <si>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</si>
  <si>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</si>
  <si>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</si>
  <si>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</si>
  <si>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</si>
  <si>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</si>
  <si>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</si>
  <si>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</si>
  <si>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</si>
  <si>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</si>
  <si>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</si>
  <si>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</si>
  <si>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</si>
  <si>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</si>
  <si>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</si>
  <si>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</si>
  <si>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</si>
  <si>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</si>
  <si>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</si>
  <si>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</si>
  <si>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</si>
  <si>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</si>
  <si>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</si>
  <si>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</si>
  <si>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</si>
  <si>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</si>
  <si>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</si>
  <si>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</si>
  <si>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</si>
  <si>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</si>
  <si>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</si>
  <si>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</si>
  <si>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</si>
  <si>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</si>
  <si>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</si>
  <si>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</si>
  <si>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</si>
  <si>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</si>
  <si>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</si>
  <si>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</si>
  <si>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</si>
  <si>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</si>
  <si>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</si>
  <si>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</si>
  <si>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</si>
  <si>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</si>
  <si>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</si>
  <si>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</si>
  <si>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</si>
  <si>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</si>
  <si>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</si>
  <si>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</si>
  <si>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</si>
  <si>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</si>
  <si>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</si>
  <si>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</si>
  <si>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</si>
  <si>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</si>
  <si>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</si>
  <si>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</si>
  <si>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</si>
  <si>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</si>
  <si>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</si>
  <si>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</si>
  <si>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</si>
  <si>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</si>
  <si>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</si>
  <si>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</si>
  <si>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</si>
  <si>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</si>
  <si>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</si>
  <si>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</si>
  <si>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</si>
  <si>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</si>
  <si>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</si>
  <si>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</si>
  <si>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</si>
  <si>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</si>
  <si>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</si>
  <si>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</si>
  <si>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</si>
  <si>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</si>
  <si>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</si>
  <si>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</si>
  <si>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</si>
  <si>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</si>
  <si>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</si>
  <si>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</si>
  <si>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</si>
  <si>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</si>
  <si>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</si>
  <si>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</si>
  <si>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</si>
  <si>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</si>
  <si>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</si>
  <si>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</si>
  <si>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</si>
  <si>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</si>
  <si>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</si>
  <si>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</si>
  <si>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</si>
  <si>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</si>
  <si>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</si>
  <si>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</si>
  <si>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</si>
  <si>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</si>
  <si>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</si>
  <si>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</si>
  <si>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</si>
  <si>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</si>
  <si>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</si>
  <si>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</si>
  <si>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</si>
  <si>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</si>
  <si>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</si>
  <si>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</si>
  <si>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</si>
  <si>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</si>
  <si>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</si>
  <si>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</si>
  <si>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</si>
  <si>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</si>
  <si>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</si>
  <si>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</si>
  <si>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</si>
  <si>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</si>
  <si>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</si>
  <si>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</si>
  <si>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</si>
  <si>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</si>
  <si>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</si>
  <si>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</si>
  <si>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</si>
  <si>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</si>
  <si>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</si>
  <si>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</si>
  <si>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</si>
  <si>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</si>
  <si>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</si>
  <si>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</si>
  <si>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</si>
  <si>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</si>
  <si>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</si>
  <si>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</si>
  <si>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</si>
  <si>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</si>
  <si>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</si>
  <si>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</si>
  <si>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</si>
  <si>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</si>
  <si>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</si>
  <si>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</si>
  <si>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</si>
  <si>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</si>
  <si>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</si>
  <si>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</si>
  <si>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</si>
  <si>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</si>
  <si>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</si>
  <si>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</si>
  <si>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</si>
  <si>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</si>
  <si>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</si>
  <si>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</si>
  <si>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</si>
  <si>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</si>
  <si>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</si>
  <si>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</si>
  <si>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</si>
  <si>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</si>
  <si>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</si>
  <si>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</si>
  <si>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</si>
  <si>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</si>
  <si>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</si>
  <si>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</si>
  <si>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</si>
  <si>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</si>
  <si>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</si>
  <si>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</si>
  <si>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</si>
  <si>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</si>
  <si>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</si>
  <si>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</si>
  <si>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</si>
  <si>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</si>
  <si>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</si>
  <si>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</si>
  <si>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</si>
  <si>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</si>
  <si>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</si>
  <si>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</si>
  <si>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</si>
  <si>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</si>
  <si>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</si>
  <si>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</si>
  <si>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</si>
  <si>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</si>
  <si>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</si>
  <si>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</si>
  <si>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</si>
  <si>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</si>
  <si>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</si>
  <si>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</si>
  <si>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</si>
  <si>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</si>
  <si>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</si>
  <si>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</si>
  <si>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</si>
  <si>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</si>
  <si>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</si>
  <si>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</si>
  <si>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</si>
  <si>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</si>
  <si>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</si>
  <si>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</si>
  <si>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</si>
  <si>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</si>
  <si>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</si>
  <si>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</si>
  <si>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</si>
  <si>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</si>
  <si>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</si>
  <si>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</si>
  <si>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</si>
  <si>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</si>
  <si>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</si>
  <si>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</si>
  <si>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</si>
  <si>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</si>
  <si>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</si>
  <si>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</si>
  <si>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</si>
  <si>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</si>
  <si>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</si>
  <si>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</si>
  <si>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</si>
  <si>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</si>
  <si>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</si>
  <si>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</si>
  <si>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</si>
  <si>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</si>
  <si>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</si>
  <si>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</si>
  <si>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</si>
  <si>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</si>
  <si>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</si>
  <si>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</si>
  <si>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</si>
  <si>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</si>
  <si>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</si>
  <si>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</si>
  <si>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</si>
  <si>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</si>
  <si>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</si>
  <si>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</si>
  <si>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</si>
  <si>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</si>
  <si>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</si>
  <si>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</si>
  <si>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</si>
  <si>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</si>
  <si>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</si>
  <si>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</si>
  <si>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</si>
  <si>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</si>
  <si>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</si>
  <si>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</si>
  <si>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</si>
  <si>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</si>
  <si>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</si>
  <si>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</si>
  <si>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</si>
  <si>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</si>
  <si>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</si>
  <si>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</si>
  <si>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</si>
  <si>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</si>
  <si>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</si>
  <si>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</si>
  <si>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</si>
  <si>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</si>
  <si>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</si>
  <si>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</si>
  <si>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</si>
  <si>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</si>
  <si>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</si>
  <si>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</si>
  <si>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</si>
  <si>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</si>
  <si>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</si>
  <si>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</si>
  <si>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</si>
  <si>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</si>
  <si>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</si>
  <si>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</si>
  <si>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</si>
  <si>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</si>
  <si>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</si>
  <si>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</si>
  <si>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</si>
  <si>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</si>
  <si>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</si>
  <si>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</si>
  <si>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</si>
  <si>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</si>
  <si>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</si>
  <si>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</si>
  <si>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</si>
  <si>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</si>
  <si>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</si>
  <si>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</si>
  <si>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</si>
  <si>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</si>
  <si>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</si>
  <si>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</si>
  <si>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</si>
  <si>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</si>
  <si>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</si>
  <si>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</si>
  <si>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</si>
  <si>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</si>
  <si>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</si>
  <si>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</si>
  <si>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</si>
  <si>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</si>
  <si>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</si>
  <si>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</si>
  <si>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</si>
  <si>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</si>
  <si>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</si>
  <si>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</si>
  <si>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</si>
  <si>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</si>
  <si>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</si>
  <si>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</si>
  <si>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</si>
  <si>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</si>
  <si>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</si>
  <si>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</si>
  <si>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</si>
  <si>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</si>
  <si>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</si>
  <si>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</si>
  <si>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</si>
  <si>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</si>
  <si>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</si>
  <si>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</si>
  <si>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</si>
  <si>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</si>
  <si>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</si>
  <si>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</si>
  <si>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</si>
  <si>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</si>
  <si>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</si>
  <si>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</si>
  <si>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</si>
  <si>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</si>
  <si>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</si>
  <si>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</si>
  <si>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</si>
  <si>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</si>
  <si>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</si>
  <si>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</si>
  <si>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</si>
  <si>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</si>
  <si>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</si>
  <si>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</si>
  <si>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</si>
  <si>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</si>
  <si>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</si>
  <si>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</si>
  <si>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</si>
  <si>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</si>
  <si>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</si>
  <si>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</si>
  <si>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</si>
  <si>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</si>
  <si>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</si>
  <si>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</si>
  <si>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</si>
  <si>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</si>
  <si>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</si>
  <si>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</si>
  <si>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</si>
  <si>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</si>
  <si>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</si>
  <si>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</si>
  <si>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</si>
  <si>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</si>
  <si>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</si>
  <si>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</si>
  <si>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</si>
  <si>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</si>
  <si>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</si>
  <si>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</si>
  <si>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</si>
  <si>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</si>
  <si>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</si>
  <si>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</si>
  <si>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</si>
  <si>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</si>
  <si>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</si>
  <si>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</si>
  <si>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</si>
  <si>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</si>
  <si>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</si>
  <si>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</si>
  <si>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</si>
  <si>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</si>
  <si>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</si>
  <si>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</si>
  <si>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</si>
  <si>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</si>
  <si>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</si>
  <si>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</si>
  <si>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</si>
  <si>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</si>
  <si>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</si>
  <si>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</si>
  <si>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</si>
  <si>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</si>
  <si>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</si>
  <si>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</si>
  <si>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</si>
  <si>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</si>
  <si>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</si>
  <si>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</si>
  <si>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</si>
  <si>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</si>
  <si>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</si>
  <si>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</si>
  <si>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</si>
  <si>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</si>
  <si>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</si>
  <si>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</si>
  <si>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</si>
  <si>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</si>
  <si>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</si>
  <si>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</si>
  <si>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</si>
  <si>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</si>
  <si>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</si>
  <si>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</si>
  <si>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</si>
  <si>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</si>
  <si>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</si>
  <si>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</si>
  <si>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</si>
  <si>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</si>
  <si>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</si>
  <si>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</si>
  <si>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</si>
  <si>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</si>
  <si>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</si>
  <si>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</si>
  <si>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</si>
  <si>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</si>
  <si>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</si>
  <si>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</si>
  <si>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</si>
  <si>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</si>
  <si>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</si>
  <si>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</si>
  <si>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</si>
  <si>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</si>
  <si>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</si>
  <si>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</si>
  <si>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</si>
  <si>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</si>
  <si>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</si>
  <si>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</si>
  <si>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</si>
  <si>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</si>
  <si>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</si>
  <si>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</si>
  <si>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</si>
  <si>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</si>
  <si>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</si>
  <si>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</si>
  <si>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</si>
  <si>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</si>
  <si>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</si>
  <si>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</si>
  <si>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</si>
  <si>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</si>
  <si>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</si>
  <si>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</si>
  <si>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</si>
  <si>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</si>
  <si>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</si>
  <si>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</si>
  <si>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</si>
  <si>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</si>
  <si>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</si>
  <si>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</si>
  <si>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</si>
  <si>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</si>
  <si>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</si>
  <si>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</si>
  <si>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</si>
  <si>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</si>
  <si>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</si>
  <si>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</si>
  <si>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</si>
  <si>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</si>
  <si>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</si>
  <si>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</si>
  <si>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</si>
  <si>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</si>
  <si>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</si>
  <si>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</si>
  <si>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</si>
  <si>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</si>
  <si>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</si>
  <si>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</si>
  <si>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</si>
  <si>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</si>
  <si>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</si>
  <si>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</si>
  <si>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</si>
  <si>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</si>
  <si>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</si>
  <si>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</si>
  <si>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</si>
  <si>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</si>
  <si>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</si>
  <si>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</si>
  <si>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</si>
  <si>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</si>
  <si>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</si>
  <si>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</si>
  <si>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</si>
  <si>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</si>
  <si>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</si>
  <si>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</si>
  <si>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</si>
  <si>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</si>
  <si>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</si>
  <si>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</si>
  <si>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</si>
  <si>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</si>
  <si>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</si>
  <si>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</si>
  <si>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</si>
  <si>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</si>
  <si>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</si>
  <si>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</si>
  <si>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</si>
  <si>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</si>
  <si>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</si>
  <si>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</si>
  <si>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</si>
  <si>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</si>
  <si>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</si>
  <si>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</si>
  <si>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</si>
  <si>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</si>
  <si>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</si>
  <si>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</si>
  <si>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</si>
  <si>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</si>
  <si>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</si>
  <si>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</si>
  <si>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</si>
  <si>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</si>
  <si>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</si>
  <si>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</si>
  <si>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</si>
  <si>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</si>
  <si>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</si>
  <si>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</si>
  <si>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</si>
  <si>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</si>
  <si>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</si>
  <si>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</si>
  <si>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</si>
  <si>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</si>
  <si>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</si>
  <si>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</si>
  <si>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</si>
  <si>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</si>
  <si>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</si>
  <si>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</si>
  <si>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</si>
  <si>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</si>
  <si>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</si>
  <si>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</si>
  <si>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</si>
  <si>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</si>
  <si>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</si>
  <si>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</si>
  <si>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</si>
  <si>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</si>
  <si>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</si>
  <si>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</si>
  <si>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</si>
  <si>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</si>
  <si>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</si>
  <si>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</si>
  <si>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</si>
  <si>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</si>
  <si>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</si>
  <si>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</si>
  <si>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</si>
  <si>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</si>
  <si>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</si>
  <si>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</si>
  <si>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</si>
  <si>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</si>
  <si>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</si>
  <si>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</si>
  <si>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</si>
  <si>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</si>
  <si>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</si>
  <si>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</si>
  <si>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</si>
  <si>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</si>
  <si>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</si>
  <si>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</si>
  <si>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</si>
  <si>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</si>
  <si>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</si>
  <si>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</si>
  <si>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</si>
  <si>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</si>
  <si>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</si>
  <si>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</si>
  <si>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</si>
  <si>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</si>
  <si>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</si>
  <si>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</si>
  <si>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</si>
  <si>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</si>
  <si>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</si>
  <si>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</si>
  <si>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</si>
  <si>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</si>
  <si>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</si>
  <si>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</si>
  <si>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</si>
  <si>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</si>
  <si>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</si>
  <si>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</si>
  <si>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</si>
  <si>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</si>
  <si>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</si>
  <si>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</si>
  <si>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</si>
  <si>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</si>
  <si>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</si>
  <si>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</si>
  <si>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</si>
  <si>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</si>
  <si>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</si>
  <si>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</si>
  <si>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</si>
  <si>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</si>
  <si>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</si>
  <si>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</si>
  <si>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</si>
  <si>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</si>
  <si>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</si>
  <si>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</si>
  <si>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</si>
  <si>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</si>
  <si>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</si>
  <si>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</si>
  <si>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</si>
  <si>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</si>
  <si>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</si>
  <si>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</si>
  <si>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</si>
  <si>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</si>
  <si>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</si>
  <si>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</si>
  <si>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</si>
  <si>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</si>
  <si>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</si>
  <si>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</si>
  <si>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</si>
  <si>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</si>
  <si>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</si>
  <si>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</si>
  <si>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</si>
  <si>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</si>
  <si>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</si>
  <si>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</si>
  <si>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</si>
  <si>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</si>
  <si>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</si>
  <si>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</si>
  <si>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</si>
  <si>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</si>
  <si>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</si>
  <si>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</si>
  <si>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</si>
  <si>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</si>
  <si>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</si>
  <si>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</si>
  <si>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</si>
  <si>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</si>
  <si>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</si>
  <si>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</si>
  <si>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</si>
  <si>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</si>
  <si>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</si>
  <si>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</si>
  <si>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</si>
  <si>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</si>
  <si>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</si>
  <si>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</si>
  <si>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</si>
  <si>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</si>
  <si>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</si>
  <si>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</si>
  <si>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</si>
  <si>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</si>
  <si>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</si>
  <si>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</si>
  <si>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</si>
  <si>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</si>
  <si>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</si>
  <si>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</si>
  <si>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</si>
  <si>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</si>
  <si>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</si>
  <si>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</si>
  <si>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</si>
  <si>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</si>
  <si>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</si>
  <si>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</si>
  <si>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</si>
  <si>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</si>
  <si>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</si>
  <si>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</si>
  <si>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</si>
  <si>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</si>
  <si>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</si>
  <si>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</si>
  <si>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</si>
  <si>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</si>
  <si>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</si>
  <si>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</si>
  <si>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</si>
  <si>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</si>
  <si>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</si>
  <si>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</si>
  <si>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</si>
  <si>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</si>
  <si>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</si>
  <si>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</si>
  <si>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</si>
  <si>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</si>
  <si>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</si>
  <si>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</si>
  <si>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</si>
  <si>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</si>
  <si>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</si>
  <si>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</si>
  <si>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</si>
  <si>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</si>
  <si>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</si>
  <si>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</si>
  <si>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</si>
  <si>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</si>
  <si>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</si>
  <si>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</si>
  <si>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</si>
  <si>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</si>
  <si>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</si>
  <si>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</si>
  <si>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</si>
  <si>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</si>
  <si>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</si>
  <si>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</si>
  <si>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</si>
  <si>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</si>
  <si>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</si>
  <si>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</si>
  <si>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</si>
  <si>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</si>
  <si>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</si>
  <si>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</si>
  <si>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</si>
  <si>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</si>
  <si>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</si>
  <si>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</si>
  <si>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</si>
  <si>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</si>
  <si>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</si>
  <si>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</si>
  <si>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</si>
  <si>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</si>
  <si>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</si>
  <si>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</si>
  <si>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</si>
  <si>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</si>
  <si>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FORMATO GRC - 24</t>
  </si>
  <si>
    <t>E027PC0293</t>
  </si>
  <si>
    <t>E027PC3254</t>
  </si>
  <si>
    <t>M005GA2061</t>
  </si>
  <si>
    <t>M006GB1400</t>
  </si>
  <si>
    <t>E027QA39022401</t>
  </si>
  <si>
    <t>E027QB04882303</t>
  </si>
  <si>
    <t>E027QC03402301</t>
  </si>
  <si>
    <t>E027QC03422401</t>
  </si>
  <si>
    <t>E027QC03432301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</si>
  <si>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</si>
  <si>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</si>
  <si>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</si>
  <si>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</si>
  <si>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</si>
  <si>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</si>
  <si>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E027QC03742301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</si>
  <si>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</si>
  <si>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</si>
  <si>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</si>
  <si>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</si>
  <si>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</si>
  <si>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</si>
  <si>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E027QC03792301</t>
  </si>
  <si>
    <t>E027QC03792303</t>
  </si>
  <si>
    <t>E027QC03792401</t>
  </si>
  <si>
    <t>E027QC03792402</t>
  </si>
  <si>
    <t>E027QC03792403</t>
  </si>
  <si>
    <t>E027QC03802301</t>
  </si>
  <si>
    <t>E027QC03802302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</si>
  <si>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</si>
  <si>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</si>
  <si>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</si>
  <si>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</si>
  <si>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</si>
  <si>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</si>
  <si>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</si>
  <si>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</si>
  <si>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</si>
  <si>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E027QC32142302</t>
  </si>
  <si>
    <t>E027QC35342301</t>
  </si>
  <si>
    <t>E027QC39142301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</si>
</sst>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8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1" xfId="0" applyFont="1" applyBorder="1"/>
    <xf numFmtId="0" fontId="9" fillId="0" borderId="1" xfId="0" applyFont="1" applyBorder="1"/>
    <xf numFmtId="0" fontId="9" fillId="0" borderId="0" xfId="0" applyFont="1"/>
    <xf numFmtId="0" fontId="9" fillId="0" borderId="22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2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2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164" fontId="12" fillId="0" borderId="46" xfId="0" applyNumberFormat="1" applyFont="1" applyBorder="1"/>
    <xf numFmtId="39" fontId="12" fillId="0" borderId="55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2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2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2" xfId="0" applyFont="1" applyBorder="1"/>
    <xf numFmtId="0" fontId="12" fillId="0" borderId="31" xfId="0" applyFont="1" applyBorder="1"/>
    <xf numFmtId="49" fontId="12" fillId="0" borderId="0" xfId="0" applyNumberFormat="1" applyFont="1" applyAlignment="1">
      <alignment horizontal="left"/>
    </xf>
    <xf numFmtId="49" fontId="12" fillId="0" borderId="31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4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5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2" xfId="0" applyFont="1" applyBorder="1"/>
    <xf numFmtId="0" fontId="13" fillId="0" borderId="7" xfId="0" applyFont="1" applyBorder="1"/>
    <xf numFmtId="0" fontId="13" fillId="0" borderId="20" xfId="0" applyFont="1" applyBorder="1"/>
    <xf numFmtId="0" fontId="13" fillId="0" borderId="6" xfId="0" applyFont="1" applyBorder="1"/>
    <xf numFmtId="0" fontId="13" fillId="0" borderId="48" xfId="0" applyFont="1" applyBorder="1"/>
    <xf numFmtId="0" fontId="13" fillId="0" borderId="4" xfId="0" applyFont="1" applyBorder="1"/>
    <xf numFmtId="0" fontId="13" fillId="0" borderId="49" xfId="0" applyFont="1" applyBorder="1"/>
    <xf numFmtId="0" fontId="13" fillId="0" borderId="3" xfId="0" applyFont="1" applyBorder="1"/>
    <xf numFmtId="0" fontId="21" fillId="0" borderId="0" xfId="0" applyFont="1"/>
    <xf numFmtId="0" fontId="6" fillId="0" borderId="63" xfId="0" applyFont="1" applyBorder="1"/>
    <xf numFmtId="0" fontId="6" fillId="0" borderId="8" xfId="0" applyFont="1" applyBorder="1"/>
    <xf numFmtId="44" fontId="6" fillId="0" borderId="62" xfId="1" applyFont="1" applyBorder="1"/>
    <xf numFmtId="0" fontId="6" fillId="4" borderId="65" xfId="0" applyFont="1" applyFill="1" applyBorder="1" applyAlignment="1">
      <alignment horizontal="center"/>
    </xf>
    <xf numFmtId="0" fontId="6" fillId="0" borderId="64" xfId="0" applyFont="1" applyBorder="1"/>
    <xf numFmtId="0" fontId="6" fillId="0" borderId="61" xfId="0" applyFont="1" applyBorder="1"/>
    <xf numFmtId="44" fontId="6" fillId="4" borderId="65" xfId="1" applyFont="1" applyFill="1" applyBorder="1" applyAlignment="1">
      <alignment horizontal="center"/>
    </xf>
    <xf numFmtId="0" fontId="21" fillId="0" borderId="13" xfId="0" applyFont="1" applyBorder="1" applyAlignment="1" applyProtection="1">
      <alignment horizontal="left" vertical="center"/>
      <protection locked="0"/>
    </xf>
    <xf numFmtId="44" fontId="21" fillId="0" borderId="13" xfId="1" applyFont="1" applyBorder="1" applyAlignment="1" applyProtection="1">
      <alignment horizontal="left" vertical="center"/>
      <protection locked="0"/>
    </xf>
    <xf numFmtId="44" fontId="23" fillId="0" borderId="13" xfId="1" applyFont="1" applyFill="1" applyBorder="1" applyAlignment="1" applyProtection="1">
      <alignment horizontal="left" vertical="center"/>
      <protection locked="0"/>
    </xf>
    <xf numFmtId="0" fontId="21" fillId="0" borderId="26" xfId="0" applyFont="1" applyBorder="1" applyAlignment="1">
      <alignment horizontal="center"/>
    </xf>
    <xf numFmtId="0" fontId="21" fillId="0" borderId="2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6" fillId="4" borderId="13" xfId="0" applyFont="1" applyFill="1" applyBorder="1" applyAlignment="1">
      <alignment horizontal="left"/>
    </xf>
    <xf numFmtId="44" fontId="21" fillId="4" borderId="13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1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44" fontId="21" fillId="0" borderId="13" xfId="1" applyFont="1" applyBorder="1" applyProtection="1"/>
    <xf numFmtId="0" fontId="6" fillId="0" borderId="0" xfId="0" applyFont="1"/>
    <xf numFmtId="0" fontId="21" fillId="0" borderId="31" xfId="0" applyFont="1" applyBorder="1"/>
    <xf numFmtId="44" fontId="21" fillId="4" borderId="13" xfId="1" applyFont="1" applyFill="1" applyBorder="1" applyProtection="1">
      <protection locked="0"/>
    </xf>
    <xf numFmtId="44" fontId="21" fillId="0" borderId="0" xfId="1" applyFont="1"/>
    <xf numFmtId="0" fontId="0" fillId="0" borderId="21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2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1" xfId="0" applyFont="1" applyBorder="1" applyAlignment="1">
      <alignment horizontal="left" vertical="center"/>
    </xf>
    <xf numFmtId="0" fontId="28" fillId="0" borderId="48" xfId="0" applyFont="1" applyBorder="1" applyAlignment="1">
      <alignment vertical="center" wrapText="1"/>
    </xf>
    <xf numFmtId="0" fontId="0" fillId="0" borderId="22" xfId="0" applyBorder="1"/>
    <xf numFmtId="0" fontId="0" fillId="0" borderId="20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3" xfId="0" applyNumberFormat="1" applyFont="1" applyBorder="1" applyAlignment="1" applyProtection="1">
      <alignment horizontal="center"/>
      <protection locked="0"/>
    </xf>
    <xf numFmtId="44" fontId="40" fillId="0" borderId="13" xfId="1" applyFont="1" applyBorder="1" applyAlignment="1" applyProtection="1">
      <alignment horizontal="center"/>
      <protection locked="0"/>
    </xf>
    <xf numFmtId="0" fontId="35" fillId="5" borderId="73" xfId="0" applyFont="1" applyFill="1" applyBorder="1"/>
    <xf numFmtId="44" fontId="35" fillId="5" borderId="74" xfId="1" applyFont="1" applyFill="1" applyBorder="1"/>
    <xf numFmtId="0" fontId="41" fillId="0" borderId="13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8" xfId="0" applyFont="1" applyBorder="1" applyAlignment="1" applyProtection="1">
      <alignment horizontal="center" vertical="center" wrapText="1"/>
      <protection locked="0"/>
    </xf>
    <xf numFmtId="0" fontId="15" fillId="0" borderId="61" xfId="0" applyFont="1" applyBorder="1" applyAlignment="1">
      <alignment horizontal="center" vertical="center" wrapText="1"/>
    </xf>
    <xf numFmtId="0" fontId="12" fillId="4" borderId="65" xfId="0" applyFont="1" applyFill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1" fillId="0" borderId="18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>
      <alignment horizontal="center" vertical="center"/>
    </xf>
    <xf numFmtId="0" fontId="6" fillId="4" borderId="6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44" fillId="0" borderId="0" xfId="0" applyFont="1"/>
    <xf numFmtId="0" fontId="0" fillId="0" borderId="0" xfId="0" applyAlignment="1">
      <alignment wrapText="1"/>
    </xf>
    <xf numFmtId="0" fontId="11" fillId="0" borderId="3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5" fillId="0" borderId="54" xfId="0" applyFont="1" applyBorder="1" applyAlignment="1">
      <alignment horizontal="left" vertical="center"/>
    </xf>
    <xf numFmtId="0" fontId="15" fillId="0" borderId="34" xfId="0" applyFont="1" applyBorder="1" applyAlignment="1">
      <alignment horizontal="left" vertical="center"/>
    </xf>
    <xf numFmtId="44" fontId="19" fillId="0" borderId="46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1" xfId="0" applyFont="1" applyBorder="1" applyAlignment="1">
      <alignment horizontal="center" wrapText="1"/>
    </xf>
    <xf numFmtId="0" fontId="13" fillId="0" borderId="46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6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3" xfId="0" applyFont="1" applyBorder="1" applyAlignment="1">
      <alignment horizont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left"/>
    </xf>
    <xf numFmtId="0" fontId="11" fillId="0" borderId="34" xfId="0" applyFont="1" applyBorder="1" applyAlignment="1">
      <alignment horizontal="left"/>
    </xf>
    <xf numFmtId="44" fontId="12" fillId="0" borderId="46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12" fillId="0" borderId="25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166" fontId="7" fillId="0" borderId="16" xfId="0" applyNumberFormat="1" applyFont="1" applyBorder="1" applyAlignment="1">
      <alignment horizontal="center" wrapText="1"/>
    </xf>
    <xf numFmtId="166" fontId="7" fillId="0" borderId="18" xfId="0" applyNumberFormat="1" applyFont="1" applyBorder="1" applyAlignment="1">
      <alignment horizontal="center" wrapText="1"/>
    </xf>
    <xf numFmtId="0" fontId="11" fillId="0" borderId="18" xfId="0" applyFont="1" applyBorder="1" applyAlignment="1">
      <alignment horizontal="center" vertical="center"/>
    </xf>
    <xf numFmtId="44" fontId="12" fillId="0" borderId="39" xfId="1" applyFont="1" applyFill="1" applyBorder="1" applyAlignment="1" applyProtection="1">
      <alignment horizontal="center" vertical="center"/>
    </xf>
    <xf numFmtId="44" fontId="12" fillId="0" borderId="40" xfId="1" applyFont="1" applyFill="1" applyBorder="1" applyAlignment="1" applyProtection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1" xfId="0" applyFont="1" applyBorder="1" applyAlignment="1" applyProtection="1">
      <alignment horizontal="center"/>
      <protection locked="0"/>
    </xf>
    <xf numFmtId="0" fontId="13" fillId="0" borderId="42" xfId="0" applyFont="1" applyBorder="1" applyAlignment="1" applyProtection="1">
      <alignment horizontal="center"/>
      <protection locked="0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6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20" fillId="0" borderId="25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center" wrapText="1"/>
    </xf>
    <xf numFmtId="0" fontId="20" fillId="0" borderId="48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49" xfId="0" applyFont="1" applyBorder="1" applyAlignment="1">
      <alignment horizontal="center" vertical="center" wrapText="1"/>
    </xf>
    <xf numFmtId="0" fontId="2" fillId="0" borderId="25" xfId="0" applyFont="1" applyBorder="1" applyAlignment="1" applyProtection="1">
      <alignment horizontal="center" vertical="center" wrapText="1"/>
      <protection locked="0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37" xfId="0" applyFont="1" applyBorder="1" applyAlignment="1" applyProtection="1">
      <alignment horizontal="center" vertical="center" wrapText="1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49" xfId="0" applyFont="1" applyBorder="1" applyAlignment="1" applyProtection="1">
      <alignment horizontal="center" vertical="center" wrapText="1"/>
      <protection locked="0"/>
    </xf>
    <xf numFmtId="166" fontId="2" fillId="0" borderId="25" xfId="0" applyNumberFormat="1" applyFont="1" applyBorder="1" applyAlignment="1" applyProtection="1">
      <alignment horizontal="center" vertical="center" wrapText="1"/>
      <protection locked="0"/>
    </xf>
    <xf numFmtId="166" fontId="2" fillId="0" borderId="37" xfId="0" applyNumberFormat="1" applyFont="1" applyBorder="1" applyAlignment="1" applyProtection="1">
      <alignment horizontal="center" vertical="center" wrapText="1"/>
      <protection locked="0"/>
    </xf>
    <xf numFmtId="166" fontId="2" fillId="0" borderId="48" xfId="0" applyNumberFormat="1" applyFont="1" applyBorder="1" applyAlignment="1" applyProtection="1">
      <alignment horizontal="center" vertical="center" wrapText="1"/>
      <protection locked="0"/>
    </xf>
    <xf numFmtId="166" fontId="2" fillId="0" borderId="49" xfId="0" applyNumberFormat="1" applyFont="1" applyBorder="1" applyAlignment="1" applyProtection="1">
      <alignment horizontal="center" vertical="center" wrapText="1"/>
      <protection locked="0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14" fontId="19" fillId="0" borderId="35" xfId="0" applyNumberFormat="1" applyFont="1" applyBorder="1" applyAlignment="1" applyProtection="1">
      <alignment horizontal="center" vertical="center"/>
      <protection locked="0"/>
    </xf>
    <xf numFmtId="14" fontId="19" fillId="0" borderId="58" xfId="0" applyNumberFormat="1" applyFont="1" applyBorder="1" applyAlignment="1" applyProtection="1">
      <alignment horizontal="center" vertical="center"/>
      <protection locked="0"/>
    </xf>
    <xf numFmtId="14" fontId="19" fillId="0" borderId="59" xfId="0" applyNumberFormat="1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165" fontId="15" fillId="0" borderId="27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30" xfId="0" applyNumberFormat="1" applyFont="1" applyBorder="1" applyAlignment="1" applyProtection="1">
      <alignment horizontal="center" vertical="center"/>
      <protection locked="0"/>
    </xf>
    <xf numFmtId="0" fontId="15" fillId="0" borderId="41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49" fontId="19" fillId="0" borderId="56" xfId="0" applyNumberFormat="1" applyFont="1" applyBorder="1" applyAlignment="1">
      <alignment horizontal="center" vertical="center" wrapText="1"/>
    </xf>
    <xf numFmtId="49" fontId="19" fillId="0" borderId="37" xfId="0" applyNumberFormat="1" applyFont="1" applyBorder="1" applyAlignment="1">
      <alignment horizontal="center" vertical="center" wrapText="1"/>
    </xf>
    <xf numFmtId="49" fontId="19" fillId="0" borderId="46" xfId="0" applyNumberFormat="1" applyFont="1" applyBorder="1" applyAlignment="1">
      <alignment horizontal="center" vertical="center" wrapText="1"/>
    </xf>
    <xf numFmtId="49" fontId="19" fillId="0" borderId="3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2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2" fillId="0" borderId="51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 wrapText="1"/>
    </xf>
    <xf numFmtId="0" fontId="15" fillId="0" borderId="45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left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6" fillId="4" borderId="21" xfId="0" applyFont="1" applyFill="1" applyBorder="1" applyAlignment="1">
      <alignment horizontal="center"/>
    </xf>
    <xf numFmtId="0" fontId="6" fillId="4" borderId="61" xfId="0" applyFont="1" applyFill="1" applyBorder="1" applyAlignment="1">
      <alignment horizontal="center"/>
    </xf>
    <xf numFmtId="0" fontId="6" fillId="4" borderId="62" xfId="0" applyFont="1" applyFill="1" applyBorder="1" applyAlignment="1">
      <alignment horizontal="center"/>
    </xf>
    <xf numFmtId="0" fontId="21" fillId="0" borderId="64" xfId="0" applyFont="1" applyBorder="1" applyAlignment="1" applyProtection="1">
      <alignment horizontal="center"/>
      <protection locked="0"/>
    </xf>
    <xf numFmtId="0" fontId="21" fillId="0" borderId="61" xfId="0" applyFont="1" applyBorder="1" applyAlignment="1" applyProtection="1">
      <alignment horizontal="center"/>
      <protection locked="0"/>
    </xf>
    <xf numFmtId="0" fontId="21" fillId="0" borderId="62" xfId="0" applyFont="1" applyBorder="1" applyAlignment="1" applyProtection="1">
      <alignment horizontal="center"/>
      <protection locked="0"/>
    </xf>
    <xf numFmtId="0" fontId="6" fillId="0" borderId="64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4" xfId="0" applyFont="1" applyBorder="1" applyAlignment="1" applyProtection="1">
      <alignment horizontal="center"/>
      <protection locked="0"/>
    </xf>
    <xf numFmtId="0" fontId="6" fillId="0" borderId="62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1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49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1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1" xfId="0" applyFont="1" applyBorder="1" applyAlignment="1" applyProtection="1">
      <alignment horizontal="left" vertic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9" fillId="0" borderId="13" xfId="0" applyFont="1" applyBorder="1" applyAlignment="1" applyProtection="1">
      <alignment wrapText="1"/>
      <protection locked="0"/>
    </xf>
    <xf numFmtId="44" fontId="39" fillId="0" borderId="16" xfId="1" applyFont="1" applyBorder="1" applyAlignment="1" applyProtection="1">
      <alignment horizontal="center"/>
      <protection locked="0"/>
    </xf>
    <xf numFmtId="44" fontId="39" fillId="0" borderId="18" xfId="1" applyFont="1" applyBorder="1" applyAlignment="1" applyProtection="1">
      <alignment horizontal="center"/>
      <protection locked="0"/>
    </xf>
    <xf numFmtId="0" fontId="7" fillId="0" borderId="13" xfId="0" applyFont="1" applyBorder="1" applyAlignment="1">
      <alignment horizontal="center"/>
    </xf>
    <xf numFmtId="0" fontId="43" fillId="5" borderId="22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39" fillId="0" borderId="16" xfId="0" applyFont="1" applyBorder="1" applyAlignment="1" applyProtection="1">
      <alignment horizontal="center" wrapText="1"/>
      <protection locked="0"/>
    </xf>
    <xf numFmtId="0" fontId="39" fillId="0" borderId="18" xfId="0" applyFont="1" applyBorder="1" applyAlignment="1" applyProtection="1">
      <alignment horizontal="center" wrapText="1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2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2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2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66" xfId="0" applyFont="1" applyFill="1" applyBorder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6" fillId="5" borderId="67" xfId="0" applyFont="1" applyFill="1" applyBorder="1" applyAlignment="1">
      <alignment horizontal="center" vertical="center" wrapText="1"/>
    </xf>
    <xf numFmtId="0" fontId="38" fillId="5" borderId="71" xfId="0" applyFont="1" applyFill="1" applyBorder="1" applyAlignment="1">
      <alignment vertical="center" wrapText="1"/>
    </xf>
    <xf numFmtId="0" fontId="35" fillId="5" borderId="68" xfId="0" applyFont="1" applyFill="1" applyBorder="1" applyAlignment="1">
      <alignment horizontal="center" vertical="center" wrapText="1"/>
    </xf>
    <xf numFmtId="0" fontId="35" fillId="5" borderId="69" xfId="0" applyFont="1" applyFill="1" applyBorder="1" applyAlignment="1">
      <alignment horizontal="center"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81642</xdr:colOff>
      <xdr:row>0</xdr:row>
      <xdr:rowOff>54428</xdr:rowOff>
    </xdr:from>
    <xdr:to>
      <xdr:col>3</xdr:col>
      <xdr:colOff>996042</xdr:colOff>
      <xdr:row>6</xdr:row>
      <xdr:rowOff>162741</xdr:rowOff>
    </xdr:to>
    <xdr:pic>
      <xdr:nvPicPr>
        <xdr:cNvPr id="3" name="Imagen 2" descr="Imagen que contiene alimentos&#10;&#10;Descripción generada automáticamente">
          <a:extLst>
            <a:ext uri="{FF2B5EF4-FFF2-40B4-BE49-F238E27FC236}">
              <a16:creationId xmlns:a16="http://schemas.microsoft.com/office/drawing/2014/main" id="{3E02D751-6C4E-81AC-E8EE-9781800B4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81642" y="54428"/>
          <a:ext cx="5105400" cy="18364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1447800</xdr:colOff>
      <xdr:row>1</xdr:row>
      <xdr:rowOff>19050</xdr:rowOff>
    </xdr:from>
    <xdr:to>
      <xdr:col>3</xdr:col>
      <xdr:colOff>1057275</xdr:colOff>
      <xdr:row>6</xdr:row>
      <xdr:rowOff>169019</xdr:rowOff>
    </xdr:to>
    <xdr:pic>
      <xdr:nvPicPr>
        <xdr:cNvPr id="4" name="Imagen 3" descr="Imagen que contiene alimentos&#10;&#10;Descripción generada automáticamente">
          <a:extLst>
            <a:ext uri="{FF2B5EF4-FFF2-40B4-BE49-F238E27FC236}">
              <a16:creationId xmlns:a16="http://schemas.microsoft.com/office/drawing/2014/main" id="{8F53A45B-DC0A-6992-A274-5B8399D61C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2819400" y="209550"/>
          <a:ext cx="3038475" cy="1092944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3"/>
  <sheetViews>
    <sheetView zoomScale="70" zoomScaleNormal="70" workbookViewId="0">
      <selection activeCell="D17" sqref="D17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259" t="s">
        <v>1004</v>
      </c>
      <c r="I1" s="260"/>
    </row>
    <row r="2" spans="1:9" ht="26.25" customHeight="1" x14ac:dyDescent="0.35">
      <c r="A2" s="44"/>
      <c r="B2" s="45"/>
      <c r="C2" s="261" t="s">
        <v>0</v>
      </c>
      <c r="D2" s="261"/>
      <c r="E2" s="261"/>
      <c r="F2" s="261"/>
      <c r="G2" s="261"/>
      <c r="H2" s="261"/>
      <c r="I2" s="262"/>
    </row>
    <row r="3" spans="1:9" ht="26.25" customHeight="1" x14ac:dyDescent="0.35">
      <c r="A3" s="44"/>
      <c r="B3" s="45"/>
      <c r="C3" s="261" t="s">
        <v>958</v>
      </c>
      <c r="D3" s="261"/>
      <c r="E3" s="261"/>
      <c r="F3" s="261"/>
      <c r="G3" s="261"/>
      <c r="H3" s="261"/>
      <c r="I3" s="262"/>
    </row>
    <row r="4" spans="1:9" ht="15.75" customHeight="1" x14ac:dyDescent="0.35">
      <c r="A4" s="263"/>
      <c r="B4" s="264"/>
      <c r="C4" s="264"/>
      <c r="D4" s="264"/>
      <c r="E4" s="264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265"/>
      <c r="B6" s="266"/>
      <c r="C6" s="266"/>
      <c r="D6" s="266"/>
      <c r="E6" s="266"/>
      <c r="F6" s="266"/>
      <c r="G6" s="266"/>
      <c r="H6" s="266"/>
      <c r="I6" s="267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959</v>
      </c>
      <c r="D9" s="54">
        <f>COUNTA('RELACION DE COMPROBANTES'!A6:A996)</f>
        <v>0</v>
      </c>
      <c r="E9" s="222" t="s">
        <v>960</v>
      </c>
      <c r="F9" s="222"/>
      <c r="G9" s="222"/>
      <c r="H9" s="223">
        <f>D46</f>
        <v>0</v>
      </c>
      <c r="I9" s="224"/>
    </row>
    <row r="10" spans="1:9" ht="24" customHeight="1" x14ac:dyDescent="0.4">
      <c r="A10" s="49"/>
      <c r="B10" s="50"/>
      <c r="C10" s="225" t="s">
        <v>955</v>
      </c>
      <c r="D10" s="225"/>
      <c r="E10" s="225"/>
      <c r="F10" s="225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226"/>
      <c r="B12" s="227"/>
      <c r="C12" s="227"/>
      <c r="E12" s="228" t="s">
        <v>941</v>
      </c>
      <c r="F12" s="229"/>
      <c r="G12" s="229"/>
      <c r="H12" s="229"/>
      <c r="I12" s="230"/>
    </row>
    <row r="13" spans="1:9" ht="24" customHeight="1" x14ac:dyDescent="0.3">
      <c r="A13" s="25"/>
      <c r="E13" s="231" t="s">
        <v>942</v>
      </c>
      <c r="F13" s="232"/>
      <c r="G13" s="232"/>
      <c r="H13" s="232"/>
      <c r="I13" s="233"/>
    </row>
    <row r="14" spans="1:9" ht="19.5" thickBot="1" x14ac:dyDescent="0.35">
      <c r="A14" s="29"/>
      <c r="E14" s="234"/>
      <c r="F14" s="235"/>
      <c r="G14" s="235"/>
      <c r="H14" s="235"/>
      <c r="I14" s="236"/>
    </row>
    <row r="15" spans="1:9" ht="33" customHeight="1" thickTop="1" x14ac:dyDescent="0.3">
      <c r="A15" s="226"/>
      <c r="B15" s="227"/>
      <c r="C15" s="227"/>
      <c r="D15" s="237"/>
      <c r="E15" s="251" t="s">
        <v>957</v>
      </c>
      <c r="F15" s="252"/>
      <c r="G15" s="238" t="s">
        <v>943</v>
      </c>
      <c r="H15" s="238" t="s">
        <v>944</v>
      </c>
      <c r="I15" s="240"/>
    </row>
    <row r="16" spans="1:9" ht="30" customHeight="1" x14ac:dyDescent="0.3">
      <c r="A16" s="25"/>
      <c r="E16" s="253"/>
      <c r="F16" s="254"/>
      <c r="G16" s="239"/>
      <c r="H16" s="239"/>
      <c r="I16" s="241"/>
    </row>
    <row r="17" spans="1:9" ht="16.5" customHeight="1" x14ac:dyDescent="0.3">
      <c r="A17" s="25"/>
      <c r="E17" s="255" t="s">
        <v>945</v>
      </c>
      <c r="F17" s="256"/>
      <c r="G17" s="242" t="s">
        <v>946</v>
      </c>
      <c r="H17" s="245" t="s">
        <v>961</v>
      </c>
      <c r="I17" s="246"/>
    </row>
    <row r="18" spans="1:9" ht="22.15" customHeight="1" x14ac:dyDescent="0.3">
      <c r="A18" s="25"/>
      <c r="E18" s="257"/>
      <c r="F18" s="258"/>
      <c r="G18" s="243"/>
      <c r="H18" s="247"/>
      <c r="I18" s="248"/>
    </row>
    <row r="19" spans="1:9" s="28" customFormat="1" ht="12.75" customHeight="1" x14ac:dyDescent="0.25">
      <c r="A19" s="55"/>
      <c r="B19" s="43"/>
      <c r="C19" s="36"/>
      <c r="D19" s="56"/>
      <c r="E19" s="257"/>
      <c r="F19" s="258"/>
      <c r="G19" s="243"/>
      <c r="H19" s="247"/>
      <c r="I19" s="248"/>
    </row>
    <row r="20" spans="1:9" s="28" customFormat="1" ht="23.45" customHeight="1" thickBot="1" x14ac:dyDescent="0.3">
      <c r="A20" s="55"/>
      <c r="B20" s="57"/>
      <c r="C20" s="57"/>
      <c r="D20" s="58"/>
      <c r="E20" s="257"/>
      <c r="F20" s="258"/>
      <c r="G20" s="244"/>
      <c r="H20" s="249"/>
      <c r="I20" s="250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219" t="s">
        <v>947</v>
      </c>
      <c r="B22" s="220"/>
      <c r="C22" s="220"/>
      <c r="D22" s="220"/>
      <c r="E22" s="220"/>
      <c r="F22" s="220"/>
      <c r="G22" s="220"/>
      <c r="H22" s="220"/>
      <c r="I22" s="221"/>
    </row>
    <row r="23" spans="1:9" s="28" customFormat="1" ht="37.5" customHeight="1" x14ac:dyDescent="0.25">
      <c r="A23" s="219" t="s">
        <v>948</v>
      </c>
      <c r="B23" s="220"/>
      <c r="C23" s="220"/>
      <c r="D23" s="220"/>
      <c r="E23" s="220"/>
      <c r="F23" s="220"/>
      <c r="G23" s="220"/>
      <c r="H23" s="220"/>
      <c r="I23" s="221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268" t="s">
        <v>956</v>
      </c>
      <c r="B25" s="269"/>
      <c r="C25" s="38" t="s">
        <v>950</v>
      </c>
      <c r="D25" s="269" t="s">
        <v>951</v>
      </c>
      <c r="E25" s="269"/>
      <c r="F25" s="269" t="s">
        <v>952</v>
      </c>
      <c r="G25" s="269"/>
      <c r="H25" s="269"/>
      <c r="I25" s="270"/>
    </row>
    <row r="26" spans="1:9" s="28" customFormat="1" ht="7.5" customHeight="1" x14ac:dyDescent="0.25">
      <c r="A26" s="173"/>
      <c r="B26" s="174"/>
      <c r="C26" s="39"/>
      <c r="D26" s="40"/>
      <c r="E26" s="41"/>
      <c r="F26" s="26"/>
      <c r="I26" s="42"/>
    </row>
    <row r="27" spans="1:9" s="61" customFormat="1" ht="36.75" customHeight="1" x14ac:dyDescent="0.25">
      <c r="A27" s="271" t="s">
        <v>983</v>
      </c>
      <c r="B27" s="272"/>
      <c r="C27" s="60" t="s">
        <v>962</v>
      </c>
      <c r="D27" s="148">
        <f>'RELACION DE COMPROBANTES'!H30</f>
        <v>0</v>
      </c>
      <c r="E27" s="149"/>
      <c r="F27" s="273" t="s">
        <v>963</v>
      </c>
      <c r="G27" s="274"/>
      <c r="H27" s="274"/>
      <c r="I27" s="275"/>
    </row>
    <row r="28" spans="1:9" s="61" customFormat="1" ht="36.75" customHeight="1" x14ac:dyDescent="0.25">
      <c r="A28" s="271"/>
      <c r="B28" s="272"/>
      <c r="C28" s="60"/>
      <c r="D28" s="148"/>
      <c r="E28" s="149"/>
      <c r="F28" s="276"/>
      <c r="G28" s="277"/>
      <c r="H28" s="277"/>
      <c r="I28" s="278"/>
    </row>
    <row r="29" spans="1:9" s="61" customFormat="1" ht="36.75" customHeight="1" x14ac:dyDescent="0.25">
      <c r="A29" s="146"/>
      <c r="B29" s="147"/>
      <c r="C29" s="62"/>
      <c r="D29" s="148"/>
      <c r="E29" s="149"/>
      <c r="F29" s="150" t="s">
        <v>964</v>
      </c>
      <c r="G29" s="151"/>
      <c r="H29" s="151"/>
      <c r="I29" s="152"/>
    </row>
    <row r="30" spans="1:9" s="61" customFormat="1" ht="36.75" customHeight="1" x14ac:dyDescent="0.25">
      <c r="A30" s="146"/>
      <c r="B30" s="147"/>
      <c r="C30" s="60"/>
      <c r="D30" s="148"/>
      <c r="E30" s="149"/>
      <c r="F30" s="276"/>
      <c r="G30" s="277"/>
      <c r="H30" s="277"/>
      <c r="I30" s="278"/>
    </row>
    <row r="31" spans="1:9" s="61" customFormat="1" ht="36.75" customHeight="1" x14ac:dyDescent="0.25">
      <c r="A31" s="146"/>
      <c r="B31" s="147"/>
      <c r="C31" s="62"/>
      <c r="D31" s="148"/>
      <c r="E31" s="149"/>
      <c r="F31" s="150" t="s">
        <v>965</v>
      </c>
      <c r="G31" s="151"/>
      <c r="H31" s="151"/>
      <c r="I31" s="152"/>
    </row>
    <row r="32" spans="1:9" s="61" customFormat="1" ht="36.75" customHeight="1" x14ac:dyDescent="0.25">
      <c r="A32" s="146"/>
      <c r="B32" s="147"/>
      <c r="C32" s="60"/>
      <c r="D32" s="148"/>
      <c r="E32" s="149"/>
      <c r="F32" s="177"/>
      <c r="G32" s="178"/>
      <c r="H32" s="178"/>
      <c r="I32" s="179"/>
    </row>
    <row r="33" spans="1:10" s="61" customFormat="1" ht="36.75" customHeight="1" x14ac:dyDescent="0.25">
      <c r="A33" s="146"/>
      <c r="B33" s="147"/>
      <c r="C33" s="60"/>
      <c r="D33" s="148"/>
      <c r="E33" s="149"/>
      <c r="F33" s="177"/>
      <c r="G33" s="178"/>
      <c r="H33" s="178"/>
      <c r="I33" s="179"/>
    </row>
    <row r="34" spans="1:10" s="61" customFormat="1" ht="36.75" customHeight="1" x14ac:dyDescent="0.25">
      <c r="A34" s="146"/>
      <c r="B34" s="147"/>
      <c r="C34" s="62"/>
      <c r="D34" s="148"/>
      <c r="E34" s="149"/>
      <c r="F34" s="150" t="s">
        <v>966</v>
      </c>
      <c r="G34" s="151"/>
      <c r="H34" s="151"/>
      <c r="I34" s="152"/>
    </row>
    <row r="35" spans="1:10" s="61" customFormat="1" ht="36.75" customHeight="1" x14ac:dyDescent="0.25">
      <c r="A35" s="146"/>
      <c r="B35" s="147"/>
      <c r="C35" s="62"/>
      <c r="D35" s="148"/>
      <c r="E35" s="149"/>
      <c r="F35" s="177"/>
      <c r="G35" s="178"/>
      <c r="H35" s="178"/>
      <c r="I35" s="179"/>
    </row>
    <row r="36" spans="1:10" s="61" customFormat="1" ht="36.75" customHeight="1" x14ac:dyDescent="0.25">
      <c r="A36" s="146"/>
      <c r="B36" s="147"/>
      <c r="C36" s="62"/>
      <c r="D36" s="148"/>
      <c r="E36" s="149"/>
      <c r="F36" s="177"/>
      <c r="G36" s="178"/>
      <c r="H36" s="178"/>
      <c r="I36" s="179"/>
    </row>
    <row r="37" spans="1:10" s="61" customFormat="1" ht="36.75" customHeight="1" x14ac:dyDescent="0.25">
      <c r="A37" s="146"/>
      <c r="B37" s="147"/>
      <c r="C37" s="62"/>
      <c r="D37" s="148"/>
      <c r="E37" s="149"/>
      <c r="F37" s="177"/>
      <c r="G37" s="178"/>
      <c r="H37" s="178"/>
      <c r="I37" s="179"/>
    </row>
    <row r="38" spans="1:10" s="61" customFormat="1" ht="36.75" customHeight="1" x14ac:dyDescent="0.25">
      <c r="A38" s="146"/>
      <c r="B38" s="147"/>
      <c r="C38" s="62"/>
      <c r="D38" s="148"/>
      <c r="E38" s="149"/>
      <c r="F38" s="150" t="s">
        <v>967</v>
      </c>
      <c r="G38" s="151"/>
      <c r="H38" s="151"/>
      <c r="I38" s="152"/>
    </row>
    <row r="39" spans="1:10" s="61" customFormat="1" ht="36.75" customHeight="1" x14ac:dyDescent="0.25">
      <c r="A39" s="146"/>
      <c r="B39" s="147"/>
      <c r="C39" s="60"/>
      <c r="D39" s="148"/>
      <c r="E39" s="149"/>
      <c r="F39" s="153"/>
      <c r="G39" s="154"/>
      <c r="H39" s="154"/>
      <c r="I39" s="155"/>
    </row>
    <row r="40" spans="1:10" s="61" customFormat="1" ht="36.75" customHeight="1" x14ac:dyDescent="0.25">
      <c r="A40" s="146"/>
      <c r="B40" s="147"/>
      <c r="C40" s="60"/>
      <c r="D40" s="148"/>
      <c r="E40" s="149"/>
      <c r="F40" s="153"/>
      <c r="G40" s="154"/>
      <c r="H40" s="154"/>
      <c r="I40" s="155"/>
    </row>
    <row r="41" spans="1:10" s="61" customFormat="1" ht="36.75" customHeight="1" x14ac:dyDescent="0.25">
      <c r="A41" s="146"/>
      <c r="B41" s="147"/>
      <c r="C41" s="60"/>
      <c r="D41" s="148"/>
      <c r="E41" s="149"/>
      <c r="F41" s="153"/>
      <c r="G41" s="154"/>
      <c r="H41" s="154"/>
      <c r="I41" s="155"/>
      <c r="J41" s="63"/>
    </row>
    <row r="42" spans="1:10" s="61" customFormat="1" ht="36.75" customHeight="1" x14ac:dyDescent="0.25">
      <c r="A42" s="146"/>
      <c r="B42" s="147"/>
      <c r="C42" s="60"/>
      <c r="D42" s="148"/>
      <c r="E42" s="149"/>
      <c r="F42" s="150" t="s">
        <v>968</v>
      </c>
      <c r="G42" s="151"/>
      <c r="H42" s="151"/>
      <c r="I42" s="152"/>
    </row>
    <row r="43" spans="1:10" s="61" customFormat="1" ht="36.75" customHeight="1" x14ac:dyDescent="0.25">
      <c r="A43" s="146"/>
      <c r="B43" s="147"/>
      <c r="C43" s="60"/>
      <c r="D43" s="148"/>
      <c r="E43" s="149"/>
      <c r="F43" s="167">
        <f>'RELACION DE COMPROBANTES'!H31</f>
        <v>0</v>
      </c>
      <c r="G43" s="169" t="str">
        <f>Apalabra(F43)</f>
        <v/>
      </c>
      <c r="H43" s="169"/>
      <c r="I43" s="170"/>
    </row>
    <row r="44" spans="1:10" s="61" customFormat="1" ht="36.75" customHeight="1" x14ac:dyDescent="0.25">
      <c r="A44" s="146"/>
      <c r="B44" s="147"/>
      <c r="C44" s="60"/>
      <c r="D44" s="148"/>
      <c r="E44" s="149"/>
      <c r="F44" s="167"/>
      <c r="G44" s="169"/>
      <c r="H44" s="169"/>
      <c r="I44" s="170"/>
    </row>
    <row r="45" spans="1:10" s="28" customFormat="1" ht="10.5" customHeight="1" thickBot="1" x14ac:dyDescent="0.3">
      <c r="A45" s="173"/>
      <c r="B45" s="174"/>
      <c r="C45" s="39"/>
      <c r="D45" s="175"/>
      <c r="E45" s="176"/>
      <c r="F45" s="168"/>
      <c r="G45" s="171"/>
      <c r="H45" s="171"/>
      <c r="I45" s="172"/>
    </row>
    <row r="46" spans="1:10" s="61" customFormat="1" ht="57" customHeight="1" thickTop="1" x14ac:dyDescent="0.25">
      <c r="A46" s="143" t="s">
        <v>969</v>
      </c>
      <c r="B46" s="144"/>
      <c r="C46" s="185"/>
      <c r="D46" s="186">
        <f>D27</f>
        <v>0</v>
      </c>
      <c r="E46" s="187"/>
      <c r="F46" s="188" t="str">
        <f>Apalabra(D46)</f>
        <v/>
      </c>
      <c r="G46" s="189"/>
      <c r="H46" s="189"/>
      <c r="I46" s="190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191" t="s">
        <v>970</v>
      </c>
      <c r="B48" s="192"/>
      <c r="C48" s="192"/>
      <c r="D48" s="192"/>
      <c r="E48" s="193" t="s">
        <v>953</v>
      </c>
      <c r="F48" s="194"/>
      <c r="G48" s="195"/>
      <c r="H48" s="196" t="s">
        <v>954</v>
      </c>
      <c r="I48" s="197"/>
    </row>
    <row r="49" spans="1:9" s="28" customFormat="1" ht="24.75" customHeight="1" x14ac:dyDescent="0.25">
      <c r="A49" s="198" t="s">
        <v>888</v>
      </c>
      <c r="B49" s="199"/>
      <c r="C49" s="199"/>
      <c r="D49" s="199"/>
      <c r="E49" s="163"/>
      <c r="F49" s="164"/>
      <c r="G49" s="165"/>
      <c r="H49" s="161"/>
      <c r="I49" s="166"/>
    </row>
    <row r="50" spans="1:9" s="28" customFormat="1" ht="15" customHeight="1" x14ac:dyDescent="0.25">
      <c r="A50" s="161"/>
      <c r="B50" s="162"/>
      <c r="C50" s="162"/>
      <c r="D50" s="162"/>
      <c r="E50" s="163"/>
      <c r="F50" s="164"/>
      <c r="G50" s="165"/>
      <c r="H50" s="161"/>
      <c r="I50" s="166"/>
    </row>
    <row r="51" spans="1:9" s="28" customFormat="1" ht="15" customHeight="1" x14ac:dyDescent="0.25">
      <c r="A51" s="161"/>
      <c r="B51" s="162"/>
      <c r="C51" s="162"/>
      <c r="D51" s="162"/>
      <c r="E51" s="163"/>
      <c r="F51" s="164"/>
      <c r="G51" s="165"/>
      <c r="H51" s="161"/>
      <c r="I51" s="166"/>
    </row>
    <row r="52" spans="1:9" s="28" customFormat="1" ht="15" customHeight="1" x14ac:dyDescent="0.25">
      <c r="A52" s="161"/>
      <c r="B52" s="162"/>
      <c r="C52" s="162"/>
      <c r="D52" s="162"/>
      <c r="E52" s="163"/>
      <c r="F52" s="164"/>
      <c r="G52" s="165"/>
      <c r="H52" s="161"/>
      <c r="I52" s="166"/>
    </row>
    <row r="53" spans="1:9" s="28" customFormat="1" ht="15" customHeight="1" x14ac:dyDescent="0.25">
      <c r="A53" s="161"/>
      <c r="B53" s="162"/>
      <c r="C53" s="162"/>
      <c r="D53" s="162"/>
      <c r="E53" s="163"/>
      <c r="F53" s="164"/>
      <c r="G53" s="165"/>
      <c r="H53" s="161"/>
      <c r="I53" s="166"/>
    </row>
    <row r="54" spans="1:9" s="28" customFormat="1" ht="24" customHeight="1" x14ac:dyDescent="0.25">
      <c r="A54" s="161"/>
      <c r="B54" s="162"/>
      <c r="C54" s="162"/>
      <c r="D54" s="162"/>
      <c r="E54" s="163"/>
      <c r="F54" s="164"/>
      <c r="G54" s="165"/>
      <c r="H54" s="161"/>
      <c r="I54" s="166"/>
    </row>
    <row r="55" spans="1:9" s="28" customFormat="1" ht="53.25" customHeight="1" x14ac:dyDescent="0.25">
      <c r="A55" s="203" t="s">
        <v>887</v>
      </c>
      <c r="B55" s="204"/>
      <c r="C55" s="204"/>
      <c r="D55" s="205"/>
      <c r="E55" s="209"/>
      <c r="F55" s="210"/>
      <c r="G55" s="211"/>
      <c r="H55" s="215"/>
      <c r="I55" s="216"/>
    </row>
    <row r="56" spans="1:9" s="28" customFormat="1" ht="41.25" customHeight="1" x14ac:dyDescent="0.25">
      <c r="A56" s="206"/>
      <c r="B56" s="207"/>
      <c r="C56" s="207"/>
      <c r="D56" s="208"/>
      <c r="E56" s="212"/>
      <c r="F56" s="213"/>
      <c r="G56" s="214"/>
      <c r="H56" s="217"/>
      <c r="I56" s="218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180"/>
      <c r="B58" s="181"/>
      <c r="C58" s="181"/>
      <c r="D58" s="182"/>
      <c r="E58" s="181"/>
      <c r="F58" s="181"/>
      <c r="G58" s="181"/>
      <c r="H58" s="201" t="s">
        <v>954</v>
      </c>
      <c r="I58" s="202"/>
    </row>
    <row r="59" spans="1:9" s="28" customFormat="1" ht="78" customHeight="1" x14ac:dyDescent="0.25">
      <c r="A59" s="158"/>
      <c r="B59" s="159"/>
      <c r="C59" s="159"/>
      <c r="D59" s="160"/>
      <c r="E59" s="199"/>
      <c r="F59" s="199"/>
      <c r="G59" s="199"/>
      <c r="H59" s="156"/>
      <c r="I59" s="157"/>
    </row>
    <row r="60" spans="1:9" s="28" customFormat="1" ht="67.5" customHeight="1" x14ac:dyDescent="0.25">
      <c r="A60" s="158"/>
      <c r="B60" s="159"/>
      <c r="C60" s="159"/>
      <c r="D60" s="160"/>
      <c r="E60" s="200"/>
      <c r="F60" s="200"/>
      <c r="G60" s="200"/>
      <c r="H60" s="183"/>
      <c r="I60" s="184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143"/>
      <c r="B62" s="144"/>
      <c r="C62" s="144"/>
      <c r="D62" s="144"/>
      <c r="E62" s="144"/>
      <c r="F62" s="144"/>
      <c r="G62" s="144"/>
      <c r="H62" s="144"/>
      <c r="I62" s="145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</sheetData>
  <sheetProtection formatCells="0" formatColumns="0" formatRows="0" insertColumns="0" insertRows="0" deleteColumns="0" deleteRows="0" sort="0" autoFilter="0" pivotTables="0"/>
  <dataConsolidate/>
  <mergeCells count="95"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  <mergeCell ref="A26:B26"/>
    <mergeCell ref="A25:B25"/>
    <mergeCell ref="A23:I23"/>
    <mergeCell ref="D25:E25"/>
    <mergeCell ref="F25:I25"/>
    <mergeCell ref="H1:I1"/>
    <mergeCell ref="C2:I2"/>
    <mergeCell ref="C3:I3"/>
    <mergeCell ref="A4:E4"/>
    <mergeCell ref="A6:I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E58:G60"/>
    <mergeCell ref="H58:I58"/>
    <mergeCell ref="A59:D59"/>
    <mergeCell ref="A55:D56"/>
    <mergeCell ref="E55:G56"/>
    <mergeCell ref="H55:I56"/>
    <mergeCell ref="A32:B32"/>
    <mergeCell ref="D32:E32"/>
    <mergeCell ref="F32:I33"/>
    <mergeCell ref="A33:B33"/>
    <mergeCell ref="D33:E33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A62:I62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42:B42"/>
    <mergeCell ref="D42:E42"/>
  </mergeCells>
  <phoneticPr fontId="8" type="noConversion"/>
  <conditionalFormatting sqref="F30:I30">
    <cfRule type="containsErrors" dxfId="12" priority="4">
      <formula>ISERROR(F30)</formula>
    </cfRule>
  </conditionalFormatting>
  <conditionalFormatting sqref="H60:I60">
    <cfRule type="containsErrors" dxfId="11" priority="3">
      <formula>ISERROR(H60)</formula>
    </cfRule>
  </conditionalFormatting>
  <conditionalFormatting sqref="H58:I58">
    <cfRule type="containsErrors" dxfId="10" priority="2">
      <formula>ISERROR(H58)</formula>
    </cfRule>
  </conditionalFormatting>
  <conditionalFormatting sqref="H55:I56">
    <cfRule type="containsErrors" dxfId="9" priority="1">
      <formula>ISERROR(H55)</formula>
    </cfRule>
  </conditionalFormatting>
  <pageMargins left="0.97" right="0.53" top="0.43" bottom="0.4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2"/>
  <sheetViews>
    <sheetView topLeftCell="C1" workbookViewId="0">
      <selection activeCell="E12" sqref="E12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0" customWidth="1"/>
    <col min="5" max="5" width="54.7109375" style="135" customWidth="1"/>
    <col min="6" max="6" width="28.28515625" style="72" customWidth="1"/>
    <col min="7" max="7" width="31.28515625" style="72" customWidth="1"/>
    <col min="8" max="8" width="25.7109375" style="96" customWidth="1"/>
    <col min="9" max="16384" width="11.5703125" style="72"/>
  </cols>
  <sheetData>
    <row r="1" spans="1:8" ht="16.5" thickBot="1" x14ac:dyDescent="0.3">
      <c r="A1" s="279" t="s">
        <v>983</v>
      </c>
      <c r="B1" s="280"/>
      <c r="C1" s="280"/>
      <c r="D1" s="280"/>
      <c r="E1" s="280"/>
      <c r="F1" s="280"/>
      <c r="G1" s="280"/>
      <c r="H1" s="281"/>
    </row>
    <row r="2" spans="1:8" ht="16.5" thickBot="1" x14ac:dyDescent="0.3">
      <c r="A2" s="73" t="s">
        <v>971</v>
      </c>
      <c r="B2" s="282"/>
      <c r="C2" s="283"/>
      <c r="D2" s="283"/>
      <c r="E2" s="283"/>
      <c r="F2" s="284"/>
      <c r="G2" s="285" t="s">
        <v>972</v>
      </c>
      <c r="H2" s="286"/>
    </row>
    <row r="3" spans="1:8" ht="16.5" thickBot="1" x14ac:dyDescent="0.3">
      <c r="A3" s="74" t="s">
        <v>973</v>
      </c>
      <c r="B3" s="282"/>
      <c r="C3" s="283"/>
      <c r="D3" s="283"/>
      <c r="E3" s="283"/>
      <c r="F3" s="284"/>
      <c r="G3" s="287"/>
      <c r="H3" s="288"/>
    </row>
    <row r="4" spans="1:8" ht="24" thickBot="1" x14ac:dyDescent="0.3">
      <c r="A4" s="77"/>
      <c r="B4" s="78"/>
      <c r="C4" s="78"/>
      <c r="D4" s="137"/>
      <c r="E4" s="132"/>
      <c r="F4" s="78"/>
      <c r="G4" s="78"/>
      <c r="H4" s="75"/>
    </row>
    <row r="5" spans="1:8" ht="18" x14ac:dyDescent="0.25">
      <c r="A5" s="76" t="s">
        <v>974</v>
      </c>
      <c r="B5" s="76" t="s">
        <v>975</v>
      </c>
      <c r="C5" s="76" t="s">
        <v>976</v>
      </c>
      <c r="D5" s="138" t="s">
        <v>949</v>
      </c>
      <c r="E5" s="133" t="s">
        <v>38</v>
      </c>
      <c r="F5" s="76" t="s">
        <v>977</v>
      </c>
      <c r="G5" s="76" t="s">
        <v>978</v>
      </c>
      <c r="H5" s="79" t="s">
        <v>979</v>
      </c>
    </row>
    <row r="6" spans="1:8" x14ac:dyDescent="0.25">
      <c r="A6" s="80"/>
      <c r="B6" s="80"/>
      <c r="C6" s="80"/>
      <c r="D6" s="136"/>
      <c r="E6" s="131"/>
      <c r="F6" s="81"/>
      <c r="G6" s="82"/>
      <c r="H6" s="81"/>
    </row>
    <row r="7" spans="1:8" x14ac:dyDescent="0.25">
      <c r="A7" s="80"/>
      <c r="B7" s="80"/>
      <c r="C7" s="80"/>
      <c r="D7" s="136"/>
      <c r="E7" s="131"/>
      <c r="F7" s="81"/>
      <c r="G7" s="82"/>
      <c r="H7" s="81"/>
    </row>
    <row r="8" spans="1:8" x14ac:dyDescent="0.25">
      <c r="A8" s="80"/>
      <c r="B8" s="80"/>
      <c r="C8" s="80"/>
      <c r="D8" s="136"/>
      <c r="E8" s="131"/>
      <c r="F8" s="81"/>
      <c r="G8" s="82"/>
      <c r="H8" s="81"/>
    </row>
    <row r="9" spans="1:8" x14ac:dyDescent="0.25">
      <c r="A9" s="80"/>
      <c r="B9" s="80"/>
      <c r="C9" s="80"/>
      <c r="D9" s="136"/>
      <c r="E9" s="131"/>
      <c r="F9" s="81"/>
      <c r="G9" s="82"/>
      <c r="H9" s="81"/>
    </row>
    <row r="10" spans="1:8" x14ac:dyDescent="0.25">
      <c r="A10" s="80"/>
      <c r="B10" s="80"/>
      <c r="C10" s="80"/>
      <c r="D10" s="136"/>
      <c r="E10" s="131"/>
      <c r="F10" s="81"/>
      <c r="G10" s="82"/>
      <c r="H10" s="81"/>
    </row>
    <row r="11" spans="1:8" x14ac:dyDescent="0.25">
      <c r="A11" s="80"/>
      <c r="B11" s="80"/>
      <c r="C11" s="80"/>
      <c r="D11" s="136"/>
      <c r="E11" s="131"/>
      <c r="F11" s="81"/>
      <c r="G11" s="82"/>
      <c r="H11" s="81"/>
    </row>
    <row r="12" spans="1:8" x14ac:dyDescent="0.25">
      <c r="A12" s="80"/>
      <c r="B12" s="80"/>
      <c r="C12" s="80"/>
      <c r="D12" s="136"/>
      <c r="E12" s="131"/>
      <c r="F12" s="81"/>
      <c r="G12" s="82"/>
      <c r="H12" s="81"/>
    </row>
    <row r="13" spans="1:8" x14ac:dyDescent="0.25">
      <c r="A13" s="80"/>
      <c r="B13" s="80"/>
      <c r="C13" s="80"/>
      <c r="D13" s="136"/>
      <c r="E13" s="131"/>
      <c r="F13" s="81"/>
      <c r="G13" s="82"/>
      <c r="H13" s="81"/>
    </row>
    <row r="14" spans="1:8" x14ac:dyDescent="0.25">
      <c r="A14" s="80"/>
      <c r="B14" s="80"/>
      <c r="C14" s="80"/>
      <c r="D14" s="136"/>
      <c r="E14" s="131"/>
      <c r="F14" s="81"/>
      <c r="G14" s="82"/>
      <c r="H14" s="81"/>
    </row>
    <row r="15" spans="1:8" x14ac:dyDescent="0.25">
      <c r="A15" s="80"/>
      <c r="B15" s="80"/>
      <c r="C15" s="80"/>
      <c r="D15" s="136"/>
      <c r="E15" s="131"/>
      <c r="F15" s="81"/>
      <c r="G15" s="82"/>
      <c r="H15" s="81"/>
    </row>
    <row r="16" spans="1:8" x14ac:dyDescent="0.25">
      <c r="A16" s="80"/>
      <c r="B16" s="80"/>
      <c r="C16" s="80"/>
      <c r="D16" s="136"/>
      <c r="E16" s="131"/>
      <c r="F16" s="81"/>
      <c r="G16" s="82"/>
      <c r="H16" s="81"/>
    </row>
    <row r="17" spans="1:8" x14ac:dyDescent="0.25">
      <c r="A17" s="80"/>
      <c r="B17" s="80"/>
      <c r="C17" s="80"/>
      <c r="D17" s="136"/>
      <c r="E17" s="131"/>
      <c r="F17" s="81"/>
      <c r="G17" s="82"/>
      <c r="H17" s="81"/>
    </row>
    <row r="18" spans="1:8" x14ac:dyDescent="0.25">
      <c r="A18" s="80"/>
      <c r="B18" s="80"/>
      <c r="C18" s="80"/>
      <c r="D18" s="136"/>
      <c r="E18" s="131"/>
      <c r="F18" s="81"/>
      <c r="G18" s="82"/>
      <c r="H18" s="81"/>
    </row>
    <row r="19" spans="1:8" x14ac:dyDescent="0.25">
      <c r="A19" s="80"/>
      <c r="B19" s="80"/>
      <c r="C19" s="80"/>
      <c r="D19" s="136"/>
      <c r="E19" s="131"/>
      <c r="F19" s="81"/>
      <c r="G19" s="82"/>
      <c r="H19" s="81"/>
    </row>
    <row r="20" spans="1:8" x14ac:dyDescent="0.25">
      <c r="A20" s="80"/>
      <c r="B20" s="80"/>
      <c r="C20" s="80"/>
      <c r="D20" s="136"/>
      <c r="E20" s="131"/>
      <c r="F20" s="81"/>
      <c r="G20" s="82"/>
      <c r="H20" s="81"/>
    </row>
    <row r="21" spans="1:8" x14ac:dyDescent="0.25">
      <c r="A21" s="80"/>
      <c r="B21" s="80"/>
      <c r="C21" s="80"/>
      <c r="D21" s="136"/>
      <c r="E21" s="131"/>
      <c r="F21" s="81"/>
      <c r="G21" s="82"/>
      <c r="H21" s="81"/>
    </row>
    <row r="22" spans="1:8" x14ac:dyDescent="0.25">
      <c r="A22" s="80"/>
      <c r="B22" s="80"/>
      <c r="C22" s="80"/>
      <c r="D22" s="136"/>
      <c r="E22" s="131"/>
      <c r="F22" s="81"/>
      <c r="G22" s="82"/>
      <c r="H22" s="81"/>
    </row>
    <row r="23" spans="1:8" x14ac:dyDescent="0.25">
      <c r="A23" s="80"/>
      <c r="B23" s="80"/>
      <c r="C23" s="80"/>
      <c r="D23" s="136"/>
      <c r="E23" s="131"/>
      <c r="F23" s="81"/>
      <c r="G23" s="82"/>
      <c r="H23" s="81"/>
    </row>
    <row r="24" spans="1:8" x14ac:dyDescent="0.25">
      <c r="A24" s="80"/>
      <c r="B24" s="80"/>
      <c r="C24" s="80"/>
      <c r="D24" s="136"/>
      <c r="E24" s="131"/>
      <c r="F24" s="81"/>
      <c r="G24" s="82"/>
      <c r="H24" s="81"/>
    </row>
    <row r="25" spans="1:8" x14ac:dyDescent="0.25">
      <c r="A25" s="80"/>
      <c r="B25" s="80"/>
      <c r="C25" s="80"/>
      <c r="D25" s="136"/>
      <c r="E25" s="131"/>
      <c r="F25" s="81"/>
      <c r="G25" s="82"/>
      <c r="H25" s="81"/>
    </row>
    <row r="26" spans="1:8" x14ac:dyDescent="0.25">
      <c r="A26" s="80"/>
      <c r="B26" s="80"/>
      <c r="C26" s="80"/>
      <c r="D26" s="136"/>
      <c r="E26" s="131"/>
      <c r="F26" s="81"/>
      <c r="G26" s="82"/>
      <c r="H26" s="81"/>
    </row>
    <row r="27" spans="1:8" x14ac:dyDescent="0.25">
      <c r="A27" s="80"/>
      <c r="B27" s="80"/>
      <c r="C27" s="80"/>
      <c r="D27" s="136"/>
      <c r="E27" s="131"/>
      <c r="F27" s="81"/>
      <c r="G27" s="82"/>
      <c r="H27" s="81"/>
    </row>
    <row r="28" spans="1:8" x14ac:dyDescent="0.25">
      <c r="A28" s="80"/>
      <c r="B28" s="80"/>
      <c r="C28" s="80"/>
      <c r="D28" s="136"/>
      <c r="E28" s="131"/>
      <c r="F28" s="81"/>
      <c r="G28" s="82"/>
      <c r="H28" s="81"/>
    </row>
    <row r="29" spans="1:8" x14ac:dyDescent="0.25">
      <c r="A29" s="80"/>
      <c r="B29" s="80"/>
      <c r="C29" s="80"/>
      <c r="D29" s="136"/>
      <c r="E29" s="131"/>
      <c r="F29" s="81"/>
      <c r="G29" s="82"/>
      <c r="H29" s="81"/>
    </row>
    <row r="30" spans="1:8" x14ac:dyDescent="0.25">
      <c r="A30" s="83"/>
      <c r="B30" s="83"/>
      <c r="C30" s="84"/>
      <c r="D30" s="139"/>
      <c r="E30" s="134"/>
      <c r="F30" s="85"/>
      <c r="G30" s="86" t="s">
        <v>980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981</v>
      </c>
      <c r="H31" s="92">
        <f>H32-H30</f>
        <v>0</v>
      </c>
    </row>
    <row r="32" spans="1:8" x14ac:dyDescent="0.25">
      <c r="A32" s="93"/>
      <c r="F32" s="94"/>
      <c r="G32" s="86" t="s">
        <v>982</v>
      </c>
      <c r="H32" s="95"/>
    </row>
  </sheetData>
  <mergeCells count="5">
    <mergeCell ref="A1:H1"/>
    <mergeCell ref="B2:F2"/>
    <mergeCell ref="G2:H2"/>
    <mergeCell ref="B3:F3"/>
    <mergeCell ref="G3:H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D30D01-0BD7-432B-A994-C51F59B601CD}">
          <x14:formula1>
            <xm:f>proyecto!$J$2:$J$254</xm:f>
          </x14:formula1>
          <xm:sqref>E6:E29</xm:sqref>
        </x14:dataValidation>
        <x14:dataValidation type="list" allowBlank="1" showInputMessage="1" showErrorMessage="1" xr:uid="{382A3272-30AD-4C16-9B42-E1422238158B}">
          <x14:formula1>
            <xm:f>proyecto!$I$1:$I$54</xm:f>
          </x14:formula1>
          <xm:sqref>D6:D29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D10" sqref="D10:E10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1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7"/>
      <c r="B1" s="98"/>
      <c r="C1" s="98"/>
      <c r="D1" s="99"/>
      <c r="E1" s="98"/>
      <c r="F1" s="98"/>
      <c r="G1" s="100"/>
    </row>
    <row r="2" spans="1:7" s="107" customFormat="1" ht="7.5" customHeight="1" x14ac:dyDescent="0.25">
      <c r="A2" s="101"/>
      <c r="B2" s="102"/>
      <c r="C2" s="103"/>
      <c r="D2" s="104"/>
      <c r="E2" s="103"/>
      <c r="F2" s="105"/>
      <c r="G2" s="106"/>
    </row>
    <row r="3" spans="1:7" s="107" customFormat="1" ht="23.25" x14ac:dyDescent="0.25">
      <c r="A3" s="101"/>
      <c r="B3" s="101"/>
      <c r="C3" s="108" t="s">
        <v>984</v>
      </c>
      <c r="D3" s="289"/>
      <c r="E3" s="290"/>
      <c r="F3" s="106"/>
      <c r="G3" s="106"/>
    </row>
    <row r="4" spans="1:7" s="107" customFormat="1" ht="23.25" x14ac:dyDescent="0.25">
      <c r="A4" s="101"/>
      <c r="B4" s="101"/>
      <c r="C4" s="109" t="s">
        <v>985</v>
      </c>
      <c r="D4" s="289"/>
      <c r="E4" s="290"/>
      <c r="F4" s="106"/>
      <c r="G4" s="106"/>
    </row>
    <row r="5" spans="1:7" s="107" customFormat="1" ht="23.25" x14ac:dyDescent="0.25">
      <c r="A5" s="101"/>
      <c r="B5" s="101"/>
      <c r="C5" s="108" t="s">
        <v>986</v>
      </c>
      <c r="D5" s="289"/>
      <c r="E5" s="290"/>
      <c r="F5" s="106"/>
      <c r="G5" s="106"/>
    </row>
    <row r="6" spans="1:7" s="107" customFormat="1" ht="40.5" x14ac:dyDescent="0.25">
      <c r="A6" s="101"/>
      <c r="B6" s="101"/>
      <c r="C6" s="110" t="s">
        <v>987</v>
      </c>
      <c r="D6" s="295"/>
      <c r="E6" s="296"/>
      <c r="F6" s="106"/>
      <c r="G6" s="106"/>
    </row>
    <row r="7" spans="1:7" s="107" customFormat="1" ht="23.25" x14ac:dyDescent="0.25">
      <c r="A7" s="101"/>
      <c r="B7" s="101"/>
      <c r="C7" s="108" t="s">
        <v>988</v>
      </c>
      <c r="D7" s="295"/>
      <c r="E7" s="296"/>
      <c r="F7" s="106"/>
      <c r="G7" s="106"/>
    </row>
    <row r="8" spans="1:7" s="107" customFormat="1" ht="28.5" x14ac:dyDescent="0.25">
      <c r="A8" s="101"/>
      <c r="B8" s="101"/>
      <c r="C8" s="111" t="s">
        <v>989</v>
      </c>
      <c r="D8" s="297"/>
      <c r="E8" s="298"/>
      <c r="F8" s="106"/>
      <c r="G8" s="106"/>
    </row>
    <row r="9" spans="1:7" s="107" customFormat="1" ht="23.25" x14ac:dyDescent="0.25">
      <c r="A9" s="101"/>
      <c r="B9" s="101"/>
      <c r="C9" s="108" t="s">
        <v>990</v>
      </c>
      <c r="D9" s="289"/>
      <c r="E9" s="290"/>
      <c r="F9" s="106"/>
      <c r="G9" s="106"/>
    </row>
    <row r="10" spans="1:7" s="107" customFormat="1" ht="23.25" x14ac:dyDescent="0.25">
      <c r="A10" s="101"/>
      <c r="B10" s="101"/>
      <c r="C10" s="108" t="s">
        <v>991</v>
      </c>
      <c r="D10" s="291"/>
      <c r="E10" s="292"/>
      <c r="F10" s="106"/>
      <c r="G10" s="106"/>
    </row>
    <row r="11" spans="1:7" s="107" customFormat="1" ht="26.25" x14ac:dyDescent="0.25">
      <c r="A11" s="101"/>
      <c r="B11" s="101"/>
      <c r="C11" s="108" t="s">
        <v>992</v>
      </c>
      <c r="D11" s="112"/>
      <c r="E11" s="113" t="str">
        <f>Apalabra(D11)</f>
        <v/>
      </c>
      <c r="F11" s="106"/>
      <c r="G11" s="106"/>
    </row>
    <row r="12" spans="1:7" s="107" customFormat="1" ht="31.5" x14ac:dyDescent="0.25">
      <c r="A12" s="101"/>
      <c r="B12" s="101"/>
      <c r="C12" s="114" t="s">
        <v>993</v>
      </c>
      <c r="D12" s="293"/>
      <c r="E12" s="294"/>
      <c r="F12" s="106"/>
      <c r="G12" s="106"/>
    </row>
    <row r="13" spans="1:7" ht="15.75" thickBot="1" x14ac:dyDescent="0.3">
      <c r="A13" s="115"/>
      <c r="B13" s="116"/>
      <c r="C13" s="117"/>
      <c r="D13" s="118"/>
      <c r="E13" s="117"/>
      <c r="F13" s="119"/>
      <c r="G13" s="120"/>
    </row>
    <row r="14" spans="1:7" ht="15.75" thickBot="1" x14ac:dyDescent="0.3">
      <c r="A14" s="116"/>
      <c r="B14" s="117"/>
      <c r="C14" s="117"/>
      <c r="D14" s="118"/>
      <c r="E14" s="117"/>
      <c r="F14" s="117"/>
      <c r="G14" s="119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8" priority="3">
      <formula>ISERROR(D4)</formula>
    </cfRule>
  </conditionalFormatting>
  <conditionalFormatting sqref="D5:E5">
    <cfRule type="containsErrors" dxfId="7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99" t="s">
        <v>5</v>
      </c>
      <c r="F1" s="300"/>
      <c r="G1" s="301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tabSelected="1" workbookViewId="0">
      <selection activeCell="J20" sqref="J20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11"/>
      <c r="F2" s="311"/>
    </row>
    <row r="4" spans="1:6" ht="18.75" x14ac:dyDescent="0.3">
      <c r="C4" s="312"/>
      <c r="D4" s="312"/>
      <c r="E4" s="312"/>
    </row>
    <row r="6" spans="1:6" ht="18" x14ac:dyDescent="0.25">
      <c r="A6" s="122" t="s">
        <v>994</v>
      </c>
    </row>
    <row r="7" spans="1:6" ht="18" x14ac:dyDescent="0.25">
      <c r="A7" s="122"/>
    </row>
    <row r="8" spans="1:6" ht="18" x14ac:dyDescent="0.25">
      <c r="A8" s="122"/>
    </row>
    <row r="9" spans="1:6" ht="18" x14ac:dyDescent="0.25">
      <c r="A9" s="123" t="s">
        <v>995</v>
      </c>
      <c r="B9" s="313" t="s">
        <v>996</v>
      </c>
      <c r="C9" s="313"/>
      <c r="D9" s="313"/>
      <c r="E9" s="313"/>
      <c r="F9" s="313"/>
    </row>
    <row r="10" spans="1:6" ht="18.75" x14ac:dyDescent="0.3">
      <c r="A10" s="314" t="s">
        <v>997</v>
      </c>
      <c r="B10" s="312"/>
      <c r="C10" s="312"/>
      <c r="D10" s="312"/>
      <c r="E10" s="312"/>
      <c r="F10" s="315"/>
    </row>
    <row r="11" spans="1:6" x14ac:dyDescent="0.25">
      <c r="A11" s="316" t="s">
        <v>998</v>
      </c>
      <c r="B11" s="317"/>
      <c r="C11" s="320" t="s">
        <v>6</v>
      </c>
      <c r="D11" s="322" t="s">
        <v>999</v>
      </c>
      <c r="E11" s="324" t="s">
        <v>1000</v>
      </c>
      <c r="F11" s="325"/>
    </row>
    <row r="12" spans="1:6" x14ac:dyDescent="0.25">
      <c r="A12" s="318"/>
      <c r="B12" s="319"/>
      <c r="C12" s="321"/>
      <c r="D12" s="323"/>
      <c r="E12" s="326"/>
      <c r="F12" s="327"/>
    </row>
    <row r="13" spans="1:6" x14ac:dyDescent="0.25">
      <c r="A13" s="302"/>
      <c r="B13" s="302"/>
      <c r="C13" s="124"/>
      <c r="D13" s="125"/>
      <c r="E13" s="303"/>
      <c r="F13" s="304"/>
    </row>
    <row r="14" spans="1:6" x14ac:dyDescent="0.25">
      <c r="A14" s="309"/>
      <c r="B14" s="310"/>
      <c r="C14" s="124"/>
      <c r="D14" s="125"/>
      <c r="E14" s="303"/>
      <c r="F14" s="304"/>
    </row>
    <row r="15" spans="1:6" x14ac:dyDescent="0.25">
      <c r="A15" s="309"/>
      <c r="B15" s="310"/>
      <c r="C15" s="124"/>
      <c r="D15" s="125"/>
      <c r="E15" s="303"/>
      <c r="F15" s="304"/>
    </row>
    <row r="16" spans="1:6" x14ac:dyDescent="0.25">
      <c r="A16" s="309"/>
      <c r="B16" s="310"/>
      <c r="C16" s="124"/>
      <c r="D16" s="125"/>
      <c r="E16" s="303"/>
      <c r="F16" s="304"/>
    </row>
    <row r="17" spans="1:6" x14ac:dyDescent="0.25">
      <c r="A17" s="302"/>
      <c r="B17" s="302"/>
      <c r="C17" s="124"/>
      <c r="D17" s="125"/>
      <c r="E17" s="303"/>
      <c r="F17" s="304"/>
    </row>
    <row r="18" spans="1:6" x14ac:dyDescent="0.25">
      <c r="A18" s="302"/>
      <c r="B18" s="302"/>
      <c r="C18" s="124"/>
      <c r="D18" s="125"/>
      <c r="E18" s="303"/>
      <c r="F18" s="304"/>
    </row>
    <row r="19" spans="1:6" x14ac:dyDescent="0.25">
      <c r="A19" s="302"/>
      <c r="B19" s="302"/>
      <c r="C19" s="124"/>
      <c r="D19" s="125"/>
      <c r="E19" s="303"/>
      <c r="F19" s="304"/>
    </row>
    <row r="20" spans="1:6" x14ac:dyDescent="0.25">
      <c r="E20" s="126" t="s">
        <v>1001</v>
      </c>
      <c r="F20" s="127">
        <f>SUM(D13:D19)</f>
        <v>0</v>
      </c>
    </row>
    <row r="21" spans="1:6" ht="26.25" x14ac:dyDescent="0.25">
      <c r="A21" s="128" t="s">
        <v>1002</v>
      </c>
      <c r="B21" s="305" t="str">
        <f>Apalabra(F20)</f>
        <v/>
      </c>
      <c r="C21" s="305"/>
      <c r="D21" s="305"/>
      <c r="E21" s="305"/>
      <c r="F21" s="305"/>
    </row>
    <row r="22" spans="1:6" ht="16.5" x14ac:dyDescent="0.3">
      <c r="A22" s="129"/>
    </row>
    <row r="24" spans="1:6" ht="16.5" x14ac:dyDescent="0.3">
      <c r="A24" s="130"/>
      <c r="B24" s="130"/>
    </row>
    <row r="25" spans="1:6" ht="16.5" x14ac:dyDescent="0.25">
      <c r="A25" s="306"/>
      <c r="B25" s="307"/>
      <c r="C25" s="307"/>
      <c r="D25" s="307"/>
      <c r="E25" s="307"/>
      <c r="F25" s="308"/>
    </row>
  </sheetData>
  <mergeCells count="24"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95"/>
  <sheetViews>
    <sheetView topLeftCell="A40" workbookViewId="0">
      <selection activeCell="I1" sqref="I1:I51"/>
    </sheetView>
  </sheetViews>
  <sheetFormatPr baseColWidth="10" defaultRowHeight="15" x14ac:dyDescent="0.25"/>
  <cols>
    <col min="1" max="1" width="15.5703125" bestFit="1" customWidth="1"/>
    <col min="9" max="9" width="34.85546875" bestFit="1" customWidth="1"/>
    <col min="10" max="10" width="28.28515625" customWidth="1"/>
  </cols>
  <sheetData>
    <row r="1" spans="1:10" x14ac:dyDescent="0.25">
      <c r="A1" s="141" t="s">
        <v>889</v>
      </c>
      <c r="I1" t="s">
        <v>889</v>
      </c>
    </row>
    <row r="2" spans="1:10" x14ac:dyDescent="0.25">
      <c r="A2">
        <v>1130</v>
      </c>
      <c r="I2" t="s">
        <v>1005</v>
      </c>
      <c r="J2">
        <v>2100</v>
      </c>
    </row>
    <row r="3" spans="1:10" x14ac:dyDescent="0.25">
      <c r="A3">
        <v>1310</v>
      </c>
      <c r="I3" t="s">
        <v>1006</v>
      </c>
      <c r="J3">
        <v>2110</v>
      </c>
    </row>
    <row r="4" spans="1:10" x14ac:dyDescent="0.25">
      <c r="A4">
        <v>1320</v>
      </c>
      <c r="I4" t="s">
        <v>1007</v>
      </c>
      <c r="J4">
        <v>2120</v>
      </c>
    </row>
    <row r="5" spans="1:10" x14ac:dyDescent="0.25">
      <c r="A5">
        <v>1340</v>
      </c>
      <c r="I5" t="s">
        <v>1008</v>
      </c>
      <c r="J5">
        <v>2130</v>
      </c>
    </row>
    <row r="6" spans="1:10" x14ac:dyDescent="0.25">
      <c r="A6">
        <v>1410</v>
      </c>
      <c r="I6" t="s">
        <v>1009</v>
      </c>
      <c r="J6">
        <v>2140</v>
      </c>
    </row>
    <row r="7" spans="1:10" x14ac:dyDescent="0.25">
      <c r="A7">
        <v>1440</v>
      </c>
      <c r="I7" t="s">
        <v>1010</v>
      </c>
      <c r="J7">
        <v>2150</v>
      </c>
    </row>
    <row r="8" spans="1:10" x14ac:dyDescent="0.25">
      <c r="A8">
        <v>1540</v>
      </c>
      <c r="I8" t="s">
        <v>1011</v>
      </c>
      <c r="J8">
        <v>2160</v>
      </c>
    </row>
    <row r="9" spans="1:10" x14ac:dyDescent="0.25">
      <c r="A9">
        <v>1550</v>
      </c>
      <c r="I9" t="s">
        <v>1012</v>
      </c>
      <c r="J9">
        <v>2180</v>
      </c>
    </row>
    <row r="10" spans="1:10" x14ac:dyDescent="0.25">
      <c r="A10">
        <v>1590</v>
      </c>
      <c r="I10" t="s">
        <v>1013</v>
      </c>
      <c r="J10">
        <v>2200</v>
      </c>
    </row>
    <row r="11" spans="1:10" x14ac:dyDescent="0.25">
      <c r="A11">
        <v>1710</v>
      </c>
      <c r="I11" t="s">
        <v>891</v>
      </c>
      <c r="J11">
        <v>2210</v>
      </c>
    </row>
    <row r="12" spans="1:10" x14ac:dyDescent="0.25">
      <c r="A12">
        <v>2210</v>
      </c>
      <c r="I12" t="s">
        <v>892</v>
      </c>
      <c r="J12">
        <v>2220</v>
      </c>
    </row>
    <row r="13" spans="1:10" x14ac:dyDescent="0.25">
      <c r="A13">
        <v>2610</v>
      </c>
      <c r="I13" t="s">
        <v>1014</v>
      </c>
      <c r="J13">
        <v>2230</v>
      </c>
    </row>
    <row r="14" spans="1:10" x14ac:dyDescent="0.25">
      <c r="A14" s="142">
        <v>2940</v>
      </c>
      <c r="I14" t="s">
        <v>1015</v>
      </c>
      <c r="J14">
        <v>2300</v>
      </c>
    </row>
    <row r="15" spans="1:10" x14ac:dyDescent="0.25">
      <c r="A15">
        <v>3450</v>
      </c>
      <c r="I15" t="s">
        <v>1016</v>
      </c>
      <c r="J15">
        <v>2310</v>
      </c>
    </row>
    <row r="16" spans="1:10" x14ac:dyDescent="0.25">
      <c r="A16">
        <v>3510</v>
      </c>
      <c r="I16" t="s">
        <v>1017</v>
      </c>
      <c r="J16">
        <v>2320</v>
      </c>
    </row>
    <row r="17" spans="1:10" x14ac:dyDescent="0.25">
      <c r="A17">
        <v>3530</v>
      </c>
      <c r="I17" t="s">
        <v>1018</v>
      </c>
      <c r="J17">
        <v>2330</v>
      </c>
    </row>
    <row r="18" spans="1:10" x14ac:dyDescent="0.25">
      <c r="A18">
        <v>3550</v>
      </c>
      <c r="I18" t="s">
        <v>1019</v>
      </c>
      <c r="J18">
        <v>2340</v>
      </c>
    </row>
    <row r="19" spans="1:10" x14ac:dyDescent="0.25">
      <c r="A19">
        <v>3570</v>
      </c>
      <c r="I19" t="s">
        <v>1020</v>
      </c>
      <c r="J19">
        <v>2350</v>
      </c>
    </row>
    <row r="20" spans="1:10" x14ac:dyDescent="0.25">
      <c r="A20">
        <v>3720</v>
      </c>
      <c r="I20" t="s">
        <v>1021</v>
      </c>
      <c r="J20">
        <v>2360</v>
      </c>
    </row>
    <row r="21" spans="1:10" x14ac:dyDescent="0.25">
      <c r="A21">
        <v>3750</v>
      </c>
      <c r="I21" t="s">
        <v>1022</v>
      </c>
      <c r="J21">
        <v>2370</v>
      </c>
    </row>
    <row r="22" spans="1:10" x14ac:dyDescent="0.25">
      <c r="A22">
        <v>3790</v>
      </c>
      <c r="I22" t="s">
        <v>900</v>
      </c>
      <c r="J22">
        <v>2380</v>
      </c>
    </row>
    <row r="23" spans="1:10" x14ac:dyDescent="0.25">
      <c r="A23">
        <v>3850</v>
      </c>
      <c r="I23" t="s">
        <v>903</v>
      </c>
      <c r="J23">
        <v>2390</v>
      </c>
    </row>
    <row r="24" spans="1:10" x14ac:dyDescent="0.25">
      <c r="A24">
        <v>3980</v>
      </c>
      <c r="I24" t="s">
        <v>904</v>
      </c>
      <c r="J24">
        <v>2400</v>
      </c>
    </row>
    <row r="25" spans="1:10" x14ac:dyDescent="0.25">
      <c r="I25" t="s">
        <v>1023</v>
      </c>
      <c r="J25">
        <v>2410</v>
      </c>
    </row>
    <row r="26" spans="1:10" x14ac:dyDescent="0.25">
      <c r="A26" s="141" t="s">
        <v>913</v>
      </c>
      <c r="I26" t="s">
        <v>1024</v>
      </c>
      <c r="J26">
        <v>2420</v>
      </c>
    </row>
    <row r="27" spans="1:10" x14ac:dyDescent="0.25">
      <c r="A27">
        <v>1130</v>
      </c>
      <c r="I27" t="s">
        <v>1025</v>
      </c>
      <c r="J27">
        <v>2430</v>
      </c>
    </row>
    <row r="28" spans="1:10" x14ac:dyDescent="0.25">
      <c r="A28">
        <v>1210</v>
      </c>
      <c r="I28" t="s">
        <v>1026</v>
      </c>
      <c r="J28">
        <v>2440</v>
      </c>
    </row>
    <row r="29" spans="1:10" x14ac:dyDescent="0.25">
      <c r="A29">
        <v>1310</v>
      </c>
      <c r="I29" t="s">
        <v>906</v>
      </c>
      <c r="J29">
        <v>2450</v>
      </c>
    </row>
    <row r="30" spans="1:10" x14ac:dyDescent="0.25">
      <c r="A30">
        <v>1320</v>
      </c>
      <c r="I30" t="s">
        <v>1027</v>
      </c>
      <c r="J30">
        <v>2460</v>
      </c>
    </row>
    <row r="31" spans="1:10" x14ac:dyDescent="0.25">
      <c r="A31">
        <v>1340</v>
      </c>
      <c r="I31" t="s">
        <v>1028</v>
      </c>
      <c r="J31">
        <v>2470</v>
      </c>
    </row>
    <row r="32" spans="1:10" x14ac:dyDescent="0.25">
      <c r="A32">
        <v>1410</v>
      </c>
      <c r="I32" t="s">
        <v>1029</v>
      </c>
      <c r="J32">
        <v>2480</v>
      </c>
    </row>
    <row r="33" spans="1:10" x14ac:dyDescent="0.25">
      <c r="A33">
        <v>1440</v>
      </c>
      <c r="I33" t="s">
        <v>1030</v>
      </c>
      <c r="J33">
        <v>2490</v>
      </c>
    </row>
    <row r="34" spans="1:10" x14ac:dyDescent="0.25">
      <c r="A34">
        <v>1530</v>
      </c>
      <c r="I34" t="s">
        <v>1031</v>
      </c>
      <c r="J34">
        <v>2500</v>
      </c>
    </row>
    <row r="35" spans="1:10" x14ac:dyDescent="0.25">
      <c r="A35">
        <v>1540</v>
      </c>
      <c r="I35" t="s">
        <v>1032</v>
      </c>
      <c r="J35">
        <v>2510</v>
      </c>
    </row>
    <row r="36" spans="1:10" x14ac:dyDescent="0.25">
      <c r="A36">
        <v>1550</v>
      </c>
      <c r="I36" t="s">
        <v>1033</v>
      </c>
      <c r="J36">
        <v>2520</v>
      </c>
    </row>
    <row r="37" spans="1:10" x14ac:dyDescent="0.25">
      <c r="A37">
        <v>1590</v>
      </c>
      <c r="I37" t="s">
        <v>908</v>
      </c>
      <c r="J37">
        <v>2530</v>
      </c>
    </row>
    <row r="38" spans="1:10" x14ac:dyDescent="0.25">
      <c r="A38">
        <v>1710</v>
      </c>
      <c r="I38" t="s">
        <v>1034</v>
      </c>
      <c r="J38">
        <v>2540</v>
      </c>
    </row>
    <row r="39" spans="1:10" x14ac:dyDescent="0.25">
      <c r="A39">
        <v>2210</v>
      </c>
      <c r="I39" t="s">
        <v>1035</v>
      </c>
      <c r="J39">
        <v>2550</v>
      </c>
    </row>
    <row r="40" spans="1:10" x14ac:dyDescent="0.25">
      <c r="A40">
        <v>2610</v>
      </c>
      <c r="I40" t="s">
        <v>1036</v>
      </c>
      <c r="J40">
        <v>2560</v>
      </c>
    </row>
    <row r="41" spans="1:10" x14ac:dyDescent="0.25">
      <c r="A41" s="142">
        <v>2940</v>
      </c>
      <c r="I41" t="s">
        <v>909</v>
      </c>
      <c r="J41">
        <v>2590</v>
      </c>
    </row>
    <row r="42" spans="1:10" x14ac:dyDescent="0.25">
      <c r="A42">
        <v>3360</v>
      </c>
      <c r="I42" t="s">
        <v>1037</v>
      </c>
      <c r="J42">
        <v>2600</v>
      </c>
    </row>
    <row r="43" spans="1:10" x14ac:dyDescent="0.25">
      <c r="A43">
        <v>3450</v>
      </c>
      <c r="I43" t="s">
        <v>910</v>
      </c>
      <c r="J43">
        <v>2610</v>
      </c>
    </row>
    <row r="44" spans="1:10" x14ac:dyDescent="0.25">
      <c r="A44">
        <v>3530</v>
      </c>
      <c r="I44" t="s">
        <v>1038</v>
      </c>
      <c r="J44">
        <v>2620</v>
      </c>
    </row>
    <row r="45" spans="1:10" x14ac:dyDescent="0.25">
      <c r="A45">
        <v>3550</v>
      </c>
      <c r="I45" t="s">
        <v>1039</v>
      </c>
      <c r="J45">
        <v>2700</v>
      </c>
    </row>
    <row r="46" spans="1:10" x14ac:dyDescent="0.25">
      <c r="A46">
        <v>3570</v>
      </c>
      <c r="I46" t="s">
        <v>1040</v>
      </c>
      <c r="J46">
        <v>2710</v>
      </c>
    </row>
    <row r="47" spans="1:10" x14ac:dyDescent="0.25">
      <c r="A47">
        <v>3612</v>
      </c>
      <c r="I47" t="s">
        <v>1041</v>
      </c>
      <c r="J47">
        <v>2720</v>
      </c>
    </row>
    <row r="48" spans="1:10" x14ac:dyDescent="0.25">
      <c r="A48">
        <v>3710</v>
      </c>
      <c r="I48" t="s">
        <v>1042</v>
      </c>
      <c r="J48">
        <v>2730</v>
      </c>
    </row>
    <row r="49" spans="1:10" x14ac:dyDescent="0.25">
      <c r="A49">
        <v>3720</v>
      </c>
      <c r="I49" t="s">
        <v>1043</v>
      </c>
      <c r="J49">
        <v>2740</v>
      </c>
    </row>
    <row r="50" spans="1:10" x14ac:dyDescent="0.25">
      <c r="A50">
        <v>3750</v>
      </c>
      <c r="I50" t="s">
        <v>1044</v>
      </c>
      <c r="J50">
        <v>2750</v>
      </c>
    </row>
    <row r="51" spans="1:10" x14ac:dyDescent="0.25">
      <c r="A51">
        <v>3760</v>
      </c>
      <c r="I51" t="s">
        <v>1045</v>
      </c>
      <c r="J51">
        <v>2800</v>
      </c>
    </row>
    <row r="52" spans="1:10" x14ac:dyDescent="0.25">
      <c r="A52">
        <v>3790</v>
      </c>
      <c r="J52">
        <v>2810</v>
      </c>
    </row>
    <row r="53" spans="1:10" x14ac:dyDescent="0.25">
      <c r="A53">
        <v>3820</v>
      </c>
      <c r="J53">
        <v>2820</v>
      </c>
    </row>
    <row r="54" spans="1:10" x14ac:dyDescent="0.25">
      <c r="A54">
        <v>3850</v>
      </c>
      <c r="J54">
        <v>2830</v>
      </c>
    </row>
    <row r="55" spans="1:10" x14ac:dyDescent="0.25">
      <c r="A55">
        <v>3980</v>
      </c>
      <c r="I55" s="141"/>
      <c r="J55">
        <v>2900</v>
      </c>
    </row>
    <row r="56" spans="1:10" x14ac:dyDescent="0.25">
      <c r="J56">
        <v>2910</v>
      </c>
    </row>
    <row r="57" spans="1:10" x14ac:dyDescent="0.25">
      <c r="A57" s="141" t="s">
        <v>914</v>
      </c>
      <c r="J57">
        <v>2920</v>
      </c>
    </row>
    <row r="58" spans="1:10" x14ac:dyDescent="0.25">
      <c r="A58">
        <v>1130</v>
      </c>
      <c r="J58">
        <v>2930</v>
      </c>
    </row>
    <row r="59" spans="1:10" x14ac:dyDescent="0.25">
      <c r="A59">
        <v>1310</v>
      </c>
      <c r="J59">
        <v>2940</v>
      </c>
    </row>
    <row r="60" spans="1:10" x14ac:dyDescent="0.25">
      <c r="A60">
        <v>1320</v>
      </c>
      <c r="J60">
        <v>2950</v>
      </c>
    </row>
    <row r="61" spans="1:10" x14ac:dyDescent="0.25">
      <c r="A61">
        <v>1340</v>
      </c>
      <c r="J61">
        <v>2960</v>
      </c>
    </row>
    <row r="62" spans="1:10" x14ac:dyDescent="0.25">
      <c r="A62">
        <v>1410</v>
      </c>
      <c r="J62">
        <v>2970</v>
      </c>
    </row>
    <row r="63" spans="1:10" x14ac:dyDescent="0.25">
      <c r="A63">
        <v>1440</v>
      </c>
      <c r="J63">
        <v>2980</v>
      </c>
    </row>
    <row r="64" spans="1:10" x14ac:dyDescent="0.25">
      <c r="A64">
        <v>1540</v>
      </c>
      <c r="J64">
        <v>2990</v>
      </c>
    </row>
    <row r="65" spans="1:10" x14ac:dyDescent="0.25">
      <c r="A65">
        <v>1550</v>
      </c>
      <c r="J65">
        <v>3000</v>
      </c>
    </row>
    <row r="66" spans="1:10" x14ac:dyDescent="0.25">
      <c r="A66">
        <v>1590</v>
      </c>
      <c r="J66">
        <v>3100</v>
      </c>
    </row>
    <row r="67" spans="1:10" x14ac:dyDescent="0.25">
      <c r="A67">
        <v>1710</v>
      </c>
      <c r="J67">
        <v>3110</v>
      </c>
    </row>
    <row r="68" spans="1:10" x14ac:dyDescent="0.25">
      <c r="A68">
        <v>2140</v>
      </c>
      <c r="J68">
        <v>3120</v>
      </c>
    </row>
    <row r="69" spans="1:10" x14ac:dyDescent="0.25">
      <c r="A69">
        <v>2210</v>
      </c>
      <c r="J69">
        <v>3130</v>
      </c>
    </row>
    <row r="70" spans="1:10" x14ac:dyDescent="0.25">
      <c r="A70">
        <v>2480</v>
      </c>
      <c r="J70">
        <v>3140</v>
      </c>
    </row>
    <row r="71" spans="1:10" x14ac:dyDescent="0.25">
      <c r="A71">
        <v>2490</v>
      </c>
      <c r="J71">
        <v>3150</v>
      </c>
    </row>
    <row r="72" spans="1:10" x14ac:dyDescent="0.25">
      <c r="A72">
        <v>2610</v>
      </c>
      <c r="J72">
        <v>3160</v>
      </c>
    </row>
    <row r="73" spans="1:10" x14ac:dyDescent="0.25">
      <c r="A73" s="142">
        <v>2940</v>
      </c>
      <c r="J73">
        <v>3170</v>
      </c>
    </row>
    <row r="74" spans="1:10" x14ac:dyDescent="0.25">
      <c r="A74">
        <v>3340</v>
      </c>
      <c r="J74">
        <v>3180</v>
      </c>
    </row>
    <row r="75" spans="1:10" x14ac:dyDescent="0.25">
      <c r="A75">
        <v>3360</v>
      </c>
      <c r="J75">
        <v>3190</v>
      </c>
    </row>
    <row r="76" spans="1:10" x14ac:dyDescent="0.25">
      <c r="A76">
        <v>3450</v>
      </c>
      <c r="J76">
        <v>3200</v>
      </c>
    </row>
    <row r="77" spans="1:10" x14ac:dyDescent="0.25">
      <c r="A77">
        <v>3530</v>
      </c>
      <c r="J77">
        <v>3210</v>
      </c>
    </row>
    <row r="78" spans="1:10" x14ac:dyDescent="0.25">
      <c r="A78">
        <v>3550</v>
      </c>
      <c r="J78">
        <v>3220</v>
      </c>
    </row>
    <row r="79" spans="1:10" x14ac:dyDescent="0.25">
      <c r="A79">
        <v>3570</v>
      </c>
      <c r="J79">
        <v>3230</v>
      </c>
    </row>
    <row r="80" spans="1:10" x14ac:dyDescent="0.25">
      <c r="A80">
        <v>3580</v>
      </c>
      <c r="J80">
        <v>3240</v>
      </c>
    </row>
    <row r="81" spans="1:10" x14ac:dyDescent="0.25">
      <c r="A81">
        <v>3720</v>
      </c>
      <c r="J81">
        <v>3250</v>
      </c>
    </row>
    <row r="82" spans="1:10" x14ac:dyDescent="0.25">
      <c r="A82">
        <v>3750</v>
      </c>
      <c r="J82">
        <v>3260</v>
      </c>
    </row>
    <row r="83" spans="1:10" x14ac:dyDescent="0.25">
      <c r="A83">
        <v>3790</v>
      </c>
      <c r="J83">
        <v>3270</v>
      </c>
    </row>
    <row r="84" spans="1:10" x14ac:dyDescent="0.25">
      <c r="A84">
        <v>3850</v>
      </c>
      <c r="J84">
        <v>3280</v>
      </c>
    </row>
    <row r="85" spans="1:10" x14ac:dyDescent="0.25">
      <c r="A85">
        <v>3980</v>
      </c>
      <c r="J85">
        <v>3290</v>
      </c>
    </row>
    <row r="86" spans="1:10" x14ac:dyDescent="0.25">
      <c r="J86">
        <v>3300</v>
      </c>
    </row>
    <row r="87" spans="1:10" x14ac:dyDescent="0.25">
      <c r="A87" s="141" t="s">
        <v>890</v>
      </c>
      <c r="J87">
        <v>3310</v>
      </c>
    </row>
    <row r="88" spans="1:10" x14ac:dyDescent="0.25">
      <c r="A88">
        <v>6120</v>
      </c>
      <c r="J88">
        <v>3320</v>
      </c>
    </row>
    <row r="89" spans="1:10" x14ac:dyDescent="0.25">
      <c r="J89">
        <v>3330</v>
      </c>
    </row>
    <row r="90" spans="1:10" x14ac:dyDescent="0.25">
      <c r="A90" s="141" t="s">
        <v>915</v>
      </c>
      <c r="J90">
        <v>3340</v>
      </c>
    </row>
    <row r="91" spans="1:10" x14ac:dyDescent="0.25">
      <c r="A91">
        <v>6120</v>
      </c>
      <c r="J91">
        <v>3350</v>
      </c>
    </row>
    <row r="92" spans="1:10" x14ac:dyDescent="0.25">
      <c r="A92">
        <v>5150</v>
      </c>
      <c r="J92">
        <v>3360</v>
      </c>
    </row>
    <row r="93" spans="1:10" x14ac:dyDescent="0.25">
      <c r="J93">
        <v>3370</v>
      </c>
    </row>
    <row r="94" spans="1:10" x14ac:dyDescent="0.25">
      <c r="A94" s="141" t="s">
        <v>916</v>
      </c>
      <c r="J94">
        <v>3380</v>
      </c>
    </row>
    <row r="95" spans="1:10" x14ac:dyDescent="0.25">
      <c r="A95">
        <v>6120</v>
      </c>
      <c r="J95">
        <v>3390</v>
      </c>
    </row>
    <row r="96" spans="1:10" x14ac:dyDescent="0.25">
      <c r="J96">
        <v>3400</v>
      </c>
    </row>
    <row r="97" spans="1:10" x14ac:dyDescent="0.25">
      <c r="A97" s="141" t="s">
        <v>917</v>
      </c>
      <c r="J97">
        <v>3410</v>
      </c>
    </row>
    <row r="98" spans="1:10" x14ac:dyDescent="0.25">
      <c r="A98">
        <v>1210</v>
      </c>
      <c r="J98">
        <v>3420</v>
      </c>
    </row>
    <row r="99" spans="1:10" x14ac:dyDescent="0.25">
      <c r="A99">
        <v>2710</v>
      </c>
      <c r="J99">
        <v>3430</v>
      </c>
    </row>
    <row r="100" spans="1:10" x14ac:dyDescent="0.25">
      <c r="A100">
        <v>3250</v>
      </c>
      <c r="J100">
        <v>3440</v>
      </c>
    </row>
    <row r="101" spans="1:10" x14ac:dyDescent="0.25">
      <c r="A101">
        <v>3290</v>
      </c>
      <c r="J101">
        <v>3450</v>
      </c>
    </row>
    <row r="102" spans="1:10" x14ac:dyDescent="0.25">
      <c r="A102">
        <v>3330</v>
      </c>
      <c r="J102">
        <v>3460</v>
      </c>
    </row>
    <row r="103" spans="1:10" x14ac:dyDescent="0.25">
      <c r="A103">
        <v>3360</v>
      </c>
      <c r="J103">
        <v>3470</v>
      </c>
    </row>
    <row r="104" spans="1:10" x14ac:dyDescent="0.25">
      <c r="A104">
        <v>3390</v>
      </c>
      <c r="J104">
        <v>3480</v>
      </c>
    </row>
    <row r="105" spans="1:10" x14ac:dyDescent="0.25">
      <c r="A105">
        <v>3710</v>
      </c>
      <c r="J105">
        <v>3490</v>
      </c>
    </row>
    <row r="106" spans="1:10" x14ac:dyDescent="0.25">
      <c r="A106">
        <v>3720</v>
      </c>
      <c r="J106">
        <v>3500</v>
      </c>
    </row>
    <row r="107" spans="1:10" x14ac:dyDescent="0.25">
      <c r="A107">
        <v>3750</v>
      </c>
      <c r="J107">
        <v>3510</v>
      </c>
    </row>
    <row r="108" spans="1:10" x14ac:dyDescent="0.25">
      <c r="A108">
        <v>3760</v>
      </c>
      <c r="J108">
        <v>3520</v>
      </c>
    </row>
    <row r="109" spans="1:10" x14ac:dyDescent="0.25">
      <c r="A109">
        <v>3980</v>
      </c>
      <c r="J109">
        <v>3530</v>
      </c>
    </row>
    <row r="110" spans="1:10" x14ac:dyDescent="0.25">
      <c r="J110">
        <v>3540</v>
      </c>
    </row>
    <row r="111" spans="1:10" x14ac:dyDescent="0.25">
      <c r="A111" s="141" t="s">
        <v>920</v>
      </c>
      <c r="J111">
        <v>3550</v>
      </c>
    </row>
    <row r="112" spans="1:10" x14ac:dyDescent="0.25">
      <c r="A112">
        <v>4211</v>
      </c>
      <c r="J112">
        <v>3560</v>
      </c>
    </row>
    <row r="113" spans="1:10" x14ac:dyDescent="0.25">
      <c r="A113">
        <v>5150</v>
      </c>
      <c r="J113">
        <v>3570</v>
      </c>
    </row>
    <row r="114" spans="1:10" x14ac:dyDescent="0.25">
      <c r="J114">
        <v>3580</v>
      </c>
    </row>
    <row r="115" spans="1:10" x14ac:dyDescent="0.25">
      <c r="A115" s="141" t="s">
        <v>921</v>
      </c>
      <c r="J115">
        <v>3590</v>
      </c>
    </row>
    <row r="116" spans="1:10" x14ac:dyDescent="0.25">
      <c r="A116">
        <v>1210</v>
      </c>
      <c r="J116">
        <v>3600</v>
      </c>
    </row>
    <row r="117" spans="1:10" x14ac:dyDescent="0.25">
      <c r="A117">
        <v>3390</v>
      </c>
      <c r="J117">
        <v>3611</v>
      </c>
    </row>
    <row r="118" spans="1:10" x14ac:dyDescent="0.25">
      <c r="A118">
        <v>3720</v>
      </c>
      <c r="J118">
        <v>3612</v>
      </c>
    </row>
    <row r="119" spans="1:10" x14ac:dyDescent="0.25">
      <c r="A119">
        <v>3750</v>
      </c>
      <c r="J119">
        <v>3620</v>
      </c>
    </row>
    <row r="120" spans="1:10" x14ac:dyDescent="0.25">
      <c r="A120">
        <v>3790</v>
      </c>
      <c r="J120">
        <v>3630</v>
      </c>
    </row>
    <row r="121" spans="1:10" x14ac:dyDescent="0.25">
      <c r="A121">
        <v>3850</v>
      </c>
      <c r="J121">
        <v>3640</v>
      </c>
    </row>
    <row r="122" spans="1:10" x14ac:dyDescent="0.25">
      <c r="A122">
        <v>3980</v>
      </c>
      <c r="J122">
        <v>3650</v>
      </c>
    </row>
    <row r="123" spans="1:10" x14ac:dyDescent="0.25">
      <c r="J123">
        <v>3660</v>
      </c>
    </row>
    <row r="124" spans="1:10" x14ac:dyDescent="0.25">
      <c r="A124" s="141" t="s">
        <v>922</v>
      </c>
      <c r="J124">
        <v>3690</v>
      </c>
    </row>
    <row r="125" spans="1:10" x14ac:dyDescent="0.25">
      <c r="A125">
        <v>3390</v>
      </c>
      <c r="J125">
        <v>3700</v>
      </c>
    </row>
    <row r="126" spans="1:10" x14ac:dyDescent="0.25">
      <c r="J126">
        <v>3710</v>
      </c>
    </row>
    <row r="127" spans="1:10" x14ac:dyDescent="0.25">
      <c r="A127" s="141" t="s">
        <v>918</v>
      </c>
      <c r="J127">
        <v>3720</v>
      </c>
    </row>
    <row r="128" spans="1:10" x14ac:dyDescent="0.25">
      <c r="A128">
        <v>1210</v>
      </c>
      <c r="J128">
        <v>3730</v>
      </c>
    </row>
    <row r="129" spans="1:10" x14ac:dyDescent="0.25">
      <c r="A129">
        <v>3390</v>
      </c>
      <c r="J129">
        <v>3740</v>
      </c>
    </row>
    <row r="130" spans="1:10" x14ac:dyDescent="0.25">
      <c r="A130">
        <v>3790</v>
      </c>
      <c r="J130">
        <v>3750</v>
      </c>
    </row>
    <row r="131" spans="1:10" x14ac:dyDescent="0.25">
      <c r="A131">
        <v>3850</v>
      </c>
      <c r="J131">
        <v>3760</v>
      </c>
    </row>
    <row r="132" spans="1:10" x14ac:dyDescent="0.25">
      <c r="A132">
        <v>3980</v>
      </c>
      <c r="J132">
        <v>3770</v>
      </c>
    </row>
    <row r="133" spans="1:10" x14ac:dyDescent="0.25">
      <c r="A133">
        <v>5150</v>
      </c>
      <c r="J133">
        <v>3780</v>
      </c>
    </row>
    <row r="134" spans="1:10" x14ac:dyDescent="0.25">
      <c r="J134">
        <v>3790</v>
      </c>
    </row>
    <row r="135" spans="1:10" x14ac:dyDescent="0.25">
      <c r="A135" s="141" t="s">
        <v>919</v>
      </c>
      <c r="J135">
        <v>3800</v>
      </c>
    </row>
    <row r="136" spans="1:10" x14ac:dyDescent="0.25">
      <c r="A136">
        <v>1210</v>
      </c>
      <c r="J136">
        <v>3810</v>
      </c>
    </row>
    <row r="137" spans="1:10" x14ac:dyDescent="0.25">
      <c r="A137">
        <v>3390</v>
      </c>
      <c r="J137">
        <v>3820</v>
      </c>
    </row>
    <row r="138" spans="1:10" x14ac:dyDescent="0.25">
      <c r="A138">
        <v>3710</v>
      </c>
      <c r="J138">
        <v>3830</v>
      </c>
    </row>
    <row r="139" spans="1:10" x14ac:dyDescent="0.25">
      <c r="A139">
        <v>3760</v>
      </c>
      <c r="J139">
        <v>3840</v>
      </c>
    </row>
    <row r="140" spans="1:10" x14ac:dyDescent="0.25">
      <c r="A140">
        <v>3790</v>
      </c>
      <c r="J140">
        <v>3850</v>
      </c>
    </row>
    <row r="141" spans="1:10" x14ac:dyDescent="0.25">
      <c r="A141">
        <v>3980</v>
      </c>
      <c r="J141">
        <v>3900</v>
      </c>
    </row>
    <row r="142" spans="1:10" x14ac:dyDescent="0.25">
      <c r="A142">
        <v>3990</v>
      </c>
      <c r="J142">
        <v>3910</v>
      </c>
    </row>
    <row r="143" spans="1:10" x14ac:dyDescent="0.25">
      <c r="A143">
        <v>4450</v>
      </c>
      <c r="J143">
        <v>3920</v>
      </c>
    </row>
    <row r="144" spans="1:10" x14ac:dyDescent="0.25">
      <c r="A144">
        <v>5150</v>
      </c>
      <c r="J144">
        <v>3930</v>
      </c>
    </row>
    <row r="145" spans="1:10" x14ac:dyDescent="0.25">
      <c r="J145">
        <v>3940</v>
      </c>
    </row>
    <row r="146" spans="1:10" x14ac:dyDescent="0.25">
      <c r="A146" s="141" t="s">
        <v>891</v>
      </c>
      <c r="J146">
        <v>3950</v>
      </c>
    </row>
    <row r="147" spans="1:10" x14ac:dyDescent="0.25">
      <c r="A147">
        <v>1210</v>
      </c>
      <c r="J147">
        <v>3960</v>
      </c>
    </row>
    <row r="148" spans="1:10" x14ac:dyDescent="0.25">
      <c r="A148">
        <v>3390</v>
      </c>
      <c r="J148">
        <v>3980</v>
      </c>
    </row>
    <row r="149" spans="1:10" x14ac:dyDescent="0.25">
      <c r="A149">
        <v>3720</v>
      </c>
      <c r="J149">
        <v>3990</v>
      </c>
    </row>
    <row r="150" spans="1:10" x14ac:dyDescent="0.25">
      <c r="A150">
        <v>3750</v>
      </c>
      <c r="J150">
        <v>4000</v>
      </c>
    </row>
    <row r="151" spans="1:10" x14ac:dyDescent="0.25">
      <c r="A151">
        <v>3790</v>
      </c>
      <c r="J151">
        <v>4100</v>
      </c>
    </row>
    <row r="152" spans="1:10" x14ac:dyDescent="0.25">
      <c r="A152">
        <v>3980</v>
      </c>
      <c r="J152">
        <v>4111</v>
      </c>
    </row>
    <row r="153" spans="1:10" x14ac:dyDescent="0.25">
      <c r="A153">
        <v>4330</v>
      </c>
      <c r="J153">
        <v>4112</v>
      </c>
    </row>
    <row r="154" spans="1:10" x14ac:dyDescent="0.25">
      <c r="J154">
        <v>4113</v>
      </c>
    </row>
    <row r="155" spans="1:10" x14ac:dyDescent="0.25">
      <c r="A155" s="141" t="s">
        <v>892</v>
      </c>
      <c r="J155">
        <v>4114</v>
      </c>
    </row>
    <row r="156" spans="1:10" x14ac:dyDescent="0.25">
      <c r="A156">
        <v>3390</v>
      </c>
      <c r="J156">
        <v>4115</v>
      </c>
    </row>
    <row r="157" spans="1:10" x14ac:dyDescent="0.25">
      <c r="J157">
        <v>4116</v>
      </c>
    </row>
    <row r="158" spans="1:10" x14ac:dyDescent="0.25">
      <c r="A158" s="141" t="s">
        <v>893</v>
      </c>
      <c r="J158">
        <v>4117</v>
      </c>
    </row>
    <row r="159" spans="1:10" x14ac:dyDescent="0.25">
      <c r="A159">
        <v>4211</v>
      </c>
      <c r="J159">
        <v>4118</v>
      </c>
    </row>
    <row r="160" spans="1:10" x14ac:dyDescent="0.25">
      <c r="A160">
        <v>5150</v>
      </c>
      <c r="J160">
        <v>4119</v>
      </c>
    </row>
    <row r="161" spans="1:10" x14ac:dyDescent="0.25">
      <c r="J161">
        <v>4121</v>
      </c>
    </row>
    <row r="162" spans="1:10" x14ac:dyDescent="0.25">
      <c r="A162" s="141" t="s">
        <v>923</v>
      </c>
      <c r="J162">
        <v>4122</v>
      </c>
    </row>
    <row r="163" spans="1:10" x14ac:dyDescent="0.25">
      <c r="A163">
        <v>4242</v>
      </c>
      <c r="J163">
        <v>4123</v>
      </c>
    </row>
    <row r="164" spans="1:10" x14ac:dyDescent="0.25">
      <c r="J164">
        <v>4124</v>
      </c>
    </row>
    <row r="165" spans="1:10" x14ac:dyDescent="0.25">
      <c r="A165" s="141" t="s">
        <v>894</v>
      </c>
      <c r="J165">
        <v>4125</v>
      </c>
    </row>
    <row r="166" spans="1:10" x14ac:dyDescent="0.25">
      <c r="A166">
        <v>4242</v>
      </c>
      <c r="J166">
        <v>4126</v>
      </c>
    </row>
    <row r="167" spans="1:10" x14ac:dyDescent="0.25">
      <c r="J167">
        <v>4127</v>
      </c>
    </row>
    <row r="168" spans="1:10" x14ac:dyDescent="0.25">
      <c r="A168" s="141" t="s">
        <v>924</v>
      </c>
      <c r="J168">
        <v>4128</v>
      </c>
    </row>
    <row r="169" spans="1:10" x14ac:dyDescent="0.25">
      <c r="A169">
        <v>4242</v>
      </c>
      <c r="J169">
        <v>4129</v>
      </c>
    </row>
    <row r="170" spans="1:10" x14ac:dyDescent="0.25">
      <c r="J170">
        <v>4131</v>
      </c>
    </row>
    <row r="171" spans="1:10" x14ac:dyDescent="0.25">
      <c r="A171" s="141" t="s">
        <v>895</v>
      </c>
      <c r="J171">
        <v>4132</v>
      </c>
    </row>
    <row r="172" spans="1:10" x14ac:dyDescent="0.25">
      <c r="A172">
        <v>4450</v>
      </c>
      <c r="J172">
        <v>4133</v>
      </c>
    </row>
    <row r="173" spans="1:10" x14ac:dyDescent="0.25">
      <c r="J173">
        <v>4134</v>
      </c>
    </row>
    <row r="174" spans="1:10" x14ac:dyDescent="0.25">
      <c r="A174" s="141" t="s">
        <v>925</v>
      </c>
      <c r="J174">
        <v>4135</v>
      </c>
    </row>
    <row r="175" spans="1:10" x14ac:dyDescent="0.25">
      <c r="A175">
        <v>1210</v>
      </c>
      <c r="J175">
        <v>4136</v>
      </c>
    </row>
    <row r="176" spans="1:10" x14ac:dyDescent="0.25">
      <c r="A176">
        <v>3290</v>
      </c>
      <c r="J176">
        <v>4137</v>
      </c>
    </row>
    <row r="177" spans="1:10" x14ac:dyDescent="0.25">
      <c r="A177">
        <v>3390</v>
      </c>
      <c r="J177">
        <v>4138</v>
      </c>
    </row>
    <row r="178" spans="1:10" x14ac:dyDescent="0.25">
      <c r="A178">
        <v>3720</v>
      </c>
      <c r="J178">
        <v>4139</v>
      </c>
    </row>
    <row r="179" spans="1:10" x14ac:dyDescent="0.25">
      <c r="A179">
        <v>3750</v>
      </c>
      <c r="J179">
        <v>4141</v>
      </c>
    </row>
    <row r="180" spans="1:10" x14ac:dyDescent="0.25">
      <c r="A180">
        <v>3980</v>
      </c>
      <c r="J180">
        <v>4142</v>
      </c>
    </row>
    <row r="181" spans="1:10" x14ac:dyDescent="0.25">
      <c r="A181">
        <v>5150</v>
      </c>
      <c r="J181">
        <v>4143</v>
      </c>
    </row>
    <row r="182" spans="1:10" x14ac:dyDescent="0.25">
      <c r="J182">
        <v>4144</v>
      </c>
    </row>
    <row r="183" spans="1:10" x14ac:dyDescent="0.25">
      <c r="A183" s="141" t="s">
        <v>926</v>
      </c>
      <c r="J183">
        <v>4145</v>
      </c>
    </row>
    <row r="184" spans="1:10" x14ac:dyDescent="0.25">
      <c r="A184">
        <v>3390</v>
      </c>
      <c r="J184">
        <v>4146</v>
      </c>
    </row>
    <row r="185" spans="1:10" x14ac:dyDescent="0.25">
      <c r="A185">
        <v>3710</v>
      </c>
      <c r="J185">
        <v>4147</v>
      </c>
    </row>
    <row r="186" spans="1:10" x14ac:dyDescent="0.25">
      <c r="A186">
        <v>3720</v>
      </c>
      <c r="J186">
        <v>4148</v>
      </c>
    </row>
    <row r="187" spans="1:10" x14ac:dyDescent="0.25">
      <c r="A187">
        <v>3750</v>
      </c>
      <c r="J187">
        <v>4149</v>
      </c>
    </row>
    <row r="188" spans="1:10" x14ac:dyDescent="0.25">
      <c r="A188">
        <v>3760</v>
      </c>
      <c r="J188">
        <v>4151</v>
      </c>
    </row>
    <row r="189" spans="1:10" x14ac:dyDescent="0.25">
      <c r="A189">
        <v>3790</v>
      </c>
      <c r="J189">
        <v>4152</v>
      </c>
    </row>
    <row r="190" spans="1:10" x14ac:dyDescent="0.25">
      <c r="A190">
        <v>3830</v>
      </c>
      <c r="J190">
        <v>4153</v>
      </c>
    </row>
    <row r="191" spans="1:10" x14ac:dyDescent="0.25">
      <c r="A191">
        <v>3840</v>
      </c>
      <c r="J191">
        <v>4154</v>
      </c>
    </row>
    <row r="192" spans="1:10" x14ac:dyDescent="0.25">
      <c r="J192">
        <v>4155</v>
      </c>
    </row>
    <row r="193" spans="1:10" x14ac:dyDescent="0.25">
      <c r="A193" s="141" t="s">
        <v>896</v>
      </c>
      <c r="J193">
        <v>4156</v>
      </c>
    </row>
    <row r="194" spans="1:10" x14ac:dyDescent="0.25">
      <c r="A194">
        <v>1210</v>
      </c>
      <c r="J194">
        <v>4157</v>
      </c>
    </row>
    <row r="195" spans="1:10" x14ac:dyDescent="0.25">
      <c r="A195">
        <v>3390</v>
      </c>
      <c r="J195">
        <v>4158</v>
      </c>
    </row>
    <row r="196" spans="1:10" x14ac:dyDescent="0.25">
      <c r="A196">
        <v>3980</v>
      </c>
      <c r="J196">
        <v>4159</v>
      </c>
    </row>
    <row r="197" spans="1:10" x14ac:dyDescent="0.25">
      <c r="J197">
        <v>4161</v>
      </c>
    </row>
    <row r="198" spans="1:10" x14ac:dyDescent="0.25">
      <c r="A198" s="141" t="s">
        <v>927</v>
      </c>
      <c r="J198">
        <v>4162</v>
      </c>
    </row>
    <row r="199" spans="1:10" x14ac:dyDescent="0.25">
      <c r="A199">
        <v>1210</v>
      </c>
      <c r="J199">
        <v>4163</v>
      </c>
    </row>
    <row r="200" spans="1:10" x14ac:dyDescent="0.25">
      <c r="A200">
        <v>3570</v>
      </c>
      <c r="J200">
        <v>4164</v>
      </c>
    </row>
    <row r="201" spans="1:10" x14ac:dyDescent="0.25">
      <c r="A201">
        <v>3611</v>
      </c>
      <c r="J201">
        <v>4165</v>
      </c>
    </row>
    <row r="202" spans="1:10" x14ac:dyDescent="0.25">
      <c r="A202">
        <v>3612</v>
      </c>
      <c r="J202">
        <v>4166</v>
      </c>
    </row>
    <row r="203" spans="1:10" x14ac:dyDescent="0.25">
      <c r="A203">
        <v>3630</v>
      </c>
      <c r="J203">
        <v>4167</v>
      </c>
    </row>
    <row r="204" spans="1:10" x14ac:dyDescent="0.25">
      <c r="A204">
        <v>3650</v>
      </c>
      <c r="J204">
        <v>4168</v>
      </c>
    </row>
    <row r="205" spans="1:10" x14ac:dyDescent="0.25">
      <c r="A205">
        <v>3660</v>
      </c>
      <c r="J205">
        <v>4169</v>
      </c>
    </row>
    <row r="206" spans="1:10" x14ac:dyDescent="0.25">
      <c r="A206">
        <v>3750</v>
      </c>
      <c r="J206">
        <v>4170</v>
      </c>
    </row>
    <row r="207" spans="1:10" x14ac:dyDescent="0.25">
      <c r="A207">
        <v>3980</v>
      </c>
      <c r="J207">
        <v>4180</v>
      </c>
    </row>
    <row r="208" spans="1:10" x14ac:dyDescent="0.25">
      <c r="A208">
        <v>5150</v>
      </c>
      <c r="J208">
        <v>4190</v>
      </c>
    </row>
    <row r="209" spans="1:10" x14ac:dyDescent="0.25">
      <c r="J209">
        <v>4200</v>
      </c>
    </row>
    <row r="210" spans="1:10" x14ac:dyDescent="0.25">
      <c r="A210" s="141" t="s">
        <v>928</v>
      </c>
      <c r="J210">
        <v>4211</v>
      </c>
    </row>
    <row r="211" spans="1:10" x14ac:dyDescent="0.25">
      <c r="A211">
        <v>3612</v>
      </c>
      <c r="J211">
        <v>4212</v>
      </c>
    </row>
    <row r="212" spans="1:10" x14ac:dyDescent="0.25">
      <c r="A212">
        <v>3660</v>
      </c>
      <c r="J212">
        <v>4221</v>
      </c>
    </row>
    <row r="213" spans="1:10" x14ac:dyDescent="0.25">
      <c r="J213">
        <v>4222</v>
      </c>
    </row>
    <row r="214" spans="1:10" x14ac:dyDescent="0.25">
      <c r="A214" s="141" t="s">
        <v>897</v>
      </c>
      <c r="J214">
        <v>4230</v>
      </c>
    </row>
    <row r="215" spans="1:10" x14ac:dyDescent="0.25">
      <c r="A215">
        <v>3390</v>
      </c>
      <c r="J215">
        <v>4241</v>
      </c>
    </row>
    <row r="216" spans="1:10" x14ac:dyDescent="0.25">
      <c r="A216">
        <v>3720</v>
      </c>
      <c r="J216">
        <v>4242</v>
      </c>
    </row>
    <row r="217" spans="1:10" x14ac:dyDescent="0.25">
      <c r="A217">
        <v>3750</v>
      </c>
      <c r="J217">
        <v>4250</v>
      </c>
    </row>
    <row r="218" spans="1:10" x14ac:dyDescent="0.25">
      <c r="A218">
        <v>3790</v>
      </c>
      <c r="J218">
        <v>4300</v>
      </c>
    </row>
    <row r="219" spans="1:10" x14ac:dyDescent="0.25">
      <c r="J219">
        <v>4310</v>
      </c>
    </row>
    <row r="220" spans="1:10" x14ac:dyDescent="0.25">
      <c r="A220" s="141" t="s">
        <v>898</v>
      </c>
      <c r="J220">
        <v>4320</v>
      </c>
    </row>
    <row r="221" spans="1:10" x14ac:dyDescent="0.25">
      <c r="A221">
        <v>3390</v>
      </c>
      <c r="J221">
        <v>4330</v>
      </c>
    </row>
    <row r="222" spans="1:10" x14ac:dyDescent="0.25">
      <c r="J222">
        <v>4340</v>
      </c>
    </row>
    <row r="223" spans="1:10" x14ac:dyDescent="0.25">
      <c r="A223" s="141" t="s">
        <v>899</v>
      </c>
      <c r="J223">
        <v>4350</v>
      </c>
    </row>
    <row r="224" spans="1:10" x14ac:dyDescent="0.25">
      <c r="A224">
        <v>3390</v>
      </c>
      <c r="J224">
        <v>4360</v>
      </c>
    </row>
    <row r="225" spans="1:10" x14ac:dyDescent="0.25">
      <c r="J225">
        <v>4370</v>
      </c>
    </row>
    <row r="226" spans="1:10" x14ac:dyDescent="0.25">
      <c r="A226" s="141" t="s">
        <v>900</v>
      </c>
      <c r="J226">
        <v>4400</v>
      </c>
    </row>
    <row r="227" spans="1:10" x14ac:dyDescent="0.25">
      <c r="A227">
        <v>1210</v>
      </c>
      <c r="J227">
        <v>4410</v>
      </c>
    </row>
    <row r="228" spans="1:10" x14ac:dyDescent="0.25">
      <c r="A228">
        <v>3720</v>
      </c>
      <c r="J228">
        <v>4420</v>
      </c>
    </row>
    <row r="229" spans="1:10" x14ac:dyDescent="0.25">
      <c r="A229">
        <v>3750</v>
      </c>
      <c r="J229">
        <v>4430</v>
      </c>
    </row>
    <row r="230" spans="1:10" x14ac:dyDescent="0.25">
      <c r="A230">
        <v>3980</v>
      </c>
      <c r="J230">
        <v>4440</v>
      </c>
    </row>
    <row r="231" spans="1:10" x14ac:dyDescent="0.25">
      <c r="A231">
        <v>4242</v>
      </c>
      <c r="J231">
        <v>4450</v>
      </c>
    </row>
    <row r="232" spans="1:10" x14ac:dyDescent="0.25">
      <c r="A232">
        <v>4330</v>
      </c>
      <c r="J232">
        <v>4460</v>
      </c>
    </row>
    <row r="233" spans="1:10" x14ac:dyDescent="0.25">
      <c r="A233">
        <v>4450</v>
      </c>
      <c r="J233">
        <v>4470</v>
      </c>
    </row>
    <row r="234" spans="1:10" x14ac:dyDescent="0.25">
      <c r="A234">
        <v>5150</v>
      </c>
      <c r="J234">
        <v>4480</v>
      </c>
    </row>
    <row r="235" spans="1:10" x14ac:dyDescent="0.25">
      <c r="J235">
        <v>4500</v>
      </c>
    </row>
    <row r="236" spans="1:10" x14ac:dyDescent="0.25">
      <c r="A236" s="141" t="s">
        <v>901</v>
      </c>
      <c r="J236">
        <v>4510</v>
      </c>
    </row>
    <row r="237" spans="1:10" x14ac:dyDescent="0.25">
      <c r="A237">
        <v>3390</v>
      </c>
      <c r="J237">
        <v>4520</v>
      </c>
    </row>
    <row r="238" spans="1:10" x14ac:dyDescent="0.25">
      <c r="A238">
        <v>3710</v>
      </c>
      <c r="J238">
        <v>4590</v>
      </c>
    </row>
    <row r="239" spans="1:10" x14ac:dyDescent="0.25">
      <c r="A239">
        <v>3760</v>
      </c>
      <c r="J239">
        <v>4600</v>
      </c>
    </row>
    <row r="240" spans="1:10" x14ac:dyDescent="0.25">
      <c r="A240">
        <v>3790</v>
      </c>
      <c r="J240">
        <v>4610</v>
      </c>
    </row>
    <row r="241" spans="1:10" x14ac:dyDescent="0.25">
      <c r="J241">
        <v>4620</v>
      </c>
    </row>
    <row r="242" spans="1:10" x14ac:dyDescent="0.25">
      <c r="A242" s="141" t="s">
        <v>902</v>
      </c>
      <c r="J242">
        <v>4630</v>
      </c>
    </row>
    <row r="243" spans="1:10" x14ac:dyDescent="0.25">
      <c r="A243">
        <v>4450</v>
      </c>
      <c r="J243">
        <v>4640</v>
      </c>
    </row>
    <row r="244" spans="1:10" x14ac:dyDescent="0.25">
      <c r="J244">
        <v>4650</v>
      </c>
    </row>
    <row r="245" spans="1:10" x14ac:dyDescent="0.25">
      <c r="A245" s="141" t="s">
        <v>903</v>
      </c>
      <c r="J245">
        <v>4660</v>
      </c>
    </row>
    <row r="246" spans="1:10" x14ac:dyDescent="0.25">
      <c r="A246">
        <v>1210</v>
      </c>
      <c r="J246">
        <v>4900</v>
      </c>
    </row>
    <row r="247" spans="1:10" x14ac:dyDescent="0.25">
      <c r="A247">
        <v>3710</v>
      </c>
      <c r="J247">
        <v>4910</v>
      </c>
    </row>
    <row r="248" spans="1:10" x14ac:dyDescent="0.25">
      <c r="A248">
        <v>3720</v>
      </c>
      <c r="J248">
        <v>4920</v>
      </c>
    </row>
    <row r="249" spans="1:10" x14ac:dyDescent="0.25">
      <c r="A249">
        <v>3750</v>
      </c>
      <c r="J249">
        <v>4930</v>
      </c>
    </row>
    <row r="250" spans="1:10" x14ac:dyDescent="0.25">
      <c r="A250">
        <v>3760</v>
      </c>
      <c r="J250">
        <v>5110</v>
      </c>
    </row>
    <row r="251" spans="1:10" x14ac:dyDescent="0.25">
      <c r="A251">
        <v>3790</v>
      </c>
      <c r="J251">
        <v>5150</v>
      </c>
    </row>
    <row r="252" spans="1:10" x14ac:dyDescent="0.25">
      <c r="A252">
        <v>3980</v>
      </c>
      <c r="J252">
        <v>5210</v>
      </c>
    </row>
    <row r="253" spans="1:10" x14ac:dyDescent="0.25">
      <c r="A253">
        <v>4212</v>
      </c>
      <c r="J253">
        <v>5230</v>
      </c>
    </row>
    <row r="254" spans="1:10" x14ac:dyDescent="0.25">
      <c r="A254">
        <v>4242</v>
      </c>
      <c r="J254">
        <v>5410</v>
      </c>
    </row>
    <row r="256" spans="1:10" x14ac:dyDescent="0.25">
      <c r="A256" s="141" t="s">
        <v>904</v>
      </c>
    </row>
    <row r="257" spans="1:1" x14ac:dyDescent="0.25">
      <c r="A257">
        <v>3390</v>
      </c>
    </row>
    <row r="259" spans="1:1" x14ac:dyDescent="0.25">
      <c r="A259" s="141" t="s">
        <v>905</v>
      </c>
    </row>
    <row r="260" spans="1:1" x14ac:dyDescent="0.25">
      <c r="A260">
        <v>3390</v>
      </c>
    </row>
    <row r="261" spans="1:1" x14ac:dyDescent="0.25">
      <c r="A261">
        <v>4330</v>
      </c>
    </row>
    <row r="263" spans="1:1" x14ac:dyDescent="0.25">
      <c r="A263" s="141" t="s">
        <v>906</v>
      </c>
    </row>
    <row r="264" spans="1:1" x14ac:dyDescent="0.25">
      <c r="A264">
        <v>3390</v>
      </c>
    </row>
    <row r="265" spans="1:1" x14ac:dyDescent="0.25">
      <c r="A265">
        <v>3720</v>
      </c>
    </row>
    <row r="266" spans="1:1" x14ac:dyDescent="0.25">
      <c r="A266">
        <v>3750</v>
      </c>
    </row>
    <row r="267" spans="1:1" x14ac:dyDescent="0.25">
      <c r="A267">
        <v>3790</v>
      </c>
    </row>
    <row r="268" spans="1:1" x14ac:dyDescent="0.25">
      <c r="A268">
        <v>3850</v>
      </c>
    </row>
    <row r="269" spans="1:1" x14ac:dyDescent="0.25">
      <c r="A269">
        <v>4330</v>
      </c>
    </row>
    <row r="271" spans="1:1" x14ac:dyDescent="0.25">
      <c r="A271" s="141" t="s">
        <v>929</v>
      </c>
    </row>
    <row r="272" spans="1:1" x14ac:dyDescent="0.25">
      <c r="A272">
        <v>3360</v>
      </c>
    </row>
    <row r="273" spans="1:1" x14ac:dyDescent="0.25">
      <c r="A273">
        <v>3710</v>
      </c>
    </row>
    <row r="274" spans="1:1" x14ac:dyDescent="0.25">
      <c r="A274">
        <v>3720</v>
      </c>
    </row>
    <row r="275" spans="1:1" x14ac:dyDescent="0.25">
      <c r="A275">
        <v>3750</v>
      </c>
    </row>
    <row r="276" spans="1:1" x14ac:dyDescent="0.25">
      <c r="A276">
        <v>3760</v>
      </c>
    </row>
    <row r="277" spans="1:1" x14ac:dyDescent="0.25">
      <c r="A277">
        <v>3790</v>
      </c>
    </row>
    <row r="278" spans="1:1" x14ac:dyDescent="0.25">
      <c r="A278">
        <v>3830</v>
      </c>
    </row>
    <row r="279" spans="1:1" x14ac:dyDescent="0.25">
      <c r="A279">
        <v>3840</v>
      </c>
    </row>
    <row r="280" spans="1:1" x14ac:dyDescent="0.25">
      <c r="A280">
        <v>3850</v>
      </c>
    </row>
    <row r="282" spans="1:1" x14ac:dyDescent="0.25">
      <c r="A282" s="141" t="s">
        <v>930</v>
      </c>
    </row>
    <row r="283" spans="1:1" x14ac:dyDescent="0.25">
      <c r="A283">
        <v>1210</v>
      </c>
    </row>
    <row r="284" spans="1:1" x14ac:dyDescent="0.25">
      <c r="A284">
        <v>3390</v>
      </c>
    </row>
    <row r="285" spans="1:1" x14ac:dyDescent="0.25">
      <c r="A285">
        <v>3720</v>
      </c>
    </row>
    <row r="286" spans="1:1" x14ac:dyDescent="0.25">
      <c r="A286">
        <v>3750</v>
      </c>
    </row>
    <row r="287" spans="1:1" x14ac:dyDescent="0.25">
      <c r="A287">
        <v>3790</v>
      </c>
    </row>
    <row r="288" spans="1:1" x14ac:dyDescent="0.25">
      <c r="A288">
        <v>3850</v>
      </c>
    </row>
    <row r="289" spans="1:1" x14ac:dyDescent="0.25">
      <c r="A289">
        <v>3980</v>
      </c>
    </row>
    <row r="290" spans="1:1" x14ac:dyDescent="0.25">
      <c r="A290">
        <v>3990</v>
      </c>
    </row>
    <row r="292" spans="1:1" x14ac:dyDescent="0.25">
      <c r="A292" s="141" t="s">
        <v>931</v>
      </c>
    </row>
    <row r="293" spans="1:1" x14ac:dyDescent="0.25">
      <c r="A293">
        <v>3390</v>
      </c>
    </row>
    <row r="294" spans="1:1" x14ac:dyDescent="0.25">
      <c r="A294">
        <v>3690</v>
      </c>
    </row>
    <row r="295" spans="1:1" x14ac:dyDescent="0.25">
      <c r="A295">
        <v>3710</v>
      </c>
    </row>
    <row r="296" spans="1:1" x14ac:dyDescent="0.25">
      <c r="A296">
        <v>3720</v>
      </c>
    </row>
    <row r="297" spans="1:1" x14ac:dyDescent="0.25">
      <c r="A297">
        <v>3750</v>
      </c>
    </row>
    <row r="298" spans="1:1" x14ac:dyDescent="0.25">
      <c r="A298">
        <v>3760</v>
      </c>
    </row>
    <row r="299" spans="1:1" x14ac:dyDescent="0.25">
      <c r="A299">
        <v>3790</v>
      </c>
    </row>
    <row r="300" spans="1:1" x14ac:dyDescent="0.25">
      <c r="A300">
        <v>3850</v>
      </c>
    </row>
    <row r="302" spans="1:1" x14ac:dyDescent="0.25">
      <c r="A302" s="141" t="s">
        <v>907</v>
      </c>
    </row>
    <row r="303" spans="1:1" x14ac:dyDescent="0.25">
      <c r="A303">
        <v>3510</v>
      </c>
    </row>
    <row r="305" spans="1:1" x14ac:dyDescent="0.25">
      <c r="A305" s="141" t="s">
        <v>932</v>
      </c>
    </row>
    <row r="306" spans="1:1" x14ac:dyDescent="0.25">
      <c r="A306">
        <v>1210</v>
      </c>
    </row>
    <row r="307" spans="1:1" x14ac:dyDescent="0.25">
      <c r="A307">
        <v>3330</v>
      </c>
    </row>
    <row r="308" spans="1:1" x14ac:dyDescent="0.25">
      <c r="A308">
        <v>3390</v>
      </c>
    </row>
    <row r="309" spans="1:1" x14ac:dyDescent="0.25">
      <c r="A309">
        <v>3980</v>
      </c>
    </row>
    <row r="311" spans="1:1" x14ac:dyDescent="0.25">
      <c r="A311" s="141" t="s">
        <v>933</v>
      </c>
    </row>
    <row r="312" spans="1:1" x14ac:dyDescent="0.25">
      <c r="A312">
        <v>1210</v>
      </c>
    </row>
    <row r="313" spans="1:1" x14ac:dyDescent="0.25">
      <c r="A313">
        <v>3612</v>
      </c>
    </row>
    <row r="314" spans="1:1" x14ac:dyDescent="0.25">
      <c r="A314">
        <v>3630</v>
      </c>
    </row>
    <row r="315" spans="1:1" x14ac:dyDescent="0.25">
      <c r="A315">
        <v>3660</v>
      </c>
    </row>
    <row r="316" spans="1:1" x14ac:dyDescent="0.25">
      <c r="A316">
        <v>3710</v>
      </c>
    </row>
    <row r="317" spans="1:1" x14ac:dyDescent="0.25">
      <c r="A317">
        <v>3720</v>
      </c>
    </row>
    <row r="318" spans="1:1" x14ac:dyDescent="0.25">
      <c r="A318">
        <v>3750</v>
      </c>
    </row>
    <row r="319" spans="1:1" x14ac:dyDescent="0.25">
      <c r="A319">
        <v>3760</v>
      </c>
    </row>
    <row r="320" spans="1:1" x14ac:dyDescent="0.25">
      <c r="A320">
        <v>3790</v>
      </c>
    </row>
    <row r="321" spans="1:1" x14ac:dyDescent="0.25">
      <c r="A321">
        <v>3850</v>
      </c>
    </row>
    <row r="322" spans="1:1" x14ac:dyDescent="0.25">
      <c r="A322">
        <v>3980</v>
      </c>
    </row>
    <row r="324" spans="1:1" x14ac:dyDescent="0.25">
      <c r="A324" s="141" t="s">
        <v>908</v>
      </c>
    </row>
    <row r="325" spans="1:1" x14ac:dyDescent="0.25">
      <c r="A325">
        <v>1210</v>
      </c>
    </row>
    <row r="326" spans="1:1" x14ac:dyDescent="0.25">
      <c r="A326">
        <v>3390</v>
      </c>
    </row>
    <row r="327" spans="1:1" x14ac:dyDescent="0.25">
      <c r="A327">
        <v>3710</v>
      </c>
    </row>
    <row r="328" spans="1:1" x14ac:dyDescent="0.25">
      <c r="A328">
        <v>3720</v>
      </c>
    </row>
    <row r="329" spans="1:1" x14ac:dyDescent="0.25">
      <c r="A329">
        <v>3750</v>
      </c>
    </row>
    <row r="330" spans="1:1" x14ac:dyDescent="0.25">
      <c r="A330">
        <v>3790</v>
      </c>
    </row>
    <row r="331" spans="1:1" x14ac:dyDescent="0.25">
      <c r="A331">
        <v>3850</v>
      </c>
    </row>
    <row r="332" spans="1:1" x14ac:dyDescent="0.25">
      <c r="A332">
        <v>3980</v>
      </c>
    </row>
    <row r="334" spans="1:1" x14ac:dyDescent="0.25">
      <c r="A334" s="141" t="s">
        <v>909</v>
      </c>
    </row>
    <row r="335" spans="1:1" x14ac:dyDescent="0.25">
      <c r="A335">
        <v>1210</v>
      </c>
    </row>
    <row r="336" spans="1:1" x14ac:dyDescent="0.25">
      <c r="A336">
        <v>3250</v>
      </c>
    </row>
    <row r="337" spans="1:1" x14ac:dyDescent="0.25">
      <c r="A337">
        <v>3330</v>
      </c>
    </row>
    <row r="338" spans="1:1" x14ac:dyDescent="0.25">
      <c r="A338">
        <v>3390</v>
      </c>
    </row>
    <row r="339" spans="1:1" x14ac:dyDescent="0.25">
      <c r="A339">
        <v>3611</v>
      </c>
    </row>
    <row r="340" spans="1:1" x14ac:dyDescent="0.25">
      <c r="A340">
        <v>3612</v>
      </c>
    </row>
    <row r="341" spans="1:1" x14ac:dyDescent="0.25">
      <c r="A341">
        <v>363</v>
      </c>
    </row>
    <row r="342" spans="1:1" x14ac:dyDescent="0.25">
      <c r="A342">
        <v>3660</v>
      </c>
    </row>
    <row r="343" spans="1:1" x14ac:dyDescent="0.25">
      <c r="A343">
        <v>3710</v>
      </c>
    </row>
    <row r="344" spans="1:1" x14ac:dyDescent="0.25">
      <c r="A344">
        <v>3720</v>
      </c>
    </row>
    <row r="345" spans="1:1" x14ac:dyDescent="0.25">
      <c r="A345">
        <v>3750</v>
      </c>
    </row>
    <row r="346" spans="1:1" x14ac:dyDescent="0.25">
      <c r="A346">
        <v>3760</v>
      </c>
    </row>
    <row r="347" spans="1:1" x14ac:dyDescent="0.25">
      <c r="A347">
        <v>3790</v>
      </c>
    </row>
    <row r="348" spans="1:1" x14ac:dyDescent="0.25">
      <c r="A348">
        <v>3830</v>
      </c>
    </row>
    <row r="349" spans="1:1" x14ac:dyDescent="0.25">
      <c r="A349">
        <v>3840</v>
      </c>
    </row>
    <row r="350" spans="1:1" x14ac:dyDescent="0.25">
      <c r="A350">
        <v>3850</v>
      </c>
    </row>
    <row r="351" spans="1:1" x14ac:dyDescent="0.25">
      <c r="A351">
        <v>3980</v>
      </c>
    </row>
    <row r="352" spans="1:1" x14ac:dyDescent="0.25">
      <c r="A352">
        <v>4212</v>
      </c>
    </row>
    <row r="353" spans="1:1" x14ac:dyDescent="0.25">
      <c r="A353">
        <v>4242</v>
      </c>
    </row>
    <row r="354" spans="1:1" x14ac:dyDescent="0.25">
      <c r="A354">
        <v>4330</v>
      </c>
    </row>
    <row r="355" spans="1:1" x14ac:dyDescent="0.25">
      <c r="A355">
        <v>4450</v>
      </c>
    </row>
    <row r="356" spans="1:1" x14ac:dyDescent="0.25">
      <c r="A356">
        <v>5150</v>
      </c>
    </row>
    <row r="358" spans="1:1" x14ac:dyDescent="0.25">
      <c r="A358" s="141" t="s">
        <v>910</v>
      </c>
    </row>
    <row r="359" spans="1:1" x14ac:dyDescent="0.25">
      <c r="A359">
        <v>1210</v>
      </c>
    </row>
    <row r="360" spans="1:1" x14ac:dyDescent="0.25">
      <c r="A360">
        <v>2210</v>
      </c>
    </row>
    <row r="361" spans="1:1" x14ac:dyDescent="0.25">
      <c r="A361">
        <v>3390</v>
      </c>
    </row>
    <row r="362" spans="1:1" x14ac:dyDescent="0.25">
      <c r="A362">
        <v>3980</v>
      </c>
    </row>
    <row r="364" spans="1:1" x14ac:dyDescent="0.25">
      <c r="A364" s="141" t="s">
        <v>911</v>
      </c>
    </row>
    <row r="365" spans="1:1" x14ac:dyDescent="0.25">
      <c r="A365">
        <v>4450</v>
      </c>
    </row>
    <row r="367" spans="1:1" x14ac:dyDescent="0.25">
      <c r="A367" s="141" t="s">
        <v>912</v>
      </c>
    </row>
    <row r="368" spans="1:1" x14ac:dyDescent="0.25">
      <c r="A368">
        <v>4450</v>
      </c>
    </row>
    <row r="370" spans="1:1" x14ac:dyDescent="0.25">
      <c r="A370" s="141" t="s">
        <v>934</v>
      </c>
    </row>
    <row r="371" spans="1:1" x14ac:dyDescent="0.25">
      <c r="A371">
        <v>4330</v>
      </c>
    </row>
    <row r="373" spans="1:1" x14ac:dyDescent="0.25">
      <c r="A373" s="141" t="s">
        <v>935</v>
      </c>
    </row>
    <row r="374" spans="1:1" x14ac:dyDescent="0.25">
      <c r="A374">
        <v>3390</v>
      </c>
    </row>
    <row r="375" spans="1:1" x14ac:dyDescent="0.25">
      <c r="A375">
        <v>3790</v>
      </c>
    </row>
    <row r="376" spans="1:1" x14ac:dyDescent="0.25">
      <c r="A376">
        <v>5150</v>
      </c>
    </row>
    <row r="378" spans="1:1" x14ac:dyDescent="0.25">
      <c r="A378" s="141" t="s">
        <v>936</v>
      </c>
    </row>
    <row r="379" spans="1:1" x14ac:dyDescent="0.25">
      <c r="A379">
        <v>1210</v>
      </c>
    </row>
    <row r="380" spans="1:1" x14ac:dyDescent="0.25">
      <c r="A380">
        <v>3330</v>
      </c>
    </row>
    <row r="381" spans="1:1" x14ac:dyDescent="0.25">
      <c r="A381">
        <v>3390</v>
      </c>
    </row>
    <row r="382" spans="1:1" x14ac:dyDescent="0.25">
      <c r="A382">
        <v>3980</v>
      </c>
    </row>
    <row r="383" spans="1:1" x14ac:dyDescent="0.25">
      <c r="A383">
        <v>5150</v>
      </c>
    </row>
    <row r="385" spans="1:1" x14ac:dyDescent="0.25">
      <c r="A385" s="141" t="s">
        <v>937</v>
      </c>
    </row>
    <row r="386" spans="1:1" x14ac:dyDescent="0.25">
      <c r="A386">
        <v>1210</v>
      </c>
    </row>
    <row r="387" spans="1:1" x14ac:dyDescent="0.25">
      <c r="A387">
        <v>3710</v>
      </c>
    </row>
    <row r="388" spans="1:1" x14ac:dyDescent="0.25">
      <c r="A388">
        <v>3760</v>
      </c>
    </row>
    <row r="389" spans="1:1" x14ac:dyDescent="0.25">
      <c r="A389">
        <v>3980</v>
      </c>
    </row>
    <row r="390" spans="1:1" x14ac:dyDescent="0.25">
      <c r="A390">
        <v>3990</v>
      </c>
    </row>
    <row r="392" spans="1:1" x14ac:dyDescent="0.25">
      <c r="A392" s="141" t="s">
        <v>938</v>
      </c>
    </row>
    <row r="393" spans="1:1" x14ac:dyDescent="0.25">
      <c r="A393">
        <v>3390</v>
      </c>
    </row>
    <row r="395" spans="1:1" x14ac:dyDescent="0.25">
      <c r="A395" s="141" t="s">
        <v>939</v>
      </c>
    </row>
    <row r="396" spans="1:1" x14ac:dyDescent="0.25">
      <c r="A396">
        <v>1130</v>
      </c>
    </row>
    <row r="397" spans="1:1" x14ac:dyDescent="0.25">
      <c r="A397">
        <v>1210</v>
      </c>
    </row>
    <row r="398" spans="1:1" x14ac:dyDescent="0.25">
      <c r="A398">
        <v>1310</v>
      </c>
    </row>
    <row r="399" spans="1:1" x14ac:dyDescent="0.25">
      <c r="A399">
        <v>1320</v>
      </c>
    </row>
    <row r="400" spans="1:1" x14ac:dyDescent="0.25">
      <c r="A400">
        <v>1340</v>
      </c>
    </row>
    <row r="401" spans="1:1" x14ac:dyDescent="0.25">
      <c r="A401">
        <v>1410</v>
      </c>
    </row>
    <row r="402" spans="1:1" x14ac:dyDescent="0.25">
      <c r="A402">
        <v>1440</v>
      </c>
    </row>
    <row r="403" spans="1:1" x14ac:dyDescent="0.25">
      <c r="A403">
        <v>1530</v>
      </c>
    </row>
    <row r="404" spans="1:1" x14ac:dyDescent="0.25">
      <c r="A404">
        <v>1540</v>
      </c>
    </row>
    <row r="405" spans="1:1" x14ac:dyDescent="0.25">
      <c r="A405">
        <v>1550</v>
      </c>
    </row>
    <row r="406" spans="1:1" x14ac:dyDescent="0.25">
      <c r="A406">
        <v>1590</v>
      </c>
    </row>
    <row r="407" spans="1:1" x14ac:dyDescent="0.25">
      <c r="A407">
        <v>1710</v>
      </c>
    </row>
    <row r="408" spans="1:1" x14ac:dyDescent="0.25">
      <c r="A408">
        <v>2210</v>
      </c>
    </row>
    <row r="409" spans="1:1" x14ac:dyDescent="0.25">
      <c r="A409">
        <v>2610</v>
      </c>
    </row>
    <row r="410" spans="1:1" x14ac:dyDescent="0.25">
      <c r="A410">
        <v>3310</v>
      </c>
    </row>
    <row r="411" spans="1:1" x14ac:dyDescent="0.25">
      <c r="A411">
        <v>3340</v>
      </c>
    </row>
    <row r="412" spans="1:1" x14ac:dyDescent="0.25">
      <c r="A412">
        <v>3450</v>
      </c>
    </row>
    <row r="413" spans="1:1" x14ac:dyDescent="0.25">
      <c r="A413">
        <v>3550</v>
      </c>
    </row>
    <row r="414" spans="1:1" x14ac:dyDescent="0.25">
      <c r="A414">
        <v>3710</v>
      </c>
    </row>
    <row r="415" spans="1:1" x14ac:dyDescent="0.25">
      <c r="A415">
        <v>3720</v>
      </c>
    </row>
    <row r="416" spans="1:1" x14ac:dyDescent="0.25">
      <c r="A416">
        <v>3750</v>
      </c>
    </row>
    <row r="417" spans="1:1" x14ac:dyDescent="0.25">
      <c r="A417">
        <v>3760</v>
      </c>
    </row>
    <row r="418" spans="1:1" x14ac:dyDescent="0.25">
      <c r="A418">
        <v>3790</v>
      </c>
    </row>
    <row r="419" spans="1:1" x14ac:dyDescent="0.25">
      <c r="A419">
        <v>3850</v>
      </c>
    </row>
    <row r="420" spans="1:1" x14ac:dyDescent="0.25">
      <c r="A420">
        <v>3920</v>
      </c>
    </row>
    <row r="421" spans="1:1" x14ac:dyDescent="0.25">
      <c r="A421">
        <v>3980</v>
      </c>
    </row>
    <row r="422" spans="1:1" x14ac:dyDescent="0.25">
      <c r="A422">
        <v>3990</v>
      </c>
    </row>
    <row r="423" spans="1:1" x14ac:dyDescent="0.25">
      <c r="A423">
        <v>4510</v>
      </c>
    </row>
    <row r="424" spans="1:1" x14ac:dyDescent="0.25">
      <c r="A424">
        <v>4520</v>
      </c>
    </row>
    <row r="426" spans="1:1" x14ac:dyDescent="0.25">
      <c r="A426" s="141" t="s">
        <v>940</v>
      </c>
    </row>
    <row r="427" spans="1:1" x14ac:dyDescent="0.25">
      <c r="A427">
        <v>2110</v>
      </c>
    </row>
    <row r="428" spans="1:1" x14ac:dyDescent="0.25">
      <c r="A428">
        <v>2120</v>
      </c>
    </row>
    <row r="429" spans="1:1" x14ac:dyDescent="0.25">
      <c r="A429">
        <v>2140</v>
      </c>
    </row>
    <row r="430" spans="1:1" x14ac:dyDescent="0.25">
      <c r="A430">
        <v>2160</v>
      </c>
    </row>
    <row r="431" spans="1:1" x14ac:dyDescent="0.25">
      <c r="A431">
        <v>2210</v>
      </c>
    </row>
    <row r="432" spans="1:1" x14ac:dyDescent="0.25">
      <c r="A432">
        <v>2230</v>
      </c>
    </row>
    <row r="433" spans="1:1" x14ac:dyDescent="0.25">
      <c r="A433">
        <v>2460</v>
      </c>
    </row>
    <row r="434" spans="1:1" x14ac:dyDescent="0.25">
      <c r="A434">
        <v>2480</v>
      </c>
    </row>
    <row r="435" spans="1:1" x14ac:dyDescent="0.25">
      <c r="A435">
        <v>2490</v>
      </c>
    </row>
    <row r="436" spans="1:1" x14ac:dyDescent="0.25">
      <c r="A436">
        <v>2530</v>
      </c>
    </row>
    <row r="437" spans="1:1" x14ac:dyDescent="0.25">
      <c r="A437">
        <v>2540</v>
      </c>
    </row>
    <row r="438" spans="1:1" x14ac:dyDescent="0.25">
      <c r="A438">
        <v>2610</v>
      </c>
    </row>
    <row r="439" spans="1:1" x14ac:dyDescent="0.25">
      <c r="A439">
        <v>2710</v>
      </c>
    </row>
    <row r="440" spans="1:1" x14ac:dyDescent="0.25">
      <c r="A440">
        <v>2720</v>
      </c>
    </row>
    <row r="441" spans="1:1" x14ac:dyDescent="0.25">
      <c r="A441">
        <v>2910</v>
      </c>
    </row>
    <row r="442" spans="1:1" x14ac:dyDescent="0.25">
      <c r="A442">
        <v>2920</v>
      </c>
    </row>
    <row r="443" spans="1:1" x14ac:dyDescent="0.25">
      <c r="A443" s="142">
        <v>2940</v>
      </c>
    </row>
    <row r="444" spans="1:1" x14ac:dyDescent="0.25">
      <c r="A444">
        <v>2960</v>
      </c>
    </row>
    <row r="445" spans="1:1" x14ac:dyDescent="0.25">
      <c r="A445">
        <v>2990</v>
      </c>
    </row>
    <row r="446" spans="1:1" x14ac:dyDescent="0.25">
      <c r="A446">
        <v>3110</v>
      </c>
    </row>
    <row r="447" spans="1:1" x14ac:dyDescent="0.25">
      <c r="A447">
        <v>3140</v>
      </c>
    </row>
    <row r="448" spans="1:1" x14ac:dyDescent="0.25">
      <c r="A448">
        <v>3150</v>
      </c>
    </row>
    <row r="449" spans="1:1" x14ac:dyDescent="0.25">
      <c r="A449">
        <v>3170</v>
      </c>
    </row>
    <row r="450" spans="1:1" x14ac:dyDescent="0.25">
      <c r="A450">
        <v>3180</v>
      </c>
    </row>
    <row r="451" spans="1:1" x14ac:dyDescent="0.25">
      <c r="A451">
        <v>3220</v>
      </c>
    </row>
    <row r="452" spans="1:1" x14ac:dyDescent="0.25">
      <c r="A452">
        <v>3250</v>
      </c>
    </row>
    <row r="453" spans="1:1" x14ac:dyDescent="0.25">
      <c r="A453">
        <v>3270</v>
      </c>
    </row>
    <row r="454" spans="1:1" x14ac:dyDescent="0.25">
      <c r="A454">
        <v>3330</v>
      </c>
    </row>
    <row r="455" spans="1:1" x14ac:dyDescent="0.25">
      <c r="A455">
        <v>3360</v>
      </c>
    </row>
    <row r="456" spans="1:1" x14ac:dyDescent="0.25">
      <c r="A456">
        <v>3380</v>
      </c>
    </row>
    <row r="457" spans="1:1" x14ac:dyDescent="0.25">
      <c r="A457">
        <v>3410</v>
      </c>
    </row>
    <row r="458" spans="1:1" x14ac:dyDescent="0.25">
      <c r="A458">
        <v>3450</v>
      </c>
    </row>
    <row r="459" spans="1:1" x14ac:dyDescent="0.25">
      <c r="A459">
        <v>3510</v>
      </c>
    </row>
    <row r="460" spans="1:1" x14ac:dyDescent="0.25">
      <c r="A460" s="142">
        <v>3520</v>
      </c>
    </row>
    <row r="461" spans="1:1" x14ac:dyDescent="0.25">
      <c r="A461">
        <v>3530</v>
      </c>
    </row>
    <row r="462" spans="1:1" x14ac:dyDescent="0.25">
      <c r="A462">
        <v>3550</v>
      </c>
    </row>
    <row r="463" spans="1:1" x14ac:dyDescent="0.25">
      <c r="A463">
        <v>3570</v>
      </c>
    </row>
    <row r="464" spans="1:1" x14ac:dyDescent="0.25">
      <c r="A464">
        <v>3580</v>
      </c>
    </row>
    <row r="465" spans="1:1" x14ac:dyDescent="0.25">
      <c r="A465">
        <v>3590</v>
      </c>
    </row>
    <row r="466" spans="1:1" x14ac:dyDescent="0.25">
      <c r="A466">
        <v>3720</v>
      </c>
    </row>
    <row r="467" spans="1:1" x14ac:dyDescent="0.25">
      <c r="A467">
        <v>3750</v>
      </c>
    </row>
    <row r="468" spans="1:1" x14ac:dyDescent="0.25">
      <c r="A468">
        <v>3790</v>
      </c>
    </row>
    <row r="469" spans="1:1" x14ac:dyDescent="0.25">
      <c r="A469">
        <v>3820</v>
      </c>
    </row>
    <row r="470" spans="1:1" x14ac:dyDescent="0.25">
      <c r="A470">
        <v>3850</v>
      </c>
    </row>
    <row r="471" spans="1:1" x14ac:dyDescent="0.25">
      <c r="A471">
        <v>3920</v>
      </c>
    </row>
    <row r="472" spans="1:1" x14ac:dyDescent="0.25">
      <c r="A472">
        <v>5110</v>
      </c>
    </row>
    <row r="473" spans="1:1" x14ac:dyDescent="0.25">
      <c r="A473">
        <v>5210</v>
      </c>
    </row>
    <row r="474" spans="1:1" x14ac:dyDescent="0.25">
      <c r="A474">
        <v>5230</v>
      </c>
    </row>
    <row r="475" spans="1:1" x14ac:dyDescent="0.25">
      <c r="A475">
        <v>5410</v>
      </c>
    </row>
    <row r="477" spans="1:1" x14ac:dyDescent="0.25">
      <c r="A477" s="141" t="s">
        <v>1003</v>
      </c>
    </row>
    <row r="478" spans="1:1" x14ac:dyDescent="0.25">
      <c r="A478">
        <v>1130</v>
      </c>
    </row>
    <row r="479" spans="1:1" x14ac:dyDescent="0.25">
      <c r="A479">
        <v>1320</v>
      </c>
    </row>
    <row r="480" spans="1:1" x14ac:dyDescent="0.25">
      <c r="A480">
        <v>1340</v>
      </c>
    </row>
    <row r="481" spans="1:1" x14ac:dyDescent="0.25">
      <c r="A481">
        <v>1410</v>
      </c>
    </row>
    <row r="482" spans="1:1" x14ac:dyDescent="0.25">
      <c r="A482">
        <v>1540</v>
      </c>
    </row>
    <row r="483" spans="1:1" x14ac:dyDescent="0.25">
      <c r="A483">
        <v>1550</v>
      </c>
    </row>
    <row r="484" spans="1:1" x14ac:dyDescent="0.25">
      <c r="A484">
        <v>1590</v>
      </c>
    </row>
    <row r="485" spans="1:1" x14ac:dyDescent="0.25">
      <c r="A485">
        <v>2110</v>
      </c>
    </row>
    <row r="486" spans="1:1" x14ac:dyDescent="0.25">
      <c r="A486">
        <v>2140</v>
      </c>
    </row>
    <row r="487" spans="1:1" x14ac:dyDescent="0.25">
      <c r="A487">
        <v>2610</v>
      </c>
    </row>
    <row r="488" spans="1:1" x14ac:dyDescent="0.25">
      <c r="A488">
        <v>2940</v>
      </c>
    </row>
    <row r="489" spans="1:1" x14ac:dyDescent="0.25">
      <c r="A489">
        <v>2960</v>
      </c>
    </row>
    <row r="490" spans="1:1" x14ac:dyDescent="0.25">
      <c r="A490">
        <v>3450</v>
      </c>
    </row>
    <row r="491" spans="1:1" x14ac:dyDescent="0.25">
      <c r="A491">
        <v>3550</v>
      </c>
    </row>
    <row r="492" spans="1:1" x14ac:dyDescent="0.25">
      <c r="A492">
        <v>3720</v>
      </c>
    </row>
    <row r="493" spans="1:1" x14ac:dyDescent="0.25">
      <c r="A493">
        <v>3750</v>
      </c>
    </row>
    <row r="494" spans="1:1" x14ac:dyDescent="0.25">
      <c r="A494">
        <v>3790</v>
      </c>
    </row>
    <row r="495" spans="1:1" x14ac:dyDescent="0.25">
      <c r="A495">
        <v>3980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58</vt:i4>
      </vt:variant>
    </vt:vector>
  </HeadingPairs>
  <TitlesOfParts>
    <vt:vector size="65" baseType="lpstr">
      <vt:lpstr>GRC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2024-03-05T14:57:04Z</dcterms:modified>
</cp:coreProperties>
</file>