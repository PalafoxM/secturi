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RESPALDO ARTURO DE JESUS M 11.04.18\varios\2020\FORMATOS\"/>
    </mc:Choice>
  </mc:AlternateContent>
  <bookViews>
    <workbookView xWindow="0" yWindow="0" windowWidth="28800" windowHeight="10830"/>
  </bookViews>
  <sheets>
    <sheet name="GO" sheetId="20" r:id="rId1"/>
    <sheet name="Hoja1" sheetId="24" state="hidden" r:id="rId2"/>
    <sheet name="PROYECTO" sheetId="22" state="hidden" r:id="rId3"/>
    <sheet name="Hoja3" sheetId="23" state="hidden" r:id="rId4"/>
  </sheets>
  <functionGroups builtInGroupCount="18"/>
  <definedNames>
    <definedName name="_xlnm._FilterDatabase" localSheetId="0" hidden="1">GO!$A$61:$G$62</definedName>
    <definedName name="_xlnm._FilterDatabase" localSheetId="2" hidden="1">PROYECTO!$A$1:$A$34</definedName>
    <definedName name="LISTPART">Hoja3!$B:$B</definedName>
    <definedName name="PARTIDA">Hoja3!$1:$1048576</definedName>
    <definedName name="PROYECTO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D53" i="20" l="1"/>
  <c r="H9" i="20" s="1"/>
  <c r="B114" i="23" l="1"/>
  <c r="B174" i="23"/>
  <c r="C94" i="23"/>
  <c r="C68" i="23"/>
  <c r="B146" i="23"/>
  <c r="B91" i="23"/>
  <c r="B157" i="23"/>
  <c r="C15" i="23"/>
  <c r="C137" i="23"/>
  <c r="B108" i="23"/>
  <c r="B168" i="23"/>
  <c r="B12" i="23"/>
  <c r="B139" i="23"/>
  <c r="B32" i="23"/>
  <c r="B244" i="23"/>
  <c r="B220" i="23"/>
  <c r="C134" i="23"/>
  <c r="B239" i="23"/>
  <c r="B211" i="23"/>
  <c r="C217" i="23"/>
  <c r="B140" i="23"/>
  <c r="B169" i="23"/>
  <c r="B43" i="23"/>
  <c r="B125" i="23"/>
  <c r="C31" i="23"/>
  <c r="B109" i="23"/>
  <c r="B80" i="23"/>
  <c r="C37" i="23"/>
  <c r="B90" i="23"/>
  <c r="C17" i="23"/>
  <c r="C3" i="23"/>
  <c r="C236" i="23"/>
  <c r="B171" i="23"/>
  <c r="B216" i="23"/>
  <c r="C131" i="23"/>
  <c r="C93" i="23"/>
  <c r="B228" i="23"/>
  <c r="C238" i="23"/>
  <c r="C234" i="23"/>
  <c r="C2" i="23"/>
  <c r="B111" i="23"/>
  <c r="B99" i="23"/>
  <c r="B103" i="23"/>
  <c r="C210" i="23"/>
  <c r="C147" i="23"/>
  <c r="C54" i="23"/>
  <c r="C8" i="23"/>
  <c r="C242" i="23"/>
  <c r="B196" i="23"/>
  <c r="B47" i="23"/>
  <c r="B20" i="23"/>
  <c r="B227" i="23"/>
  <c r="C99" i="23"/>
  <c r="B190" i="23"/>
  <c r="B135" i="23"/>
  <c r="C65" i="23"/>
  <c r="C176" i="23"/>
  <c r="C133" i="23"/>
  <c r="C22" i="23"/>
  <c r="B158" i="23"/>
  <c r="B95" i="23"/>
  <c r="B86" i="23"/>
  <c r="C130" i="23"/>
  <c r="C188" i="23"/>
  <c r="B179" i="23"/>
  <c r="C135" i="23"/>
  <c r="C239" i="23"/>
  <c r="B27" i="23"/>
  <c r="C144" i="23"/>
  <c r="B50" i="23"/>
  <c r="C118" i="23"/>
  <c r="C39" i="23"/>
  <c r="B180" i="23"/>
  <c r="C230" i="23"/>
  <c r="B116" i="23"/>
  <c r="C56" i="23"/>
  <c r="C221" i="23"/>
  <c r="B72" i="23"/>
  <c r="B112" i="23"/>
  <c r="C36" i="23"/>
  <c r="B25" i="23"/>
  <c r="B123" i="23"/>
  <c r="C82" i="23"/>
  <c r="C5" i="23"/>
  <c r="B200" i="23"/>
  <c r="B166" i="23"/>
  <c r="B231" i="23"/>
  <c r="B145" i="23"/>
  <c r="B134" i="23"/>
  <c r="B167" i="23"/>
  <c r="B51" i="23"/>
  <c r="B45" i="23"/>
  <c r="B156" i="23"/>
  <c r="B102" i="23"/>
  <c r="B142" i="23"/>
  <c r="B170" i="23"/>
  <c r="B246" i="23"/>
  <c r="C84" i="23"/>
  <c r="C190" i="23"/>
  <c r="C76" i="23"/>
  <c r="C225" i="23"/>
  <c r="B144" i="23"/>
  <c r="C151" i="23"/>
  <c r="C124" i="23"/>
  <c r="C154" i="23"/>
  <c r="B132" i="23"/>
  <c r="B66" i="23"/>
  <c r="C87" i="23"/>
  <c r="C49" i="23"/>
  <c r="C35" i="23"/>
  <c r="C114" i="23"/>
  <c r="C25" i="23"/>
  <c r="B119" i="23"/>
  <c r="B78" i="23"/>
  <c r="B121" i="23"/>
  <c r="C83" i="23"/>
  <c r="B191" i="23"/>
  <c r="C173" i="23"/>
  <c r="B160" i="23"/>
  <c r="B11" i="23"/>
  <c r="C101" i="23"/>
  <c r="B203" i="23"/>
  <c r="B210" i="23"/>
  <c r="C48" i="23"/>
  <c r="B106" i="23"/>
  <c r="C57" i="23"/>
  <c r="C226" i="23"/>
  <c r="B133" i="23"/>
  <c r="B85" i="23"/>
  <c r="B164" i="23"/>
  <c r="C143" i="23"/>
  <c r="B195" i="23"/>
  <c r="C9" i="23"/>
  <c r="B107" i="23"/>
  <c r="C148" i="23"/>
  <c r="B129" i="23"/>
  <c r="B96" i="23"/>
  <c r="C69" i="23"/>
  <c r="B38" i="23"/>
  <c r="C178" i="23"/>
  <c r="C41" i="23"/>
  <c r="C96" i="23"/>
  <c r="B70" i="23"/>
  <c r="C208" i="23"/>
  <c r="B6" i="23"/>
  <c r="C90" i="23"/>
  <c r="B205" i="23"/>
  <c r="C120" i="23"/>
  <c r="C127" i="23"/>
  <c r="C102" i="23"/>
  <c r="C27" i="23"/>
  <c r="C214" i="23"/>
  <c r="C16" i="23"/>
  <c r="C110" i="23"/>
  <c r="B97" i="23"/>
  <c r="C228" i="23"/>
  <c r="C158" i="23"/>
  <c r="B105" i="23"/>
  <c r="B215" i="23"/>
  <c r="B198" i="23"/>
  <c r="B181" i="23"/>
  <c r="B212" i="23"/>
  <c r="B248" i="23"/>
  <c r="B110" i="23"/>
  <c r="C132" i="23"/>
  <c r="B19" i="23"/>
  <c r="B93" i="23"/>
  <c r="C12" i="23"/>
  <c r="B29" i="23"/>
  <c r="B21" i="23"/>
  <c r="B4" i="23"/>
  <c r="B183" i="23"/>
  <c r="B189" i="23"/>
  <c r="C138" i="23"/>
  <c r="C50" i="23"/>
  <c r="C155" i="23"/>
  <c r="B197" i="23"/>
  <c r="C179" i="23"/>
  <c r="B31" i="23"/>
  <c r="F53" i="20"/>
  <c r="B10" i="23"/>
  <c r="B24" i="23"/>
  <c r="C70" i="23"/>
  <c r="C111" i="23"/>
  <c r="C247" i="23"/>
  <c r="B40" i="23"/>
  <c r="C180" i="23"/>
  <c r="B225" i="23"/>
  <c r="B188" i="23"/>
  <c r="B2" i="23"/>
  <c r="C63" i="23"/>
  <c r="C45" i="23"/>
  <c r="C86" i="23"/>
  <c r="B247" i="23"/>
  <c r="C116" i="23"/>
  <c r="B69" i="23"/>
  <c r="B137" i="23"/>
  <c r="C140" i="23"/>
  <c r="C7" i="23"/>
  <c r="B49" i="23"/>
  <c r="B221" i="23"/>
  <c r="B226" i="23"/>
  <c r="B5" i="23"/>
  <c r="B35" i="23"/>
  <c r="C174" i="23"/>
  <c r="B77" i="23"/>
  <c r="C211" i="23"/>
  <c r="C204" i="23"/>
  <c r="C97" i="23"/>
  <c r="C66" i="23"/>
  <c r="B53" i="23"/>
  <c r="C197" i="23"/>
  <c r="B61" i="23"/>
  <c r="B147" i="23"/>
  <c r="B48" i="23"/>
  <c r="C145" i="23"/>
  <c r="C227" i="23"/>
  <c r="C46" i="23"/>
  <c r="B60" i="23"/>
  <c r="C231" i="23"/>
  <c r="C189" i="23"/>
  <c r="B74" i="23"/>
  <c r="C14" i="23"/>
  <c r="C164" i="23"/>
  <c r="B63" i="23"/>
  <c r="B204" i="23"/>
  <c r="C11" i="23"/>
  <c r="C122" i="23"/>
  <c r="C187" i="23"/>
  <c r="C160" i="23"/>
  <c r="B150" i="23"/>
  <c r="B16" i="23"/>
  <c r="B175" i="23"/>
  <c r="B136" i="23"/>
  <c r="C95" i="23"/>
  <c r="C171" i="23"/>
  <c r="C218" i="23"/>
  <c r="C74" i="23"/>
  <c r="C181" i="23"/>
  <c r="C20" i="23"/>
  <c r="C215" i="23"/>
  <c r="B178" i="23"/>
  <c r="C73" i="23"/>
  <c r="B58" i="23"/>
  <c r="C43" i="23"/>
  <c r="C172" i="23"/>
  <c r="B30" i="23"/>
  <c r="C175" i="23"/>
  <c r="B124" i="23"/>
  <c r="C219" i="23"/>
  <c r="B245" i="23"/>
  <c r="C26" i="23"/>
  <c r="C149" i="23"/>
  <c r="C161" i="23"/>
  <c r="C103" i="23"/>
  <c r="C108" i="23"/>
  <c r="B39" i="23"/>
  <c r="B44" i="23"/>
  <c r="C223" i="23"/>
  <c r="C222" i="23"/>
  <c r="C61" i="23"/>
  <c r="C240" i="23"/>
  <c r="C163" i="23"/>
  <c r="B41" i="23"/>
  <c r="B122" i="23"/>
  <c r="B117" i="23"/>
  <c r="C75" i="23"/>
  <c r="B182" i="23"/>
  <c r="C34" i="23"/>
  <c r="C117" i="23"/>
  <c r="C51" i="23"/>
  <c r="C19" i="23"/>
  <c r="B177" i="23"/>
  <c r="C121" i="23"/>
  <c r="C125" i="23"/>
  <c r="C100" i="23"/>
  <c r="C193" i="23"/>
  <c r="C42" i="23"/>
  <c r="B94" i="23"/>
  <c r="C199" i="23"/>
  <c r="B120" i="23"/>
  <c r="B218" i="23"/>
  <c r="C157" i="23"/>
  <c r="C123" i="23"/>
  <c r="C200" i="23"/>
  <c r="B233" i="23"/>
  <c r="B46" i="23"/>
  <c r="B9" i="23"/>
  <c r="C168" i="23"/>
  <c r="B163" i="23"/>
  <c r="C152" i="23"/>
  <c r="C243" i="23"/>
  <c r="B173" i="23"/>
  <c r="B8" i="23"/>
  <c r="B56" i="23"/>
  <c r="C202" i="23"/>
  <c r="C109" i="23"/>
  <c r="C55" i="23"/>
  <c r="C248" i="23"/>
  <c r="B89" i="23"/>
  <c r="C207" i="23"/>
  <c r="B235" i="23"/>
  <c r="C10" i="23"/>
  <c r="B23" i="23"/>
  <c r="B237" i="23"/>
  <c r="C213" i="23"/>
  <c r="B206" i="23"/>
  <c r="C165" i="23"/>
  <c r="C182" i="23"/>
  <c r="C232" i="23"/>
  <c r="B118" i="23"/>
  <c r="C28" i="23"/>
  <c r="B68" i="23"/>
  <c r="B240" i="23"/>
  <c r="C192" i="23"/>
  <c r="B199" i="23"/>
  <c r="B151" i="23"/>
  <c r="B165" i="23"/>
  <c r="B14" i="23"/>
  <c r="B71" i="23"/>
  <c r="B141" i="23"/>
  <c r="C89" i="23"/>
  <c r="B234" i="23"/>
  <c r="B55" i="23"/>
  <c r="C184" i="23"/>
  <c r="B131" i="23"/>
  <c r="C77" i="23"/>
  <c r="B159" i="23"/>
  <c r="C13" i="23"/>
  <c r="C126" i="23"/>
  <c r="B75" i="23"/>
  <c r="B242" i="23"/>
  <c r="C229" i="23"/>
  <c r="C167" i="23"/>
  <c r="B187" i="23"/>
  <c r="C142" i="23"/>
  <c r="B113" i="23"/>
  <c r="B7" i="23"/>
  <c r="B223" i="23"/>
  <c r="B104" i="23"/>
  <c r="B219" i="23"/>
  <c r="B88" i="23"/>
  <c r="B128" i="23"/>
  <c r="B232" i="23"/>
  <c r="C235" i="23"/>
  <c r="B194" i="23"/>
  <c r="C245" i="23"/>
  <c r="B186" i="23"/>
  <c r="B243" i="23"/>
  <c r="B62" i="23"/>
  <c r="C129" i="23"/>
  <c r="C72" i="23"/>
  <c r="B33" i="23"/>
  <c r="C104" i="23"/>
  <c r="C205" i="23"/>
  <c r="B3" i="23"/>
  <c r="C156" i="23"/>
  <c r="C24" i="23"/>
  <c r="C91" i="23"/>
  <c r="B18" i="23"/>
  <c r="C23" i="23"/>
  <c r="B149" i="23"/>
  <c r="C44" i="23"/>
  <c r="C115" i="23"/>
  <c r="C136" i="23"/>
  <c r="C79" i="23"/>
  <c r="B37" i="23"/>
  <c r="B222" i="23"/>
  <c r="B76" i="23"/>
  <c r="B152" i="23"/>
  <c r="B79" i="23"/>
  <c r="B202" i="23"/>
  <c r="B224" i="23"/>
  <c r="B207" i="23"/>
  <c r="C30" i="23"/>
  <c r="C64" i="23"/>
  <c r="B155" i="23"/>
  <c r="B130" i="23"/>
  <c r="B42" i="23"/>
  <c r="B213" i="23"/>
  <c r="B236" i="23"/>
  <c r="C38" i="23"/>
  <c r="C62" i="23"/>
  <c r="B201" i="23"/>
  <c r="C81" i="23"/>
  <c r="C177" i="23"/>
  <c r="C18" i="23"/>
  <c r="C141" i="23"/>
  <c r="B153" i="23"/>
  <c r="B83" i="23"/>
  <c r="B82" i="23"/>
  <c r="B52" i="23"/>
  <c r="B176" i="23"/>
  <c r="B249" i="23"/>
  <c r="C105" i="23"/>
  <c r="C33" i="23"/>
  <c r="C249" i="23"/>
  <c r="C162" i="23"/>
  <c r="C153" i="23"/>
  <c r="C106" i="23"/>
  <c r="B67" i="23"/>
  <c r="B193" i="23"/>
  <c r="B208" i="23"/>
  <c r="C196" i="23"/>
  <c r="B230" i="23"/>
  <c r="B59" i="23"/>
  <c r="B148" i="23"/>
  <c r="C80" i="23"/>
  <c r="B22" i="23"/>
  <c r="C206" i="23"/>
  <c r="B162" i="23"/>
  <c r="B28" i="23"/>
  <c r="C32" i="23"/>
  <c r="B87" i="23"/>
  <c r="B172" i="23"/>
  <c r="C88" i="23"/>
  <c r="B101" i="23"/>
  <c r="C78" i="23"/>
  <c r="B143" i="23"/>
  <c r="B15" i="23"/>
  <c r="C53" i="23"/>
  <c r="B92" i="23"/>
  <c r="B214" i="23"/>
  <c r="B34" i="23"/>
  <c r="C233" i="23"/>
  <c r="C244" i="23"/>
  <c r="C128" i="23"/>
  <c r="C21" i="23"/>
  <c r="B26" i="23"/>
  <c r="C113" i="23"/>
  <c r="C186" i="23"/>
  <c r="C209" i="23"/>
  <c r="B54" i="23"/>
  <c r="C85" i="23"/>
  <c r="C194" i="23"/>
  <c r="C146" i="23"/>
  <c r="B98" i="23"/>
  <c r="B241" i="23"/>
  <c r="C67" i="23"/>
  <c r="B81" i="23"/>
  <c r="B73" i="23"/>
  <c r="C47" i="23"/>
  <c r="C119" i="23"/>
  <c r="C220" i="23"/>
  <c r="B192" i="23"/>
  <c r="C212" i="23"/>
  <c r="C246" i="23"/>
  <c r="C216" i="23"/>
  <c r="B238" i="23"/>
  <c r="B184" i="23"/>
  <c r="C185" i="23"/>
  <c r="B64" i="23"/>
  <c r="B100" i="23"/>
  <c r="B57" i="23"/>
  <c r="C29" i="23"/>
  <c r="C183" i="23"/>
  <c r="B115" i="23"/>
  <c r="C224" i="23"/>
  <c r="C203" i="23"/>
  <c r="C59" i="23"/>
  <c r="B127" i="23"/>
  <c r="B65" i="23"/>
  <c r="C241" i="23"/>
  <c r="C98" i="23"/>
  <c r="C92" i="23"/>
  <c r="C198" i="23"/>
  <c r="C237" i="23"/>
  <c r="C40" i="23"/>
  <c r="C150" i="23"/>
  <c r="B13" i="23"/>
  <c r="B185" i="23"/>
  <c r="C201" i="23"/>
  <c r="C4" i="23"/>
  <c r="C139" i="23"/>
  <c r="C107" i="23"/>
  <c r="C112" i="23"/>
  <c r="B161" i="23"/>
  <c r="B229" i="23"/>
  <c r="C170" i="23"/>
  <c r="C60" i="23"/>
  <c r="C58" i="23"/>
  <c r="B154" i="23"/>
  <c r="C159" i="23"/>
  <c r="B126" i="23"/>
  <c r="C191" i="23"/>
  <c r="C166" i="23"/>
  <c r="C195" i="23"/>
  <c r="C6" i="23"/>
  <c r="B17" i="23"/>
  <c r="C52" i="23"/>
  <c r="B84" i="23"/>
  <c r="B209" i="23"/>
  <c r="B138" i="23"/>
  <c r="B36" i="23"/>
  <c r="C71" i="23"/>
  <c r="B217" i="23"/>
  <c r="C169" i="23"/>
</calcChain>
</file>

<file path=xl/comments1.xml><?xml version="1.0" encoding="utf-8"?>
<comments xmlns="http://schemas.openxmlformats.org/spreadsheetml/2006/main">
  <authors>
    <author>Arturo Mendoza Torres</author>
  </authors>
  <commentList>
    <comment ref="E62" authorId="0" shapeId="0">
      <text>
        <r>
          <rPr>
            <b/>
            <sz val="9"/>
            <color indexed="81"/>
            <rFont val="Tahoma"/>
            <family val="2"/>
          </rPr>
          <t>Arturo Mendoza Torres: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*</t>
        </r>
        <r>
          <rPr>
            <sz val="12"/>
            <color indexed="81"/>
            <rFont val="Tahoma"/>
            <family val="2"/>
          </rPr>
          <t xml:space="preserve">En caso de firma de la Secretaria, favor de suprimir la información contenida en esta celda.
</t>
        </r>
        <r>
          <rPr>
            <b/>
            <sz val="12"/>
            <color indexed="81"/>
            <rFont val="Tahoma"/>
            <family val="2"/>
          </rPr>
          <t>*</t>
        </r>
        <r>
          <rPr>
            <sz val="12"/>
            <color indexed="81"/>
            <rFont val="Tahoma"/>
            <family val="2"/>
          </rPr>
          <t>En caso de firma por delegatorio, actualizar número y fecha del mismo.</t>
        </r>
      </text>
    </comment>
  </commentList>
</comments>
</file>

<file path=xl/sharedStrings.xml><?xml version="1.0" encoding="utf-8"?>
<sst xmlns="http://schemas.openxmlformats.org/spreadsheetml/2006/main" count="370" uniqueCount="349">
  <si>
    <t>GOBIERNO DEL ESTADO DE GUANAJUATO</t>
  </si>
  <si>
    <t>FORMATO DE GASTO DE OPERACIÓN</t>
  </si>
  <si>
    <t xml:space="preserve">Relación de </t>
  </si>
  <si>
    <t>documentos que amparan un importe de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</si>
  <si>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</si>
  <si>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</si>
  <si>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</si>
  <si>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</si>
  <si>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</si>
  <si>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</si>
  <si>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</si>
  <si>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</si>
  <si>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</si>
  <si>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</si>
  <si>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</si>
  <si>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</si>
  <si>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</si>
  <si>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</si>
  <si>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</si>
  <si>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</si>
  <si>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</si>
  <si>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</si>
  <si>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</si>
  <si>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</si>
  <si>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</si>
  <si>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</si>
  <si>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</si>
  <si>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</si>
  <si>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</si>
  <si>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</si>
  <si>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ELABORA</t>
  </si>
  <si>
    <t>AUTORIZA</t>
  </si>
  <si>
    <t>REGISTROS DE CONTROL</t>
  </si>
  <si>
    <t>SELLO Y FIRMA DE LA DIRECCIÓN GENERAL</t>
  </si>
  <si>
    <t>SELLO Y FIRMA RECIBIDO DE</t>
  </si>
  <si>
    <t>DE PRESUPUESTO</t>
  </si>
  <si>
    <t>LA DIRECCIÓN GENERAL DE EGRESOS</t>
  </si>
  <si>
    <t>INGRESO</t>
  </si>
  <si>
    <t xml:space="preserve">Lic. Monica Rico Gamiño </t>
  </si>
  <si>
    <t>Lic. Jorge Alberto Caballero Cordova</t>
  </si>
  <si>
    <t>Lic. Ana Karina Palmas Espinosa</t>
  </si>
  <si>
    <t>Lic. Astrid Berenice Rangel Perez</t>
  </si>
  <si>
    <t>Lic. Paulo Yañez Quintero</t>
  </si>
  <si>
    <t>Lic. Stephanie Yunuen Jimenez Mejía</t>
  </si>
  <si>
    <t>C.P. Ma. Consuelo Hernández Pérez</t>
  </si>
  <si>
    <t>Lic. Doris Lorena Alba Gonzalez</t>
  </si>
  <si>
    <t>Lic. Betzahira Sarai Mendoza Montoya</t>
  </si>
  <si>
    <t>Lic. Luz Margarita Robledo Olivares</t>
  </si>
  <si>
    <t>Lic. Zurizadai Mariana Torres Torrres</t>
  </si>
  <si>
    <t>C.P. Karina Lopez Ortega</t>
  </si>
  <si>
    <t>CLAVE PRESUPUESTARIA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</si>
  <si>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</si>
  <si>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</si>
  <si>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</si>
  <si>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</si>
  <si>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</si>
  <si>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</si>
  <si>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</si>
  <si>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</si>
  <si>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</si>
  <si>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</si>
  <si>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</si>
  <si>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</si>
  <si>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</si>
  <si>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</si>
  <si>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</si>
  <si>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</si>
  <si>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</si>
  <si>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</si>
  <si>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</si>
  <si>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</si>
  <si>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</si>
  <si>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</si>
  <si>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</si>
  <si>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</si>
  <si>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</si>
  <si>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</si>
  <si>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</si>
  <si>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</si>
  <si>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</si>
  <si>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</si>
  <si>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</si>
  <si>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</si>
  <si>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</si>
  <si>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</si>
  <si>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</si>
  <si>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</si>
  <si>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</si>
  <si>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</si>
  <si>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</si>
  <si>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</si>
  <si>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</si>
  <si>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</si>
  <si>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</si>
  <si>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</si>
  <si>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</si>
  <si>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</si>
  <si>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</si>
  <si>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</si>
  <si>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</si>
  <si>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</si>
  <si>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</si>
  <si>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</si>
  <si>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</si>
  <si>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</si>
  <si>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</si>
  <si>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</si>
  <si>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</si>
  <si>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</si>
  <si>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</si>
  <si>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</si>
  <si>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</si>
  <si>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</si>
  <si>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</si>
  <si>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</si>
  <si>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</si>
  <si>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</si>
  <si>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</si>
  <si>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</si>
  <si>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</si>
  <si>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</si>
  <si>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</si>
  <si>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</si>
  <si>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</si>
  <si>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</si>
  <si>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</si>
  <si>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</si>
  <si>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</si>
  <si>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</si>
  <si>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</si>
  <si>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</si>
  <si>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</si>
  <si>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</si>
  <si>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</si>
  <si>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</si>
  <si>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</si>
  <si>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</si>
  <si>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</si>
  <si>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</si>
  <si>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</si>
  <si>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</si>
  <si>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</si>
  <si>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</si>
  <si>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</si>
  <si>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</si>
  <si>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</si>
  <si>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</si>
  <si>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</si>
  <si>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</si>
  <si>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</si>
  <si>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</si>
  <si>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</si>
  <si>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</si>
  <si>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</si>
  <si>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</si>
  <si>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</si>
  <si>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</si>
  <si>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</si>
  <si>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</si>
  <si>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</si>
  <si>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</si>
  <si>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</si>
  <si>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</si>
  <si>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</si>
  <si>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</si>
  <si>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</si>
  <si>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</si>
  <si>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</si>
  <si>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</si>
  <si>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</si>
  <si>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</si>
  <si>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</si>
  <si>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</si>
  <si>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</si>
  <si>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</si>
  <si>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</si>
  <si>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</si>
  <si>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</si>
  <si>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</si>
  <si>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</si>
  <si>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</si>
  <si>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</si>
  <si>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</si>
  <si>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</si>
  <si>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</si>
  <si>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</si>
  <si>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</si>
  <si>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</si>
  <si>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</si>
  <si>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</si>
  <si>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</si>
  <si>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</si>
  <si>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</si>
  <si>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</si>
  <si>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</si>
  <si>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</si>
  <si>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</si>
  <si>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</si>
  <si>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</si>
  <si>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</si>
  <si>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</si>
  <si>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</si>
  <si>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</si>
  <si>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</si>
  <si>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</si>
  <si>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</si>
  <si>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</si>
  <si>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</si>
  <si>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</si>
  <si>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</si>
  <si>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</si>
  <si>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</si>
  <si>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</si>
  <si>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</si>
  <si>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</si>
  <si>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</si>
  <si>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</si>
  <si>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</si>
  <si>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</si>
  <si>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</si>
  <si>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</si>
  <si>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</si>
  <si>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</si>
  <si>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</si>
  <si>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</si>
  <si>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</si>
  <si>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</si>
  <si>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</si>
  <si>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</si>
  <si>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</si>
  <si>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</si>
  <si>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</si>
  <si>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</si>
  <si>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</si>
  <si>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</si>
  <si>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</si>
  <si>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</si>
  <si>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</si>
  <si>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</si>
  <si>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</si>
  <si>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</si>
  <si>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</si>
  <si>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</si>
  <si>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</si>
  <si>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</si>
  <si>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</si>
  <si>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</si>
  <si>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</si>
  <si>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</si>
  <si>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</si>
  <si>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</si>
  <si>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</si>
  <si>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</si>
  <si>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</si>
  <si>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</si>
  <si>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</si>
  <si>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</si>
  <si>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</si>
  <si>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</si>
  <si>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</si>
  <si>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</si>
  <si>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</si>
  <si>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</si>
  <si>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</si>
  <si>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</si>
  <si>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</si>
  <si>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</si>
  <si>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</si>
  <si>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</si>
  <si>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</si>
  <si>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</si>
  <si>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</si>
  <si>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</si>
  <si>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</si>
  <si>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</si>
  <si>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</si>
  <si>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</si>
  <si>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</si>
  <si>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</si>
  <si>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</si>
  <si>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</si>
  <si>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</si>
  <si>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</si>
  <si>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</si>
  <si>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</si>
  <si>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</si>
  <si>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</si>
  <si>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</si>
  <si>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</si>
  <si>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</si>
  <si>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</si>
  <si>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</si>
  <si>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</si>
  <si>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</si>
  <si>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</si>
  <si>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</si>
  <si>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</si>
  <si>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</si>
  <si>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</si>
  <si>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</si>
  <si>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</si>
  <si>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NOMBRE DE RESPONSABLE DE ENLACE</t>
  </si>
  <si>
    <t xml:space="preserve">COMPROBANTE </t>
  </si>
  <si>
    <t>IMPORTE TOTAL</t>
  </si>
  <si>
    <t xml:space="preserve">que se envían para su revisión y trámite de pago         </t>
  </si>
  <si>
    <t xml:space="preserve">TITULAR DE LA DEPENDENCIA 
LIC. MARÍA TERESA MATAMOROS MONTES
SECRETARIA DE TURISMO </t>
  </si>
  <si>
    <t>DIRECTORA ADMINISTRATIVA</t>
  </si>
  <si>
    <t>LIC. MIGUEL AUGUSTO GUTIÉRREZ HERNÁNDEZ
SUBSECRETARIO DE PROMOCIÓN TURÍSTICA
(De conformidad con el artículo 4 y 35 del Reglamento Interior de la Secretaría de Turismo, firma en suplencia por ausencia del Titular de la Secretaría de Turismo, el Subsecretario de Promoción Turística, Lic. Miguel Augusto Gutiérrez Hernández.</t>
  </si>
  <si>
    <t>LIC. ROBERTO W. CÁRDENAS HERNÁNDEZ
DIRECTOR GENERAL DE PLANEACIÓN 
(De conformidad con el artículo 4 y 35 del Reglamento Interior de la Secretaría de Turismo, firma en suplencia por ausencia del Titular de la Secretaría de Turismo, el Director General de Planeación, Lic. Roberto W. Cárdenas Hernández.</t>
  </si>
  <si>
    <t>LIC. ILAYALI PIMENTEL REDONDO</t>
  </si>
  <si>
    <t>Previa designación hecha mediante oficio delegatorio No. SECTUR/xxx/19 de fecha xx de xxx de 2020.</t>
  </si>
  <si>
    <t>Y20.GG.G1074</t>
  </si>
  <si>
    <t>Y20.GG.G2061</t>
  </si>
  <si>
    <t>Y20.GG.P0292</t>
  </si>
  <si>
    <t>Y20.GG.P0293</t>
  </si>
  <si>
    <t>Y20.GG.Q0340</t>
  </si>
  <si>
    <t>Y20.GG.Q0341</t>
  </si>
  <si>
    <t>Y20.GG.Q0342</t>
  </si>
  <si>
    <t>Y20.GG.Q0343</t>
  </si>
  <si>
    <t>Y20.GG.Q0344</t>
  </si>
  <si>
    <t>Y20.GG.Q0345</t>
  </si>
  <si>
    <t>Y20.GG.Q0346</t>
  </si>
  <si>
    <t>Y20.GG.Q0348</t>
  </si>
  <si>
    <t>Y20.GG.Q0355</t>
  </si>
  <si>
    <t>Y20.GG.Q0358</t>
  </si>
  <si>
    <t>Y20.GG.Q0360</t>
  </si>
  <si>
    <t>Y20.GG.Q0363</t>
  </si>
  <si>
    <t>Y20.GG.Q0368</t>
  </si>
  <si>
    <t>Y20.GG.Q0373</t>
  </si>
  <si>
    <t>Y20.GG.Q0374</t>
  </si>
  <si>
    <t>Y20.GG.Q0375</t>
  </si>
  <si>
    <t>Y20.GG.Q0376</t>
  </si>
  <si>
    <t>Y20.GG.Q0377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</si>
  <si>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</si>
  <si>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</si>
  <si>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</si>
  <si>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</si>
  <si>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</si>
  <si>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</si>
  <si>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</si>
  <si>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</si>
  <si>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</si>
  <si>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</si>
  <si>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</si>
  <si>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</si>
  <si>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Y20.GG.G1286</t>
  </si>
  <si>
    <t>Y20.GG.Q3214</t>
  </si>
  <si>
    <t>FORMATO GO - 1  20</t>
  </si>
  <si>
    <t>LIC. MARCO ANTONIO TRIANA GONZÁLEZ
DIRECTOR DE ASUNTOS JURÍDICOS
POR ACUERDO SECRETARIAL 001/2020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</si>
</sst>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79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4" fillId="0" borderId="0" xfId="0" applyFont="1" applyBorder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lef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44" fontId="3" fillId="0" borderId="28" xfId="1" applyFont="1" applyFill="1" applyBorder="1" applyAlignment="1" applyProtection="1">
      <alignment horizontal="right"/>
      <protection locked="0"/>
    </xf>
    <xf numFmtId="44" fontId="7" fillId="0" borderId="27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5" fillId="0" borderId="26" xfId="0" applyFont="1" applyFill="1" applyBorder="1" applyProtection="1"/>
    <xf numFmtId="0" fontId="5" fillId="0" borderId="6" xfId="0" applyFont="1" applyFill="1" applyBorder="1" applyProtection="1"/>
    <xf numFmtId="0" fontId="3" fillId="0" borderId="0" xfId="0" applyFont="1" applyFill="1" applyAlignment="1" applyProtection="1">
      <alignment vertical="center"/>
    </xf>
    <xf numFmtId="0" fontId="2" fillId="0" borderId="23" xfId="0" applyFont="1" applyFill="1" applyBorder="1" applyAlignment="1" applyProtection="1">
      <alignment horizontal="center"/>
      <protection locked="0"/>
    </xf>
    <xf numFmtId="0" fontId="2" fillId="0" borderId="16" xfId="0" applyFont="1" applyFill="1" applyBorder="1" applyAlignment="1" applyProtection="1">
      <alignment horizontal="center"/>
      <protection locked="0"/>
    </xf>
    <xf numFmtId="0" fontId="2" fillId="0" borderId="6" xfId="0" applyFont="1" applyFill="1" applyBorder="1" applyAlignment="1" applyProtection="1">
      <alignment horizontal="left"/>
    </xf>
    <xf numFmtId="0" fontId="2" fillId="0" borderId="37" xfId="0" applyFont="1" applyFill="1" applyBorder="1" applyAlignment="1" applyProtection="1">
      <alignment vertical="center" wrapText="1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5" fillId="0" borderId="39" xfId="0" applyFont="1" applyFill="1" applyBorder="1" applyProtection="1"/>
    <xf numFmtId="0" fontId="5" fillId="0" borderId="40" xfId="0" applyFont="1" applyFill="1" applyBorder="1" applyProtection="1"/>
    <xf numFmtId="0" fontId="5" fillId="0" borderId="42" xfId="0" applyFont="1" applyFill="1" applyBorder="1" applyProtection="1"/>
    <xf numFmtId="0" fontId="2" fillId="0" borderId="43" xfId="0" applyFont="1" applyFill="1" applyBorder="1" applyAlignment="1" applyProtection="1"/>
    <xf numFmtId="0" fontId="5" fillId="0" borderId="43" xfId="0" applyFont="1" applyFill="1" applyBorder="1" applyProtection="1"/>
    <xf numFmtId="0" fontId="3" fillId="0" borderId="42" xfId="0" applyFont="1" applyFill="1" applyBorder="1" applyProtection="1"/>
    <xf numFmtId="0" fontId="2" fillId="0" borderId="42" xfId="0" applyFont="1" applyFill="1" applyBorder="1" applyAlignment="1" applyProtection="1"/>
    <xf numFmtId="0" fontId="2" fillId="0" borderId="42" xfId="0" applyFont="1" applyFill="1" applyBorder="1" applyProtection="1"/>
    <xf numFmtId="165" fontId="3" fillId="0" borderId="43" xfId="0" applyNumberFormat="1" applyFont="1" applyFill="1" applyBorder="1" applyAlignment="1" applyProtection="1">
      <alignment horizontal="center" vertical="center"/>
    </xf>
    <xf numFmtId="0" fontId="3" fillId="0" borderId="43" xfId="0" applyFont="1" applyFill="1" applyBorder="1" applyAlignment="1" applyProtection="1">
      <alignment horizontal="left"/>
      <protection locked="0"/>
    </xf>
    <xf numFmtId="0" fontId="2" fillId="0" borderId="43" xfId="0" applyFont="1" applyFill="1" applyBorder="1" applyAlignment="1" applyProtection="1">
      <alignment horizontal="left"/>
      <protection locked="0"/>
    </xf>
    <xf numFmtId="0" fontId="2" fillId="0" borderId="44" xfId="0" applyFont="1" applyFill="1" applyBorder="1" applyAlignment="1" applyProtection="1">
      <alignment horizontal="left"/>
      <protection locked="0"/>
    </xf>
    <xf numFmtId="0" fontId="3" fillId="0" borderId="43" xfId="0" applyFont="1" applyFill="1" applyBorder="1" applyProtection="1"/>
    <xf numFmtId="0" fontId="5" fillId="0" borderId="59" xfId="0" applyFont="1" applyFill="1" applyBorder="1" applyProtection="1"/>
    <xf numFmtId="0" fontId="3" fillId="0" borderId="60" xfId="0" applyFont="1" applyFill="1" applyBorder="1" applyProtection="1"/>
    <xf numFmtId="0" fontId="5" fillId="0" borderId="60" xfId="0" applyFont="1" applyFill="1" applyBorder="1" applyProtection="1"/>
    <xf numFmtId="0" fontId="5" fillId="0" borderId="61" xfId="0" applyFont="1" applyFill="1" applyBorder="1" applyProtection="1"/>
    <xf numFmtId="0" fontId="3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right"/>
    </xf>
    <xf numFmtId="0" fontId="2" fillId="0" borderId="49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44" fontId="3" fillId="0" borderId="24" xfId="1" applyFont="1" applyFill="1" applyBorder="1" applyAlignment="1" applyProtection="1">
      <alignment horizontal="center"/>
      <protection locked="0"/>
    </xf>
    <xf numFmtId="44" fontId="3" fillId="0" borderId="25" xfId="1" applyFont="1" applyFill="1" applyBorder="1" applyAlignment="1" applyProtection="1">
      <alignment horizontal="center"/>
      <protection locked="0"/>
    </xf>
    <xf numFmtId="0" fontId="3" fillId="0" borderId="55" xfId="0" applyFont="1" applyFill="1" applyBorder="1" applyAlignment="1" applyProtection="1">
      <alignment horizontal="left"/>
      <protection locked="0"/>
    </xf>
    <xf numFmtId="0" fontId="3" fillId="0" borderId="23" xfId="0" applyFont="1" applyFill="1" applyBorder="1" applyAlignment="1" applyProtection="1">
      <alignment horizontal="left"/>
      <protection locked="0"/>
    </xf>
    <xf numFmtId="44" fontId="3" fillId="0" borderId="24" xfId="1" applyFont="1" applyBorder="1" applyAlignment="1" applyProtection="1">
      <alignment horizontal="center"/>
      <protection locked="0"/>
    </xf>
    <xf numFmtId="44" fontId="3" fillId="0" borderId="25" xfId="1" applyFont="1" applyBorder="1" applyAlignment="1" applyProtection="1">
      <alignment horizontal="center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42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52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49" xfId="0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left"/>
      <protection locked="0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3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3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49" xfId="0" applyNumberFormat="1" applyFont="1" applyFill="1" applyBorder="1" applyAlignment="1" applyProtection="1">
      <alignment horizontal="center" vertical="center"/>
      <protection locked="0"/>
    </xf>
    <xf numFmtId="165" fontId="2" fillId="0" borderId="33" xfId="0" applyNumberFormat="1" applyFont="1" applyFill="1" applyBorder="1" applyAlignment="1" applyProtection="1">
      <alignment horizontal="center" vertical="center"/>
      <protection locked="0"/>
    </xf>
    <xf numFmtId="165" fontId="2" fillId="0" borderId="50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1" xfId="0" applyNumberFormat="1" applyFont="1" applyFill="1" applyBorder="1" applyAlignment="1" applyProtection="1">
      <alignment horizontal="center" vertical="center"/>
      <protection locked="0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8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3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6" fillId="0" borderId="40" xfId="0" applyFont="1" applyFill="1" applyBorder="1" applyAlignment="1" applyProtection="1">
      <alignment horizontal="center"/>
    </xf>
    <xf numFmtId="0" fontId="6" fillId="0" borderId="41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/>
    </xf>
    <xf numFmtId="0" fontId="2" fillId="0" borderId="42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2" xfId="0" applyFont="1" applyFill="1" applyBorder="1" applyAlignment="1" applyProtection="1">
      <alignment horizontal="center"/>
    </xf>
    <xf numFmtId="0" fontId="3" fillId="0" borderId="24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left"/>
    </xf>
    <xf numFmtId="164" fontId="2" fillId="0" borderId="44" xfId="0" applyNumberFormat="1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46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47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48" xfId="0" applyFont="1" applyFill="1" applyBorder="1" applyAlignment="1" applyProtection="1">
      <alignment horizontal="center" vertical="center"/>
    </xf>
    <xf numFmtId="0" fontId="2" fillId="0" borderId="49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3" fillId="0" borderId="43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44" xfId="0" applyFont="1" applyFill="1" applyBorder="1" applyAlignment="1" applyProtection="1">
      <alignment horizontal="center"/>
    </xf>
    <xf numFmtId="0" fontId="3" fillId="0" borderId="53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42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26" xfId="0" applyFont="1" applyFill="1" applyBorder="1" applyAlignment="1" applyProtection="1">
      <alignment horizontal="center" vertical="center"/>
    </xf>
    <xf numFmtId="0" fontId="3" fillId="0" borderId="6" xfId="0" applyFont="1" applyFill="1" applyBorder="1" applyAlignment="1" applyProtection="1">
      <alignment horizontal="center" vertical="center"/>
    </xf>
    <xf numFmtId="0" fontId="3" fillId="0" borderId="44" xfId="0" applyFont="1" applyFill="1" applyBorder="1" applyAlignment="1" applyProtection="1">
      <alignment horizontal="center" vertical="center"/>
    </xf>
    <xf numFmtId="0" fontId="3" fillId="0" borderId="56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56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46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5" xfId="0" applyFont="1" applyFill="1" applyBorder="1" applyAlignment="1" applyProtection="1">
      <alignment horizontal="center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62" xfId="0" applyFont="1" applyFill="1" applyBorder="1" applyAlignment="1" applyProtection="1">
      <alignment horizontal="center" vertical="center" wrapText="1"/>
      <protection locked="0"/>
    </xf>
    <xf numFmtId="0" fontId="3" fillId="0" borderId="34" xfId="0" applyFont="1" applyFill="1" applyBorder="1" applyAlignment="1" applyProtection="1">
      <alignment horizontal="center"/>
    </xf>
    <xf numFmtId="0" fontId="3" fillId="0" borderId="58" xfId="0" applyFont="1" applyFill="1" applyBorder="1" applyAlignment="1" applyProtection="1">
      <alignment horizontal="center"/>
    </xf>
    <xf numFmtId="0" fontId="3" fillId="0" borderId="24" xfId="0" applyFont="1" applyFill="1" applyBorder="1" applyAlignment="1" applyProtection="1">
      <alignment horizontal="center"/>
    </xf>
    <xf numFmtId="0" fontId="2" fillId="0" borderId="54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center"/>
    </xf>
    <xf numFmtId="0" fontId="2" fillId="0" borderId="24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25" xfId="0" applyFont="1" applyFill="1" applyBorder="1" applyAlignment="1" applyProtection="1">
      <alignment horizontal="center"/>
      <protection locked="0"/>
    </xf>
    <xf numFmtId="0" fontId="2" fillId="0" borderId="28" xfId="0" applyFont="1" applyFill="1" applyBorder="1" applyAlignment="1" applyProtection="1">
      <alignment horizontal="center"/>
      <protection locked="0"/>
    </xf>
    <xf numFmtId="0" fontId="2" fillId="0" borderId="6" xfId="0" applyFont="1" applyFill="1" applyBorder="1" applyAlignment="1" applyProtection="1">
      <alignment horizontal="center"/>
      <protection locked="0"/>
    </xf>
    <xf numFmtId="0" fontId="2" fillId="0" borderId="27" xfId="0" applyFont="1" applyFill="1" applyBorder="1" applyAlignment="1" applyProtection="1">
      <alignment horizontal="center"/>
      <protection locked="0"/>
    </xf>
    <xf numFmtId="0" fontId="3" fillId="0" borderId="34" xfId="0" applyFont="1" applyFill="1" applyBorder="1" applyAlignment="1" applyProtection="1">
      <alignment horizontal="center"/>
      <protection locked="0"/>
    </xf>
    <xf numFmtId="0" fontId="3" fillId="0" borderId="35" xfId="0" applyFont="1" applyFill="1" applyBorder="1" applyAlignment="1" applyProtection="1">
      <alignment horizontal="center"/>
      <protection locked="0"/>
    </xf>
    <xf numFmtId="0" fontId="3" fillId="0" borderId="36" xfId="0" applyFont="1" applyFill="1" applyBorder="1" applyAlignment="1" applyProtection="1">
      <alignment horizontal="center"/>
      <protection locked="0"/>
    </xf>
    <xf numFmtId="0" fontId="3" fillId="0" borderId="57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/>
    </xf>
    <xf numFmtId="0" fontId="2" fillId="0" borderId="53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54" xfId="0" applyFont="1" applyFill="1" applyBorder="1" applyAlignment="1" applyProtection="1">
      <alignment horizontal="center" vertical="center" wrapText="1"/>
    </xf>
    <xf numFmtId="0" fontId="2" fillId="0" borderId="6" xfId="0" applyFont="1" applyFill="1" applyBorder="1" applyAlignment="1" applyProtection="1">
      <alignment horizontal="center" vertical="center" wrapText="1"/>
    </xf>
    <xf numFmtId="0" fontId="2" fillId="0" borderId="7" xfId="0" applyFont="1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  <protection locked="0"/>
    </xf>
    <xf numFmtId="0" fontId="9" fillId="0" borderId="9" xfId="0" applyFont="1" applyFill="1" applyBorder="1" applyAlignment="1" applyProtection="1">
      <alignment horizontal="center" vertical="center" wrapText="1"/>
      <protection locked="0"/>
    </xf>
    <xf numFmtId="0" fontId="9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8" xfId="0" applyFont="1" applyFill="1" applyBorder="1" applyAlignment="1" applyProtection="1">
      <alignment horizontal="center"/>
    </xf>
    <xf numFmtId="0" fontId="3" fillId="0" borderId="45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center" vertical="center"/>
    </xf>
    <xf numFmtId="44" fontId="3" fillId="0" borderId="31" xfId="1" applyFont="1" applyFill="1" applyBorder="1" applyAlignment="1" applyProtection="1">
      <alignment horizontal="center" vertical="center"/>
    </xf>
    <xf numFmtId="44" fontId="3" fillId="0" borderId="29" xfId="1" applyFont="1" applyFill="1" applyBorder="1" applyAlignment="1" applyProtection="1">
      <alignment horizontal="center" vertical="center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392907</xdr:colOff>
      <xdr:row>1</xdr:row>
      <xdr:rowOff>59531</xdr:rowOff>
    </xdr:from>
    <xdr:to>
      <xdr:col>2</xdr:col>
      <xdr:colOff>285750</xdr:colOff>
      <xdr:row>5</xdr:row>
      <xdr:rowOff>125016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907" y="297656"/>
          <a:ext cx="2345531" cy="11727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75"/>
  <sheetViews>
    <sheetView tabSelected="1" zoomScale="80" zoomScaleNormal="80" workbookViewId="0">
      <selection activeCell="E61" sqref="E61:G61"/>
    </sheetView>
  </sheetViews>
  <sheetFormatPr baseColWidth="10" defaultColWidth="11.42578125" defaultRowHeight="18.75" x14ac:dyDescent="0.3"/>
  <cols>
    <col min="1" max="1" width="19.42578125" style="8" customWidth="1"/>
    <col min="2" max="2" width="17.28515625" style="8" customWidth="1"/>
    <col min="3" max="3" width="19.5703125" style="8" customWidth="1"/>
    <col min="4" max="4" width="12.28515625" style="8" bestFit="1" customWidth="1"/>
    <col min="5" max="5" width="24.5703125" style="8" customWidth="1"/>
    <col min="6" max="6" width="22.5703125" style="8" customWidth="1"/>
    <col min="7" max="7" width="21.140625" style="8" customWidth="1"/>
    <col min="8" max="8" width="13.5703125" style="8" customWidth="1"/>
    <col min="9" max="9" width="33.7109375" style="8" customWidth="1"/>
    <col min="10" max="16384" width="11.42578125" style="8"/>
  </cols>
  <sheetData>
    <row r="1" spans="1:9" x14ac:dyDescent="0.3">
      <c r="A1" s="37"/>
      <c r="B1" s="38"/>
      <c r="C1" s="38"/>
      <c r="D1" s="38"/>
      <c r="E1" s="38"/>
      <c r="F1" s="38"/>
      <c r="G1" s="38"/>
      <c r="H1" s="98" t="s">
        <v>347</v>
      </c>
      <c r="I1" s="99"/>
    </row>
    <row r="2" spans="1:9" ht="26.25" customHeight="1" x14ac:dyDescent="0.3">
      <c r="A2" s="39"/>
      <c r="B2" s="9"/>
      <c r="C2" s="100" t="s">
        <v>0</v>
      </c>
      <c r="D2" s="100"/>
      <c r="E2" s="100"/>
      <c r="F2" s="100"/>
      <c r="G2" s="100"/>
      <c r="H2" s="100"/>
      <c r="I2" s="101"/>
    </row>
    <row r="3" spans="1:9" ht="26.25" customHeight="1" x14ac:dyDescent="0.3">
      <c r="A3" s="39"/>
      <c r="B3" s="9"/>
      <c r="C3" s="100" t="s">
        <v>1</v>
      </c>
      <c r="D3" s="100"/>
      <c r="E3" s="100"/>
      <c r="F3" s="100"/>
      <c r="G3" s="100"/>
      <c r="H3" s="100"/>
      <c r="I3" s="101"/>
    </row>
    <row r="4" spans="1:9" ht="15.75" customHeight="1" x14ac:dyDescent="0.3">
      <c r="A4" s="102"/>
      <c r="B4" s="103"/>
      <c r="C4" s="103"/>
      <c r="D4" s="103"/>
      <c r="E4" s="103"/>
      <c r="F4" s="10"/>
      <c r="G4" s="10"/>
      <c r="H4" s="10"/>
      <c r="I4" s="40"/>
    </row>
    <row r="5" spans="1:9" x14ac:dyDescent="0.3">
      <c r="A5" s="39"/>
      <c r="B5" s="9"/>
      <c r="C5" s="9"/>
      <c r="D5" s="9"/>
      <c r="E5" s="9"/>
      <c r="F5" s="9"/>
      <c r="G5" s="9"/>
      <c r="H5" s="9"/>
      <c r="I5" s="41"/>
    </row>
    <row r="6" spans="1:9" x14ac:dyDescent="0.3">
      <c r="A6" s="104"/>
      <c r="B6" s="100"/>
      <c r="C6" s="100"/>
      <c r="D6" s="100"/>
      <c r="E6" s="100"/>
      <c r="F6" s="100"/>
      <c r="G6" s="100"/>
      <c r="H6" s="100"/>
      <c r="I6" s="101"/>
    </row>
    <row r="7" spans="1:9" x14ac:dyDescent="0.3">
      <c r="A7" s="39"/>
      <c r="B7" s="9"/>
      <c r="C7" s="9"/>
      <c r="D7" s="11"/>
      <c r="E7" s="11"/>
      <c r="F7" s="11"/>
      <c r="G7" s="11"/>
      <c r="H7" s="9"/>
      <c r="I7" s="41"/>
    </row>
    <row r="8" spans="1:9" ht="12.75" customHeight="1" x14ac:dyDescent="0.3">
      <c r="A8" s="39"/>
      <c r="B8" s="9"/>
      <c r="C8" s="9"/>
      <c r="D8" s="9"/>
      <c r="E8" s="9"/>
      <c r="F8" s="9"/>
      <c r="G8" s="9"/>
      <c r="H8" s="9"/>
      <c r="I8" s="41"/>
    </row>
    <row r="9" spans="1:9" ht="17.25" customHeight="1" x14ac:dyDescent="0.3">
      <c r="A9" s="39"/>
      <c r="B9" s="11"/>
      <c r="C9" s="11" t="s">
        <v>2</v>
      </c>
      <c r="D9" s="34">
        <f>COUNTA(A27:B50)</f>
        <v>0</v>
      </c>
      <c r="E9" s="106" t="s">
        <v>3</v>
      </c>
      <c r="F9" s="106"/>
      <c r="G9" s="106"/>
      <c r="H9" s="107">
        <f>D53</f>
        <v>500</v>
      </c>
      <c r="I9" s="108"/>
    </row>
    <row r="10" spans="1:9" ht="17.25" customHeight="1" x14ac:dyDescent="0.3">
      <c r="A10" s="39"/>
      <c r="B10" s="11"/>
      <c r="C10" s="106" t="s">
        <v>304</v>
      </c>
      <c r="D10" s="106"/>
      <c r="E10" s="106"/>
      <c r="F10" s="106"/>
      <c r="G10" s="106"/>
      <c r="H10" s="9"/>
      <c r="I10" s="41"/>
    </row>
    <row r="11" spans="1:9" x14ac:dyDescent="0.3">
      <c r="A11" s="39"/>
      <c r="B11" s="9"/>
      <c r="C11" s="9"/>
      <c r="D11" s="9"/>
      <c r="E11" s="9"/>
      <c r="F11" s="9"/>
      <c r="G11" s="9"/>
      <c r="H11" s="9"/>
      <c r="I11" s="41"/>
    </row>
    <row r="12" spans="1:9" ht="28.9" customHeight="1" x14ac:dyDescent="0.3">
      <c r="A12" s="104"/>
      <c r="B12" s="100"/>
      <c r="C12" s="100"/>
      <c r="D12" s="9"/>
      <c r="E12" s="109" t="s">
        <v>4</v>
      </c>
      <c r="F12" s="110"/>
      <c r="G12" s="110"/>
      <c r="H12" s="110"/>
      <c r="I12" s="111"/>
    </row>
    <row r="13" spans="1:9" ht="10.15" customHeight="1" x14ac:dyDescent="0.3">
      <c r="A13" s="39"/>
      <c r="B13" s="9"/>
      <c r="C13" s="9"/>
      <c r="D13" s="9"/>
      <c r="E13" s="112" t="s">
        <v>5</v>
      </c>
      <c r="F13" s="113"/>
      <c r="G13" s="113"/>
      <c r="H13" s="113"/>
      <c r="I13" s="114"/>
    </row>
    <row r="14" spans="1:9" ht="27" customHeight="1" thickBot="1" x14ac:dyDescent="0.35">
      <c r="A14" s="42" t="s">
        <v>6</v>
      </c>
      <c r="B14" s="9"/>
      <c r="C14" s="9"/>
      <c r="D14" s="9"/>
      <c r="E14" s="115"/>
      <c r="F14" s="116"/>
      <c r="G14" s="116"/>
      <c r="H14" s="116"/>
      <c r="I14" s="117"/>
    </row>
    <row r="15" spans="1:9" ht="26.45" customHeight="1" thickTop="1" x14ac:dyDescent="0.3">
      <c r="A15" s="104" t="s">
        <v>0</v>
      </c>
      <c r="B15" s="100"/>
      <c r="C15" s="100"/>
      <c r="D15" s="118"/>
      <c r="E15" s="14" t="s">
        <v>7</v>
      </c>
      <c r="F15" s="15" t="s">
        <v>8</v>
      </c>
      <c r="G15" s="119" t="s">
        <v>9</v>
      </c>
      <c r="H15" s="119" t="s">
        <v>10</v>
      </c>
      <c r="I15" s="120"/>
    </row>
    <row r="16" spans="1:9" ht="16.5" customHeight="1" x14ac:dyDescent="0.3">
      <c r="A16" s="39"/>
      <c r="B16" s="9"/>
      <c r="C16" s="9"/>
      <c r="D16" s="9"/>
      <c r="E16" s="16" t="s">
        <v>11</v>
      </c>
      <c r="F16" s="17" t="s">
        <v>12</v>
      </c>
      <c r="G16" s="69"/>
      <c r="H16" s="69"/>
      <c r="I16" s="121"/>
    </row>
    <row r="17" spans="1:9" s="20" customFormat="1" ht="24" customHeight="1" x14ac:dyDescent="0.25">
      <c r="A17" s="43" t="s">
        <v>13</v>
      </c>
      <c r="B17" s="18">
        <v>5185913</v>
      </c>
      <c r="C17" s="55" t="s">
        <v>14</v>
      </c>
      <c r="D17" s="19" t="s">
        <v>15</v>
      </c>
      <c r="E17" s="75" t="s">
        <v>16</v>
      </c>
      <c r="F17" s="87"/>
      <c r="G17" s="78" t="s">
        <v>17</v>
      </c>
      <c r="H17" s="81" t="s">
        <v>18</v>
      </c>
      <c r="I17" s="82"/>
    </row>
    <row r="18" spans="1:9" s="20" customFormat="1" ht="18.600000000000001" customHeight="1" x14ac:dyDescent="0.25">
      <c r="A18" s="43"/>
      <c r="B18" s="18"/>
      <c r="C18" s="55"/>
      <c r="D18" s="19"/>
      <c r="E18" s="76"/>
      <c r="F18" s="88"/>
      <c r="G18" s="79"/>
      <c r="H18" s="83"/>
      <c r="I18" s="84"/>
    </row>
    <row r="19" spans="1:9" s="20" customFormat="1" ht="16.899999999999999" customHeight="1" x14ac:dyDescent="0.25">
      <c r="A19" s="67" t="s">
        <v>19</v>
      </c>
      <c r="B19" s="68" t="s">
        <v>20</v>
      </c>
      <c r="C19" s="68"/>
      <c r="D19" s="19"/>
      <c r="E19" s="76"/>
      <c r="F19" s="87"/>
      <c r="G19" s="79"/>
      <c r="H19" s="83"/>
      <c r="I19" s="84"/>
    </row>
    <row r="20" spans="1:9" s="20" customFormat="1" ht="24.6" customHeight="1" thickBot="1" x14ac:dyDescent="0.3">
      <c r="A20" s="67"/>
      <c r="B20" s="68"/>
      <c r="C20" s="68"/>
      <c r="D20" s="21"/>
      <c r="E20" s="77"/>
      <c r="F20" s="89"/>
      <c r="G20" s="80"/>
      <c r="H20" s="85"/>
      <c r="I20" s="86"/>
    </row>
    <row r="21" spans="1:9" s="20" customFormat="1" ht="21.6" customHeight="1" thickTop="1" x14ac:dyDescent="0.25">
      <c r="A21" s="44" t="s">
        <v>21</v>
      </c>
      <c r="B21" s="22" t="s">
        <v>22</v>
      </c>
      <c r="C21" s="22"/>
      <c r="D21" s="23"/>
      <c r="E21" s="24"/>
      <c r="F21" s="24"/>
      <c r="G21" s="25"/>
      <c r="H21" s="1"/>
      <c r="I21" s="45"/>
    </row>
    <row r="22" spans="1:9" s="20" customFormat="1" ht="22.15" customHeight="1" x14ac:dyDescent="0.25">
      <c r="A22" s="71" t="s">
        <v>23</v>
      </c>
      <c r="B22" s="72"/>
      <c r="C22" s="72"/>
      <c r="D22" s="72"/>
      <c r="E22" s="72"/>
      <c r="F22" s="72"/>
      <c r="G22" s="72"/>
      <c r="H22" s="72"/>
      <c r="I22" s="73"/>
    </row>
    <row r="23" spans="1:9" s="20" customFormat="1" ht="22.15" customHeight="1" x14ac:dyDescent="0.25">
      <c r="A23" s="71" t="s">
        <v>24</v>
      </c>
      <c r="B23" s="72"/>
      <c r="C23" s="72"/>
      <c r="D23" s="72"/>
      <c r="E23" s="72"/>
      <c r="F23" s="72"/>
      <c r="G23" s="72"/>
      <c r="H23" s="72"/>
      <c r="I23" s="73"/>
    </row>
    <row r="24" spans="1:9" s="20" customFormat="1" ht="7.5" customHeight="1" x14ac:dyDescent="0.25">
      <c r="A24" s="90" t="s">
        <v>302</v>
      </c>
      <c r="B24" s="91"/>
      <c r="C24" s="72" t="s">
        <v>25</v>
      </c>
      <c r="D24" s="72" t="s">
        <v>26</v>
      </c>
      <c r="E24" s="72"/>
      <c r="F24" s="72" t="s">
        <v>27</v>
      </c>
      <c r="G24" s="72"/>
      <c r="H24" s="72"/>
      <c r="I24" s="73"/>
    </row>
    <row r="25" spans="1:9" s="20" customFormat="1" ht="15.6" customHeight="1" x14ac:dyDescent="0.25">
      <c r="A25" s="92"/>
      <c r="B25" s="93"/>
      <c r="C25" s="72"/>
      <c r="D25" s="72"/>
      <c r="E25" s="72"/>
      <c r="F25" s="72"/>
      <c r="G25" s="72"/>
      <c r="H25" s="72"/>
      <c r="I25" s="73"/>
    </row>
    <row r="26" spans="1:9" s="20" customFormat="1" ht="26.45" customHeight="1" x14ac:dyDescent="0.25">
      <c r="A26" s="94"/>
      <c r="B26" s="95"/>
      <c r="C26" s="72"/>
      <c r="D26" s="72"/>
      <c r="E26" s="72"/>
      <c r="F26" s="69" t="s">
        <v>28</v>
      </c>
      <c r="G26" s="69"/>
      <c r="H26" s="69"/>
      <c r="I26" s="56" t="s">
        <v>29</v>
      </c>
    </row>
    <row r="27" spans="1:9" s="20" customFormat="1" ht="16.5" customHeight="1" x14ac:dyDescent="0.25">
      <c r="A27" s="61"/>
      <c r="B27" s="62"/>
      <c r="C27" s="32">
        <v>2120</v>
      </c>
      <c r="D27" s="63">
        <v>500</v>
      </c>
      <c r="E27" s="64"/>
      <c r="F27" s="70"/>
      <c r="G27" s="70"/>
      <c r="H27" s="70"/>
      <c r="I27" s="46"/>
    </row>
    <row r="28" spans="1:9" s="20" customFormat="1" ht="16.5" customHeight="1" x14ac:dyDescent="0.25">
      <c r="A28" s="57"/>
      <c r="B28" s="74"/>
      <c r="C28" s="32"/>
      <c r="D28" s="59"/>
      <c r="E28" s="60"/>
      <c r="F28" s="105"/>
      <c r="G28" s="70"/>
      <c r="H28" s="70"/>
      <c r="I28" s="46"/>
    </row>
    <row r="29" spans="1:9" s="20" customFormat="1" ht="16.5" customHeight="1" x14ac:dyDescent="0.25">
      <c r="A29" s="57"/>
      <c r="B29" s="58"/>
      <c r="C29" s="32"/>
      <c r="D29" s="59"/>
      <c r="E29" s="60"/>
      <c r="F29" s="65"/>
      <c r="G29" s="66"/>
      <c r="H29" s="66"/>
      <c r="I29" s="47"/>
    </row>
    <row r="30" spans="1:9" s="20" customFormat="1" ht="16.5" customHeight="1" x14ac:dyDescent="0.25">
      <c r="A30" s="57"/>
      <c r="B30" s="58"/>
      <c r="C30" s="32"/>
      <c r="D30" s="59"/>
      <c r="E30" s="60"/>
      <c r="F30" s="65"/>
      <c r="G30" s="66"/>
      <c r="H30" s="66"/>
      <c r="I30" s="47"/>
    </row>
    <row r="31" spans="1:9" s="20" customFormat="1" ht="16.5" customHeight="1" x14ac:dyDescent="0.25">
      <c r="A31" s="57"/>
      <c r="B31" s="58"/>
      <c r="C31" s="32"/>
      <c r="D31" s="59"/>
      <c r="E31" s="60"/>
      <c r="F31" s="65"/>
      <c r="G31" s="66"/>
      <c r="H31" s="66"/>
      <c r="I31" s="47"/>
    </row>
    <row r="32" spans="1:9" s="20" customFormat="1" ht="16.5" customHeight="1" x14ac:dyDescent="0.25">
      <c r="A32" s="57"/>
      <c r="B32" s="58"/>
      <c r="C32" s="32"/>
      <c r="D32" s="59"/>
      <c r="E32" s="60"/>
      <c r="F32" s="65"/>
      <c r="G32" s="66"/>
      <c r="H32" s="66"/>
      <c r="I32" s="47"/>
    </row>
    <row r="33" spans="1:9" s="20" customFormat="1" ht="16.5" customHeight="1" x14ac:dyDescent="0.25">
      <c r="A33" s="57"/>
      <c r="B33" s="58"/>
      <c r="C33" s="32"/>
      <c r="D33" s="59"/>
      <c r="E33" s="60"/>
      <c r="F33" s="65"/>
      <c r="G33" s="66"/>
      <c r="H33" s="66"/>
      <c r="I33" s="47"/>
    </row>
    <row r="34" spans="1:9" s="20" customFormat="1" ht="16.5" customHeight="1" x14ac:dyDescent="0.25">
      <c r="A34" s="57"/>
      <c r="B34" s="58"/>
      <c r="C34" s="32"/>
      <c r="D34" s="59"/>
      <c r="E34" s="60"/>
      <c r="F34" s="65"/>
      <c r="G34" s="66"/>
      <c r="H34" s="66"/>
      <c r="I34" s="47"/>
    </row>
    <row r="35" spans="1:9" s="20" customFormat="1" ht="16.5" customHeight="1" x14ac:dyDescent="0.25">
      <c r="A35" s="57"/>
      <c r="B35" s="58"/>
      <c r="C35" s="32"/>
      <c r="D35" s="59"/>
      <c r="E35" s="60"/>
      <c r="F35" s="65"/>
      <c r="G35" s="66"/>
      <c r="H35" s="66"/>
      <c r="I35" s="47"/>
    </row>
    <row r="36" spans="1:9" s="20" customFormat="1" ht="16.5" customHeight="1" x14ac:dyDescent="0.25">
      <c r="A36" s="57"/>
      <c r="B36" s="58"/>
      <c r="C36" s="32"/>
      <c r="D36" s="59"/>
      <c r="E36" s="60"/>
      <c r="F36" s="65"/>
      <c r="G36" s="66"/>
      <c r="H36" s="66"/>
      <c r="I36" s="47"/>
    </row>
    <row r="37" spans="1:9" s="20" customFormat="1" ht="16.5" customHeight="1" x14ac:dyDescent="0.25">
      <c r="A37" s="57"/>
      <c r="B37" s="58"/>
      <c r="C37" s="32"/>
      <c r="D37" s="59"/>
      <c r="E37" s="60"/>
      <c r="F37" s="65"/>
      <c r="G37" s="66"/>
      <c r="H37" s="66"/>
      <c r="I37" s="47"/>
    </row>
    <row r="38" spans="1:9" s="20" customFormat="1" ht="16.5" customHeight="1" x14ac:dyDescent="0.25">
      <c r="A38" s="57"/>
      <c r="B38" s="58"/>
      <c r="C38" s="32"/>
      <c r="D38" s="59"/>
      <c r="E38" s="60"/>
      <c r="F38" s="65"/>
      <c r="G38" s="66"/>
      <c r="H38" s="66"/>
      <c r="I38" s="47"/>
    </row>
    <row r="39" spans="1:9" s="20" customFormat="1" ht="16.5" customHeight="1" x14ac:dyDescent="0.25">
      <c r="A39" s="57"/>
      <c r="B39" s="58"/>
      <c r="C39" s="32"/>
      <c r="D39" s="59"/>
      <c r="E39" s="60"/>
      <c r="F39" s="65"/>
      <c r="G39" s="66"/>
      <c r="H39" s="66"/>
      <c r="I39" s="47"/>
    </row>
    <row r="40" spans="1:9" s="20" customFormat="1" ht="16.5" customHeight="1" x14ac:dyDescent="0.25">
      <c r="A40" s="57"/>
      <c r="B40" s="58"/>
      <c r="C40" s="32"/>
      <c r="D40" s="59"/>
      <c r="E40" s="60"/>
      <c r="F40" s="65"/>
      <c r="G40" s="66"/>
      <c r="H40" s="66"/>
      <c r="I40" s="47"/>
    </row>
    <row r="41" spans="1:9" s="20" customFormat="1" ht="16.5" customHeight="1" x14ac:dyDescent="0.25">
      <c r="A41" s="57"/>
      <c r="B41" s="58"/>
      <c r="C41" s="32"/>
      <c r="D41" s="59"/>
      <c r="E41" s="60"/>
      <c r="F41" s="65"/>
      <c r="G41" s="66"/>
      <c r="H41" s="66"/>
      <c r="I41" s="47"/>
    </row>
    <row r="42" spans="1:9" s="20" customFormat="1" ht="16.5" customHeight="1" x14ac:dyDescent="0.25">
      <c r="A42" s="61"/>
      <c r="B42" s="62"/>
      <c r="C42" s="32"/>
      <c r="D42" s="63"/>
      <c r="E42" s="64"/>
      <c r="F42" s="65"/>
      <c r="G42" s="66"/>
      <c r="H42" s="66"/>
      <c r="I42" s="47"/>
    </row>
    <row r="43" spans="1:9" s="20" customFormat="1" ht="16.5" customHeight="1" x14ac:dyDescent="0.25">
      <c r="A43" s="61"/>
      <c r="B43" s="62"/>
      <c r="C43" s="32"/>
      <c r="D43" s="63"/>
      <c r="E43" s="64"/>
      <c r="F43" s="65"/>
      <c r="G43" s="66"/>
      <c r="H43" s="66"/>
      <c r="I43" s="47"/>
    </row>
    <row r="44" spans="1:9" s="20" customFormat="1" ht="16.5" customHeight="1" x14ac:dyDescent="0.25">
      <c r="A44" s="61"/>
      <c r="B44" s="62"/>
      <c r="C44" s="32"/>
      <c r="D44" s="63"/>
      <c r="E44" s="64"/>
      <c r="F44" s="65"/>
      <c r="G44" s="66"/>
      <c r="H44" s="66"/>
      <c r="I44" s="47"/>
    </row>
    <row r="45" spans="1:9" s="20" customFormat="1" ht="16.5" customHeight="1" x14ac:dyDescent="0.25">
      <c r="A45" s="57"/>
      <c r="B45" s="58"/>
      <c r="C45" s="32"/>
      <c r="D45" s="63"/>
      <c r="E45" s="64"/>
      <c r="F45" s="65"/>
      <c r="G45" s="66"/>
      <c r="H45" s="66"/>
      <c r="I45" s="47"/>
    </row>
    <row r="46" spans="1:9" s="20" customFormat="1" ht="16.5" customHeight="1" x14ac:dyDescent="0.25">
      <c r="A46" s="57"/>
      <c r="B46" s="58"/>
      <c r="C46" s="32"/>
      <c r="D46" s="59"/>
      <c r="E46" s="60"/>
      <c r="F46" s="65"/>
      <c r="G46" s="66"/>
      <c r="H46" s="66"/>
      <c r="I46" s="47"/>
    </row>
    <row r="47" spans="1:9" s="20" customFormat="1" ht="16.5" customHeight="1" x14ac:dyDescent="0.25">
      <c r="A47" s="57"/>
      <c r="B47" s="58"/>
      <c r="C47" s="32"/>
      <c r="D47" s="59"/>
      <c r="E47" s="60"/>
      <c r="F47" s="65"/>
      <c r="G47" s="66"/>
      <c r="H47" s="66"/>
      <c r="I47" s="47"/>
    </row>
    <row r="48" spans="1:9" s="20" customFormat="1" ht="16.5" customHeight="1" x14ac:dyDescent="0.25">
      <c r="A48" s="57"/>
      <c r="B48" s="58"/>
      <c r="C48" s="32"/>
      <c r="D48" s="59"/>
      <c r="E48" s="60"/>
      <c r="F48" s="65"/>
      <c r="G48" s="66"/>
      <c r="H48" s="66"/>
      <c r="I48" s="47"/>
    </row>
    <row r="49" spans="1:9" s="20" customFormat="1" ht="16.5" customHeight="1" x14ac:dyDescent="0.25">
      <c r="A49" s="61"/>
      <c r="B49" s="62"/>
      <c r="C49" s="32"/>
      <c r="D49" s="59"/>
      <c r="E49" s="60"/>
      <c r="F49" s="65"/>
      <c r="G49" s="66"/>
      <c r="H49" s="66"/>
      <c r="I49" s="47"/>
    </row>
    <row r="50" spans="1:9" s="20" customFormat="1" ht="16.5" customHeight="1" x14ac:dyDescent="0.25">
      <c r="A50" s="61"/>
      <c r="B50" s="62"/>
      <c r="C50" s="32"/>
      <c r="D50" s="59"/>
      <c r="E50" s="60"/>
      <c r="F50" s="65"/>
      <c r="G50" s="66"/>
      <c r="H50" s="66"/>
      <c r="I50" s="47"/>
    </row>
    <row r="51" spans="1:9" s="20" customFormat="1" ht="10.5" customHeight="1" x14ac:dyDescent="0.25">
      <c r="A51" s="96"/>
      <c r="B51" s="97"/>
      <c r="C51" s="33"/>
      <c r="D51" s="26"/>
      <c r="E51" s="27"/>
      <c r="F51" s="28"/>
      <c r="G51" s="28"/>
      <c r="H51" s="28"/>
      <c r="I51" s="48"/>
    </row>
    <row r="52" spans="1:9" s="20" customFormat="1" ht="6" customHeight="1" thickBot="1" x14ac:dyDescent="0.3">
      <c r="A52" s="122"/>
      <c r="B52" s="106"/>
      <c r="C52" s="12"/>
      <c r="D52" s="12"/>
      <c r="E52" s="12"/>
      <c r="F52" s="12"/>
      <c r="G52" s="12"/>
      <c r="H52" s="12"/>
      <c r="I52" s="49"/>
    </row>
    <row r="53" spans="1:9" s="20" customFormat="1" ht="35.450000000000003" customHeight="1" thickTop="1" x14ac:dyDescent="0.25">
      <c r="A53" s="140" t="s">
        <v>303</v>
      </c>
      <c r="B53" s="110"/>
      <c r="C53" s="175"/>
      <c r="D53" s="177">
        <f>SUM(D27:E51)</f>
        <v>500</v>
      </c>
      <c r="E53" s="178"/>
      <c r="F53" s="176" t="str">
        <f>PesosMN(D53)</f>
        <v xml:space="preserve"> ( QUINIENTOS PESOS 00/100 M.N.)</v>
      </c>
      <c r="G53" s="110"/>
      <c r="H53" s="110"/>
      <c r="I53" s="111"/>
    </row>
    <row r="54" spans="1:9" s="20" customFormat="1" ht="5.45" customHeight="1" thickBot="1" x14ac:dyDescent="0.3">
      <c r="A54" s="42"/>
      <c r="B54" s="12"/>
      <c r="C54" s="12"/>
      <c r="D54" s="12"/>
      <c r="E54" s="12"/>
      <c r="F54" s="12"/>
      <c r="G54" s="12"/>
      <c r="H54" s="12"/>
      <c r="I54" s="49"/>
    </row>
    <row r="55" spans="1:9" s="20" customFormat="1" ht="24.6" customHeight="1" thickTop="1" x14ac:dyDescent="0.25">
      <c r="A55" s="163" t="s">
        <v>30</v>
      </c>
      <c r="B55" s="164"/>
      <c r="C55" s="164"/>
      <c r="D55" s="164"/>
      <c r="E55" s="160" t="s">
        <v>31</v>
      </c>
      <c r="F55" s="161"/>
      <c r="G55" s="162"/>
      <c r="H55" s="149"/>
      <c r="I55" s="150"/>
    </row>
    <row r="56" spans="1:9" s="20" customFormat="1" ht="27.6" customHeight="1" x14ac:dyDescent="0.25">
      <c r="A56" s="130" t="s">
        <v>306</v>
      </c>
      <c r="B56" s="123"/>
      <c r="C56" s="123"/>
      <c r="D56" s="123"/>
      <c r="E56" s="144"/>
      <c r="F56" s="145"/>
      <c r="G56" s="146"/>
      <c r="H56" s="151"/>
      <c r="I56" s="124"/>
    </row>
    <row r="57" spans="1:9" s="20" customFormat="1" ht="15" customHeight="1" x14ac:dyDescent="0.25">
      <c r="A57" s="104"/>
      <c r="B57" s="100"/>
      <c r="C57" s="100"/>
      <c r="D57" s="100"/>
      <c r="E57" s="154"/>
      <c r="F57" s="155"/>
      <c r="G57" s="156"/>
      <c r="H57" s="151"/>
      <c r="I57" s="124"/>
    </row>
    <row r="58" spans="1:9" s="20" customFormat="1" ht="15" customHeight="1" x14ac:dyDescent="0.25">
      <c r="A58" s="104"/>
      <c r="B58" s="100"/>
      <c r="C58" s="100"/>
      <c r="D58" s="100"/>
      <c r="E58" s="154"/>
      <c r="F58" s="155"/>
      <c r="G58" s="156"/>
      <c r="H58" s="151"/>
      <c r="I58" s="124"/>
    </row>
    <row r="59" spans="1:9" s="20" customFormat="1" ht="15" customHeight="1" x14ac:dyDescent="0.25">
      <c r="A59" s="104"/>
      <c r="B59" s="100"/>
      <c r="C59" s="100"/>
      <c r="D59" s="100"/>
      <c r="E59" s="154"/>
      <c r="F59" s="155"/>
      <c r="G59" s="156"/>
      <c r="H59" s="151"/>
      <c r="I59" s="124"/>
    </row>
    <row r="60" spans="1:9" s="20" customFormat="1" ht="96.75" customHeight="1" x14ac:dyDescent="0.25">
      <c r="A60" s="152"/>
      <c r="B60" s="153"/>
      <c r="C60" s="153"/>
      <c r="D60" s="153"/>
      <c r="E60" s="157"/>
      <c r="F60" s="158"/>
      <c r="G60" s="159"/>
      <c r="H60" s="151"/>
      <c r="I60" s="124"/>
    </row>
    <row r="61" spans="1:9" s="31" customFormat="1" ht="101.25" customHeight="1" x14ac:dyDescent="0.25">
      <c r="A61" s="165" t="s">
        <v>309</v>
      </c>
      <c r="B61" s="113"/>
      <c r="C61" s="113"/>
      <c r="D61" s="166"/>
      <c r="E61" s="147" t="s">
        <v>348</v>
      </c>
      <c r="F61" s="147"/>
      <c r="G61" s="148"/>
      <c r="H61" s="151"/>
      <c r="I61" s="124"/>
    </row>
    <row r="62" spans="1:9" s="31" customFormat="1" ht="55.5" customHeight="1" x14ac:dyDescent="0.25">
      <c r="A62" s="167"/>
      <c r="B62" s="168"/>
      <c r="C62" s="168"/>
      <c r="D62" s="169"/>
      <c r="E62" s="170" t="s">
        <v>310</v>
      </c>
      <c r="F62" s="171"/>
      <c r="G62" s="172"/>
      <c r="H62" s="173"/>
      <c r="I62" s="174"/>
    </row>
    <row r="63" spans="1:9" s="20" customFormat="1" ht="6.75" customHeight="1" x14ac:dyDescent="0.25">
      <c r="A63" s="42"/>
      <c r="B63" s="12"/>
      <c r="C63" s="12"/>
      <c r="D63" s="12"/>
      <c r="E63" s="12"/>
      <c r="F63" s="12"/>
      <c r="G63" s="12"/>
      <c r="H63" s="12"/>
      <c r="I63" s="49"/>
    </row>
    <row r="64" spans="1:9" s="20" customFormat="1" ht="18" customHeight="1" x14ac:dyDescent="0.25">
      <c r="A64" s="140" t="s">
        <v>32</v>
      </c>
      <c r="B64" s="110"/>
      <c r="C64" s="110"/>
      <c r="D64" s="110"/>
      <c r="E64" s="110"/>
      <c r="F64" s="110"/>
      <c r="G64" s="110"/>
      <c r="H64" s="110"/>
      <c r="I64" s="111"/>
    </row>
    <row r="65" spans="1:9" s="20" customFormat="1" ht="5.45" customHeight="1" x14ac:dyDescent="0.25">
      <c r="A65" s="42"/>
      <c r="B65" s="12"/>
      <c r="C65" s="12"/>
      <c r="D65" s="54"/>
      <c r="E65" s="54"/>
      <c r="F65" s="54"/>
      <c r="G65" s="54"/>
      <c r="H65" s="12"/>
      <c r="I65" s="49"/>
    </row>
    <row r="66" spans="1:9" s="20" customFormat="1" ht="24" customHeight="1" x14ac:dyDescent="0.25">
      <c r="A66" s="90" t="s">
        <v>33</v>
      </c>
      <c r="B66" s="141"/>
      <c r="C66" s="141"/>
      <c r="D66" s="91"/>
      <c r="E66" s="142" t="s">
        <v>34</v>
      </c>
      <c r="F66" s="141"/>
      <c r="G66" s="141"/>
      <c r="H66" s="141"/>
      <c r="I66" s="143"/>
    </row>
    <row r="67" spans="1:9" s="20" customFormat="1" ht="30" customHeight="1" x14ac:dyDescent="0.25">
      <c r="A67" s="94" t="s">
        <v>35</v>
      </c>
      <c r="B67" s="135"/>
      <c r="C67" s="135"/>
      <c r="D67" s="95"/>
      <c r="E67" s="134" t="s">
        <v>36</v>
      </c>
      <c r="F67" s="135"/>
      <c r="G67" s="135"/>
      <c r="H67" s="135"/>
      <c r="I67" s="136"/>
    </row>
    <row r="68" spans="1:9" s="20" customFormat="1" ht="25.9" customHeight="1" x14ac:dyDescent="0.25">
      <c r="A68" s="137" t="s">
        <v>37</v>
      </c>
      <c r="B68" s="138"/>
      <c r="C68" s="138"/>
      <c r="D68" s="139"/>
      <c r="E68" s="13"/>
      <c r="F68" s="12"/>
      <c r="G68" s="12"/>
      <c r="H68" s="12"/>
      <c r="I68" s="49"/>
    </row>
    <row r="69" spans="1:9" s="20" customFormat="1" ht="23.25" customHeight="1" x14ac:dyDescent="0.25">
      <c r="A69" s="127"/>
      <c r="B69" s="128"/>
      <c r="C69" s="128"/>
      <c r="D69" s="129"/>
      <c r="E69" s="36"/>
      <c r="F69" s="25"/>
      <c r="G69" s="25"/>
      <c r="H69" s="12"/>
      <c r="I69" s="49"/>
    </row>
    <row r="70" spans="1:9" s="20" customFormat="1" ht="23.25" customHeight="1" x14ac:dyDescent="0.25">
      <c r="A70" s="130"/>
      <c r="B70" s="123"/>
      <c r="C70" s="123"/>
      <c r="D70" s="131"/>
      <c r="E70" s="36"/>
      <c r="F70" s="25"/>
      <c r="G70" s="25"/>
      <c r="H70" s="12"/>
      <c r="I70" s="49"/>
    </row>
    <row r="71" spans="1:9" s="20" customFormat="1" ht="23.25" customHeight="1" x14ac:dyDescent="0.25">
      <c r="A71" s="130"/>
      <c r="B71" s="123"/>
      <c r="C71" s="123"/>
      <c r="D71" s="131"/>
      <c r="E71" s="36"/>
      <c r="F71" s="25"/>
      <c r="G71" s="25"/>
      <c r="H71" s="123"/>
      <c r="I71" s="124"/>
    </row>
    <row r="72" spans="1:9" s="20" customFormat="1" ht="23.25" customHeight="1" x14ac:dyDescent="0.25">
      <c r="A72" s="130"/>
      <c r="B72" s="123"/>
      <c r="C72" s="123"/>
      <c r="D72" s="131"/>
      <c r="E72" s="36"/>
      <c r="F72" s="25"/>
      <c r="G72" s="25"/>
      <c r="H72" s="123"/>
      <c r="I72" s="124"/>
    </row>
    <row r="73" spans="1:9" ht="23.25" customHeight="1" x14ac:dyDescent="0.3">
      <c r="A73" s="132"/>
      <c r="B73" s="125"/>
      <c r="C73" s="125"/>
      <c r="D73" s="133"/>
      <c r="E73" s="29"/>
      <c r="F73" s="30"/>
      <c r="G73" s="30"/>
      <c r="H73" s="125"/>
      <c r="I73" s="126"/>
    </row>
    <row r="74" spans="1:9" ht="19.5" thickBot="1" x14ac:dyDescent="0.35">
      <c r="A74" s="50"/>
      <c r="B74" s="51"/>
      <c r="C74" s="52"/>
      <c r="D74" s="52"/>
      <c r="E74" s="52"/>
      <c r="F74" s="52"/>
      <c r="G74" s="52"/>
      <c r="H74" s="52"/>
      <c r="I74" s="53"/>
    </row>
    <row r="75" spans="1:9" x14ac:dyDescent="0.3">
      <c r="A75" s="9"/>
      <c r="B75" s="9"/>
      <c r="C75" s="9"/>
      <c r="D75" s="9"/>
      <c r="E75" s="9"/>
      <c r="F75" s="9"/>
      <c r="G75" s="9"/>
      <c r="H75" s="9"/>
      <c r="I75" s="9"/>
    </row>
  </sheetData>
  <sheetProtection algorithmName="SHA-512" hashValue="Gio6bwRD3E3xRfQXzRD+KpuexT+dFBbtDWFWxZolIDrBLe5yVqhZtAKQx9jdrxIhmwoloy8MWyrvozPAOkqzQA==" saltValue="kMj42Ut8w2lGEXIRsLKIhQ==" spinCount="100000" sheet="1" formatCells="0" formatColumns="0" formatRows="0" insertColumns="0" insertRows="0" deleteColumns="0" deleteRows="0" sort="0" autoFilter="0" pivotTables="0"/>
  <mergeCells count="124">
    <mergeCell ref="A50:B50"/>
    <mergeCell ref="A53:C53"/>
    <mergeCell ref="A45:B45"/>
    <mergeCell ref="A46:B46"/>
    <mergeCell ref="C10:G10"/>
    <mergeCell ref="A56:D56"/>
    <mergeCell ref="F53:I53"/>
    <mergeCell ref="D53:E53"/>
    <mergeCell ref="D50:E50"/>
    <mergeCell ref="D48:E48"/>
    <mergeCell ref="F24:I25"/>
    <mergeCell ref="F44:H44"/>
    <mergeCell ref="F36:H36"/>
    <mergeCell ref="F37:H37"/>
    <mergeCell ref="F47:H47"/>
    <mergeCell ref="F48:H48"/>
    <mergeCell ref="F50:H50"/>
    <mergeCell ref="F39:H39"/>
    <mergeCell ref="F40:H40"/>
    <mergeCell ref="F42:H42"/>
    <mergeCell ref="F38:H38"/>
    <mergeCell ref="F41:H41"/>
    <mergeCell ref="D42:E42"/>
    <mergeCell ref="D41:E41"/>
    <mergeCell ref="H71:I73"/>
    <mergeCell ref="A69:D73"/>
    <mergeCell ref="E67:I67"/>
    <mergeCell ref="A68:D68"/>
    <mergeCell ref="A64:I64"/>
    <mergeCell ref="A66:D66"/>
    <mergeCell ref="E66:I66"/>
    <mergeCell ref="A67:D67"/>
    <mergeCell ref="E56:G56"/>
    <mergeCell ref="E61:G61"/>
    <mergeCell ref="H55:I61"/>
    <mergeCell ref="A57:D60"/>
    <mergeCell ref="E57:G60"/>
    <mergeCell ref="E55:G55"/>
    <mergeCell ref="A55:D55"/>
    <mergeCell ref="A61:D62"/>
    <mergeCell ref="E62:G62"/>
    <mergeCell ref="H62:I62"/>
    <mergeCell ref="H15:I16"/>
    <mergeCell ref="F43:H43"/>
    <mergeCell ref="F45:H45"/>
    <mergeCell ref="F46:H46"/>
    <mergeCell ref="F49:H49"/>
    <mergeCell ref="D49:E49"/>
    <mergeCell ref="D36:E36"/>
    <mergeCell ref="A52:B52"/>
    <mergeCell ref="A37:B37"/>
    <mergeCell ref="D30:E30"/>
    <mergeCell ref="D31:E31"/>
    <mergeCell ref="D32:E32"/>
    <mergeCell ref="D34:E34"/>
    <mergeCell ref="D39:E39"/>
    <mergeCell ref="A30:B30"/>
    <mergeCell ref="A31:B31"/>
    <mergeCell ref="A32:B32"/>
    <mergeCell ref="A33:B33"/>
    <mergeCell ref="A34:B34"/>
    <mergeCell ref="A35:B35"/>
    <mergeCell ref="A36:B36"/>
    <mergeCell ref="A43:B43"/>
    <mergeCell ref="A47:B47"/>
    <mergeCell ref="A49:B49"/>
    <mergeCell ref="F32:H32"/>
    <mergeCell ref="D45:E45"/>
    <mergeCell ref="D40:E40"/>
    <mergeCell ref="D37:E37"/>
    <mergeCell ref="A44:B44"/>
    <mergeCell ref="A48:B48"/>
    <mergeCell ref="A51:B51"/>
    <mergeCell ref="H1:I1"/>
    <mergeCell ref="C2:I2"/>
    <mergeCell ref="C3:I3"/>
    <mergeCell ref="A4:E4"/>
    <mergeCell ref="A6:I6"/>
    <mergeCell ref="C24:C26"/>
    <mergeCell ref="D24:E26"/>
    <mergeCell ref="F28:H28"/>
    <mergeCell ref="F29:H29"/>
    <mergeCell ref="D29:E29"/>
    <mergeCell ref="E9:G9"/>
    <mergeCell ref="H9:I9"/>
    <mergeCell ref="A12:C12"/>
    <mergeCell ref="E12:I12"/>
    <mergeCell ref="E13:I14"/>
    <mergeCell ref="A15:D15"/>
    <mergeCell ref="G15:G16"/>
    <mergeCell ref="F33:H33"/>
    <mergeCell ref="F34:H34"/>
    <mergeCell ref="F35:H35"/>
    <mergeCell ref="A19:A20"/>
    <mergeCell ref="B19:C20"/>
    <mergeCell ref="D28:E28"/>
    <mergeCell ref="F26:H26"/>
    <mergeCell ref="D27:E27"/>
    <mergeCell ref="F27:H27"/>
    <mergeCell ref="A27:B27"/>
    <mergeCell ref="A22:I22"/>
    <mergeCell ref="A23:I23"/>
    <mergeCell ref="A28:B28"/>
    <mergeCell ref="D33:E33"/>
    <mergeCell ref="D35:E35"/>
    <mergeCell ref="A29:B29"/>
    <mergeCell ref="E17:E20"/>
    <mergeCell ref="G17:G20"/>
    <mergeCell ref="H17:I20"/>
    <mergeCell ref="F17:F18"/>
    <mergeCell ref="F19:F20"/>
    <mergeCell ref="A24:B26"/>
    <mergeCell ref="F30:H30"/>
    <mergeCell ref="F31:H31"/>
    <mergeCell ref="A38:B38"/>
    <mergeCell ref="A39:B39"/>
    <mergeCell ref="D47:E47"/>
    <mergeCell ref="A42:B42"/>
    <mergeCell ref="D38:E38"/>
    <mergeCell ref="A40:B40"/>
    <mergeCell ref="A41:B41"/>
    <mergeCell ref="D43:E43"/>
    <mergeCell ref="D44:E44"/>
    <mergeCell ref="D46:E46"/>
  </mergeCells>
  <pageMargins left="0.7" right="0.7" top="0.75" bottom="0.75" header="0.3" footer="0.3"/>
  <pageSetup scale="45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 errorTitle="FAVOR DE SELECCIONAR EL PROYECTO">
          <x14:formula1>
            <xm:f>PROYECTO!$A$2:$A$39</xm:f>
          </x14:formula1>
          <xm:sqref>F17:F20</xm:sqref>
        </x14:dataValidation>
        <x14:dataValidation type="list" showInputMessage="1" showErrorMessage="1">
          <x14:formula1>
            <xm:f>Hoja1!$A$1:$A$4</xm:f>
          </x14:formula1>
          <xm:sqref>E61:G61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E1" sqref="E1"/>
    </sheetView>
  </sheetViews>
  <sheetFormatPr baseColWidth="10" defaultRowHeight="15" x14ac:dyDescent="0.25"/>
  <cols>
    <col min="1" max="1" width="33.5703125" bestFit="1" customWidth="1"/>
  </cols>
  <sheetData>
    <row r="1" spans="1:1" ht="108.75" thickBot="1" x14ac:dyDescent="0.3">
      <c r="A1" s="35" t="s">
        <v>305</v>
      </c>
    </row>
    <row r="2" spans="1:1" ht="127.5" thickTop="1" thickBot="1" x14ac:dyDescent="0.3">
      <c r="A2" s="35" t="s">
        <v>348</v>
      </c>
    </row>
    <row r="3" spans="1:1" ht="325.5" thickTop="1" thickBot="1" x14ac:dyDescent="0.3">
      <c r="A3" s="35" t="s">
        <v>307</v>
      </c>
    </row>
    <row r="4" spans="1:1" ht="307.5" thickTop="1" thickBot="1" x14ac:dyDescent="0.3">
      <c r="A4" s="35" t="s">
        <v>308</v>
      </c>
    </row>
    <row r="5" spans="1:1" ht="15.75" thickTop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47"/>
  <sheetViews>
    <sheetView topLeftCell="A6" workbookViewId="0">
      <selection activeCell="A2" sqref="A2:A37"/>
    </sheetView>
  </sheetViews>
  <sheetFormatPr baseColWidth="10" defaultRowHeight="15" x14ac:dyDescent="0.25"/>
  <cols>
    <col min="1" max="1" width="23.5703125" style="3" bestFit="1" customWidth="1"/>
    <col min="2" max="2" width="37.7109375" bestFit="1" customWidth="1"/>
  </cols>
  <sheetData>
    <row r="1" spans="1:2" x14ac:dyDescent="0.25">
      <c r="A1" s="3" t="s">
        <v>50</v>
      </c>
      <c r="B1" t="s">
        <v>301</v>
      </c>
    </row>
    <row r="2" spans="1:2" x14ac:dyDescent="0.25">
      <c r="A2" t="s">
        <v>311</v>
      </c>
      <c r="B2" s="4" t="s">
        <v>46</v>
      </c>
    </row>
    <row r="3" spans="1:2" x14ac:dyDescent="0.25">
      <c r="A3" t="s">
        <v>312</v>
      </c>
      <c r="B3" s="7"/>
    </row>
    <row r="4" spans="1:2" x14ac:dyDescent="0.25">
      <c r="A4" t="s">
        <v>345</v>
      </c>
      <c r="B4" s="7"/>
    </row>
    <row r="5" spans="1:2" x14ac:dyDescent="0.25">
      <c r="A5" t="s">
        <v>313</v>
      </c>
      <c r="B5" s="7" t="s">
        <v>38</v>
      </c>
    </row>
    <row r="6" spans="1:2" x14ac:dyDescent="0.25">
      <c r="A6" t="s">
        <v>314</v>
      </c>
      <c r="B6" s="5" t="s">
        <v>43</v>
      </c>
    </row>
    <row r="7" spans="1:2" x14ac:dyDescent="0.25">
      <c r="A7" t="s">
        <v>315</v>
      </c>
      <c r="B7" s="5" t="s">
        <v>49</v>
      </c>
    </row>
    <row r="8" spans="1:2" x14ac:dyDescent="0.25">
      <c r="A8" t="s">
        <v>316</v>
      </c>
      <c r="B8" s="5" t="s">
        <v>48</v>
      </c>
    </row>
    <row r="9" spans="1:2" x14ac:dyDescent="0.25">
      <c r="A9" t="s">
        <v>317</v>
      </c>
      <c r="B9" s="5" t="s">
        <v>47</v>
      </c>
    </row>
    <row r="10" spans="1:2" x14ac:dyDescent="0.25">
      <c r="A10" t="s">
        <v>318</v>
      </c>
      <c r="B10" s="4" t="s">
        <v>46</v>
      </c>
    </row>
    <row r="11" spans="1:2" x14ac:dyDescent="0.25">
      <c r="A11" t="s">
        <v>319</v>
      </c>
      <c r="B11" s="5" t="s">
        <v>39</v>
      </c>
    </row>
    <row r="12" spans="1:2" x14ac:dyDescent="0.25">
      <c r="A12" t="s">
        <v>320</v>
      </c>
      <c r="B12" s="5" t="s">
        <v>39</v>
      </c>
    </row>
    <row r="13" spans="1:2" x14ac:dyDescent="0.25">
      <c r="A13" t="s">
        <v>321</v>
      </c>
      <c r="B13" s="5" t="s">
        <v>39</v>
      </c>
    </row>
    <row r="14" spans="1:2" x14ac:dyDescent="0.25">
      <c r="A14" t="s">
        <v>322</v>
      </c>
      <c r="B14" s="4" t="s">
        <v>40</v>
      </c>
    </row>
    <row r="15" spans="1:2" x14ac:dyDescent="0.25">
      <c r="A15" t="s">
        <v>323</v>
      </c>
      <c r="B15" s="4" t="s">
        <v>40</v>
      </c>
    </row>
    <row r="16" spans="1:2" x14ac:dyDescent="0.25">
      <c r="A16" t="s">
        <v>324</v>
      </c>
      <c r="B16" s="4" t="s">
        <v>40</v>
      </c>
    </row>
    <row r="17" spans="1:2" x14ac:dyDescent="0.25">
      <c r="A17" t="s">
        <v>325</v>
      </c>
      <c r="B17" s="6" t="s">
        <v>42</v>
      </c>
    </row>
    <row r="18" spans="1:2" x14ac:dyDescent="0.25">
      <c r="A18" t="s">
        <v>326</v>
      </c>
      <c r="B18" s="5" t="s">
        <v>44</v>
      </c>
    </row>
    <row r="19" spans="1:2" x14ac:dyDescent="0.25">
      <c r="A19" t="s">
        <v>327</v>
      </c>
      <c r="B19" s="4" t="s">
        <v>45</v>
      </c>
    </row>
    <row r="20" spans="1:2" x14ac:dyDescent="0.25">
      <c r="A20" t="s">
        <v>328</v>
      </c>
      <c r="B20" s="4" t="s">
        <v>45</v>
      </c>
    </row>
    <row r="21" spans="1:2" x14ac:dyDescent="0.25">
      <c r="A21" t="s">
        <v>329</v>
      </c>
      <c r="B21" s="4" t="s">
        <v>45</v>
      </c>
    </row>
    <row r="22" spans="1:2" x14ac:dyDescent="0.25">
      <c r="A22" t="s">
        <v>330</v>
      </c>
      <c r="B22" s="5" t="s">
        <v>43</v>
      </c>
    </row>
    <row r="23" spans="1:2" x14ac:dyDescent="0.25">
      <c r="A23" t="s">
        <v>331</v>
      </c>
      <c r="B23" s="5" t="s">
        <v>43</v>
      </c>
    </row>
    <row r="24" spans="1:2" x14ac:dyDescent="0.25">
      <c r="A24" t="s">
        <v>332</v>
      </c>
      <c r="B24" s="6" t="s">
        <v>41</v>
      </c>
    </row>
    <row r="25" spans="1:2" x14ac:dyDescent="0.25">
      <c r="A25" t="s">
        <v>333</v>
      </c>
      <c r="B25" s="6" t="s">
        <v>41</v>
      </c>
    </row>
    <row r="26" spans="1:2" x14ac:dyDescent="0.25">
      <c r="A26" t="s">
        <v>334</v>
      </c>
      <c r="B26" s="4" t="s">
        <v>40</v>
      </c>
    </row>
    <row r="27" spans="1:2" x14ac:dyDescent="0.25">
      <c r="A27" t="s">
        <v>335</v>
      </c>
      <c r="B27" s="5" t="s">
        <v>39</v>
      </c>
    </row>
    <row r="28" spans="1:2" x14ac:dyDescent="0.25">
      <c r="A28" t="s">
        <v>336</v>
      </c>
      <c r="B28" s="4" t="s">
        <v>45</v>
      </c>
    </row>
    <row r="29" spans="1:2" x14ac:dyDescent="0.25">
      <c r="A29" t="s">
        <v>337</v>
      </c>
      <c r="B29" s="4" t="s">
        <v>45</v>
      </c>
    </row>
    <row r="30" spans="1:2" x14ac:dyDescent="0.25">
      <c r="A30" t="s">
        <v>338</v>
      </c>
      <c r="B30" s="4" t="s">
        <v>45</v>
      </c>
    </row>
    <row r="31" spans="1:2" x14ac:dyDescent="0.25">
      <c r="A31" t="s">
        <v>339</v>
      </c>
      <c r="B31" s="4" t="s">
        <v>45</v>
      </c>
    </row>
    <row r="32" spans="1:2" x14ac:dyDescent="0.25">
      <c r="A32" t="s">
        <v>340</v>
      </c>
      <c r="B32" s="4" t="s">
        <v>45</v>
      </c>
    </row>
    <row r="33" spans="1:2" x14ac:dyDescent="0.25">
      <c r="A33" t="s">
        <v>341</v>
      </c>
      <c r="B33" s="4" t="s">
        <v>40</v>
      </c>
    </row>
    <row r="34" spans="1:2" x14ac:dyDescent="0.25">
      <c r="A34" t="s">
        <v>342</v>
      </c>
      <c r="B34" s="4" t="s">
        <v>40</v>
      </c>
    </row>
    <row r="35" spans="1:2" x14ac:dyDescent="0.25">
      <c r="A35" t="s">
        <v>343</v>
      </c>
    </row>
    <row r="36" spans="1:2" x14ac:dyDescent="0.25">
      <c r="A36" t="s">
        <v>344</v>
      </c>
    </row>
    <row r="37" spans="1:2" x14ac:dyDescent="0.25">
      <c r="A37" t="s">
        <v>346</v>
      </c>
    </row>
    <row r="38" spans="1:2" x14ac:dyDescent="0.25">
      <c r="A38"/>
    </row>
    <row r="39" spans="1:2" x14ac:dyDescent="0.25">
      <c r="A39"/>
    </row>
    <row r="40" spans="1:2" x14ac:dyDescent="0.25">
      <c r="A40"/>
    </row>
    <row r="41" spans="1:2" x14ac:dyDescent="0.25">
      <c r="A41"/>
    </row>
    <row r="42" spans="1:2" x14ac:dyDescent="0.25">
      <c r="A42"/>
    </row>
    <row r="43" spans="1:2" x14ac:dyDescent="0.25">
      <c r="A43"/>
    </row>
    <row r="44" spans="1:2" x14ac:dyDescent="0.25">
      <c r="A44"/>
    </row>
    <row r="45" spans="1:2" x14ac:dyDescent="0.25">
      <c r="A45"/>
    </row>
    <row r="46" spans="1:2" x14ac:dyDescent="0.25">
      <c r="A46"/>
    </row>
    <row r="47" spans="1:2" x14ac:dyDescent="0.25">
      <c r="A47"/>
    </row>
  </sheetData>
  <autoFilter ref="A1:A34">
    <sortState ref="A2:A34">
      <sortCondition ref="A1:A34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92" workbookViewId="0">
      <selection activeCell="A192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2" t="s">
        <v>51</v>
      </c>
      <c r="C1" s="2" t="s">
        <v>52</v>
      </c>
    </row>
    <row r="2" spans="1:3" x14ac:dyDescent="0.25">
      <c r="A2" t="s">
        <v>53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54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55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56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57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58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59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60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61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62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63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64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65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66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67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68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69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70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71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72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73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74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75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76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77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78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79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80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81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82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83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84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85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86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87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88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89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90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91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92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93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94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95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96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97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98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99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100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101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102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103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104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105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106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107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108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109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110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111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112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113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114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115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116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117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118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119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120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121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122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123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124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125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126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127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128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129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130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131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132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133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134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135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136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137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138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139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140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141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142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143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144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145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146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147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148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149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150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151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152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153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154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155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156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157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158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159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160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161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162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163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164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165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166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167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168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169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170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171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172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173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174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175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176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177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178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179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180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181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182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183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184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185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186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187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188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189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190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191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192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193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194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195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196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197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198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199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200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201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202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203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204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205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206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207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208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209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210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211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212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213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214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215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216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217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218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219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220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221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222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223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224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225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226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227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228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229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230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231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232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233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234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235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236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237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238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239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240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241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242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243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244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245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246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247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248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249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250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251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252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253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254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255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256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257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258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259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260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261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262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263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264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265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266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267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268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269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270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271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272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273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274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275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276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277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278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279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280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281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282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283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284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285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286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287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288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289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290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291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292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293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294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295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296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297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298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299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300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GO</vt:lpstr>
      <vt:lpstr>Hoja1</vt:lpstr>
      <vt:lpstr>PROYECTO</vt:lpstr>
      <vt:lpstr>Hoja3</vt:lpstr>
      <vt:lpstr>LISTPART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2019-07-11T15:29:12Z</cp:lastPrinted>
  <dcterms:created xsi:type="dcterms:W3CDTF">2016-02-08T15:52:06Z</dcterms:created>
  <dcterms:modified xsi:type="dcterms:W3CDTF">2020-01-13T16:44:19Z</dcterms:modified>
</cp:coreProperties>
</file>