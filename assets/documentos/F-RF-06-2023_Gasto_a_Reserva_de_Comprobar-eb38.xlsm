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5D1E4626-618E-4B79-9DD8-EE06661C8579}" xr6:coauthVersionLast="47" xr6:coauthVersionMax="47" xr10:uidLastSave="{00000000-0000-0000-0000-000000000000}"/>
  <bookViews>
    <workbookView xWindow="-120" yWindow="-120" windowWidth="29040" windowHeight="15840" tabRatio="601" activeTab="1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externalReferences>
    <externalReference r:id="rId8"/>
  </externalReferences>
  <definedNames>
    <definedName name="_xlnm._FilterDatabase" localSheetId="4" hidden="1">partida!$B$1:$C$1</definedName>
    <definedName name="CONCEPTO">GRC!#REF!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7" l="1"/>
  <c r="B21" i="27"/>
  <c r="E11" i="26"/>
  <c r="H30" i="25" l="1"/>
  <c r="H31" i="25" s="1"/>
  <c r="F43" i="20" s="1"/>
  <c r="D9" i="20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<sst xmlns="http://schemas.openxmlformats.org/spreadsheetml/2006/main" count="2117" uniqueCount="1084">
  <si>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</si>
  <si>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</si>
  <si>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</si>
  <si>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</si>
  <si>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</si>
  <si>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</si>
  <si>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</si>
  <si>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</si>
  <si>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</si>
  <si>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</si>
  <si>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</si>
  <si>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</si>
  <si>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</si>
  <si>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</si>
  <si>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</si>
  <si>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</si>
  <si>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</si>
  <si>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</si>
  <si>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</si>
  <si>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</si>
  <si>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</si>
  <si>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</si>
  <si>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</si>
  <si>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</si>
  <si>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</si>
  <si>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</si>
  <si>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</si>
  <si>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</si>
  <si>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</si>
  <si>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</si>
  <si>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</si>
  <si>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</si>
  <si>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</si>
  <si>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</si>
  <si>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</si>
  <si>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</si>
  <si>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</si>
  <si>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</si>
  <si>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</si>
  <si>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</si>
  <si>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</si>
  <si>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</si>
  <si>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</si>
  <si>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</si>
  <si>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</si>
  <si>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</si>
  <si>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</si>
  <si>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</si>
  <si>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</si>
  <si>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</si>
  <si>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</si>
  <si>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</si>
  <si>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</si>
  <si>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</si>
  <si>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</si>
  <si>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</si>
  <si>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</si>
  <si>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</si>
  <si>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</si>
  <si>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</si>
  <si>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</si>
  <si>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</si>
  <si>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</si>
  <si>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</si>
  <si>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</si>
  <si>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</si>
  <si>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</si>
  <si>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</si>
  <si>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</si>
  <si>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</si>
  <si>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</si>
  <si>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</si>
  <si>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</si>
  <si>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</si>
  <si>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</si>
  <si>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</si>
  <si>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</si>
  <si>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</si>
  <si>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</si>
  <si>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</si>
  <si>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</si>
  <si>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</si>
  <si>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</si>
  <si>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</si>
  <si>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</si>
  <si>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</si>
  <si>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</si>
  <si>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</si>
  <si>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</si>
  <si>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</si>
  <si>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</si>
  <si>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</si>
  <si>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</si>
  <si>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</si>
  <si>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</si>
  <si>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</si>
  <si>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</si>
  <si>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</si>
  <si>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</si>
  <si>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</si>
  <si>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</si>
  <si>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</si>
  <si>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</si>
  <si>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</si>
  <si>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</si>
  <si>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</si>
  <si>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</si>
  <si>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</si>
  <si>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</si>
  <si>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</si>
  <si>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</si>
  <si>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</si>
  <si>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</si>
  <si>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</si>
  <si>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</si>
  <si>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</si>
  <si>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</si>
  <si>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</si>
  <si>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</si>
  <si>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</si>
  <si>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</si>
  <si>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</si>
  <si>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</si>
  <si>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</si>
  <si>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</si>
  <si>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</si>
  <si>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</si>
  <si>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</si>
  <si>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</si>
  <si>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</si>
  <si>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</si>
  <si>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</si>
  <si>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</si>
  <si>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</si>
  <si>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</si>
  <si>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</si>
  <si>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</si>
  <si>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</si>
  <si>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</si>
  <si>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</si>
  <si>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</si>
  <si>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</si>
  <si>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</si>
  <si>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</si>
  <si>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</si>
  <si>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</si>
  <si>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</si>
  <si>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</si>
  <si>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</si>
  <si>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</si>
  <si>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</si>
  <si>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</si>
  <si>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</si>
  <si>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</si>
  <si>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</si>
  <si>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</si>
  <si>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</si>
  <si>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</si>
  <si>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</si>
  <si>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</si>
  <si>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</si>
  <si>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</si>
  <si>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</si>
  <si>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</si>
  <si>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</si>
  <si>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</si>
  <si>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</si>
  <si>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</si>
  <si>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</si>
  <si>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</si>
  <si>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</si>
  <si>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</si>
  <si>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</si>
  <si>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</si>
  <si>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</si>
  <si>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</si>
  <si>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</si>
  <si>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</si>
  <si>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</si>
  <si>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</si>
  <si>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</si>
  <si>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</si>
  <si>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</si>
  <si>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</si>
  <si>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</si>
  <si>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</si>
  <si>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</si>
  <si>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</si>
  <si>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</si>
  <si>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</si>
  <si>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</si>
  <si>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</si>
  <si>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</si>
  <si>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</si>
  <si>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</si>
  <si>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</si>
  <si>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</si>
  <si>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</si>
  <si>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</si>
  <si>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</si>
  <si>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</si>
  <si>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</si>
  <si>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</si>
  <si>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</si>
  <si>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</si>
  <si>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</si>
  <si>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</si>
  <si>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</si>
  <si>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</si>
  <si>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</si>
  <si>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</si>
  <si>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</si>
  <si>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</si>
  <si>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</si>
  <si>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</si>
  <si>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</si>
  <si>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</si>
  <si>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</si>
  <si>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</si>
  <si>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</si>
  <si>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</si>
  <si>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</si>
  <si>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</si>
  <si>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</si>
  <si>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</si>
  <si>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</si>
  <si>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</si>
  <si>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</si>
  <si>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</si>
  <si>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</si>
  <si>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</si>
  <si>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</si>
  <si>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</si>
  <si>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</si>
  <si>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</si>
  <si>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</si>
  <si>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</si>
  <si>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</si>
  <si>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</si>
  <si>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</si>
  <si>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</si>
  <si>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</si>
  <si>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</si>
  <si>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</si>
  <si>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</si>
  <si>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</si>
  <si>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</si>
  <si>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</si>
  <si>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</si>
  <si>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</si>
  <si>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</si>
  <si>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</si>
  <si>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</si>
  <si>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</si>
  <si>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</si>
  <si>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</si>
  <si>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</si>
  <si>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</si>
  <si>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</si>
  <si>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</si>
  <si>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</si>
  <si>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</si>
  <si>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</si>
  <si>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</si>
  <si>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</si>
  <si>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</si>
  <si>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</si>
  <si>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</si>
  <si>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</si>
  <si>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</si>
  <si>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</si>
  <si>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</si>
  <si>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</si>
  <si>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</si>
  <si>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</si>
  <si>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</si>
  <si>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</si>
  <si>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</si>
  <si>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</si>
  <si>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</si>
  <si>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</si>
  <si>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</si>
  <si>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</si>
  <si>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</si>
  <si>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</si>
  <si>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</si>
  <si>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</si>
  <si>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</si>
  <si>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</si>
  <si>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</si>
  <si>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</si>
  <si>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</si>
  <si>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</si>
  <si>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</si>
  <si>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</si>
  <si>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</si>
  <si>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</si>
  <si>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</si>
  <si>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</si>
  <si>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</si>
  <si>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</si>
  <si>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</si>
  <si>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</si>
  <si>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</si>
  <si>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</si>
  <si>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</si>
  <si>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</si>
  <si>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</si>
  <si>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</si>
  <si>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</si>
  <si>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</si>
  <si>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</si>
  <si>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</si>
  <si>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</si>
  <si>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</si>
  <si>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</si>
  <si>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</si>
  <si>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</si>
  <si>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</si>
  <si>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</si>
  <si>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</si>
  <si>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</si>
  <si>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</si>
  <si>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</si>
  <si>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</si>
  <si>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</si>
  <si>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</si>
  <si>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</si>
  <si>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</si>
  <si>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</si>
  <si>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</si>
  <si>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</si>
  <si>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</si>
  <si>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</si>
  <si>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</si>
  <si>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</si>
  <si>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</si>
  <si>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</si>
  <si>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</si>
  <si>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</si>
  <si>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</si>
  <si>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</si>
  <si>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</si>
  <si>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</si>
  <si>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</si>
  <si>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</si>
  <si>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</si>
  <si>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</si>
  <si>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</si>
  <si>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</si>
  <si>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</si>
  <si>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</si>
  <si>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</si>
  <si>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</si>
  <si>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</si>
  <si>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</si>
  <si>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</si>
  <si>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</si>
  <si>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</si>
  <si>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</si>
  <si>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</si>
  <si>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</si>
  <si>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</si>
  <si>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</si>
  <si>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</si>
  <si>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</si>
  <si>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</si>
  <si>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</si>
  <si>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</si>
  <si>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</si>
  <si>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</si>
  <si>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</si>
  <si>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</si>
  <si>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</si>
  <si>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</si>
  <si>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</si>
  <si>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</si>
  <si>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</si>
  <si>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</si>
  <si>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</si>
  <si>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</si>
  <si>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</si>
  <si>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</si>
  <si>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</si>
  <si>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</si>
  <si>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</si>
  <si>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</si>
  <si>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</si>
  <si>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</si>
  <si>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</si>
  <si>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</si>
  <si>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</si>
  <si>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</si>
  <si>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</si>
  <si>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</si>
  <si>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</si>
  <si>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</si>
  <si>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</si>
  <si>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</si>
  <si>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</si>
  <si>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</si>
  <si>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</si>
  <si>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</si>
  <si>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</si>
  <si>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</si>
  <si>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</si>
  <si>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</si>
  <si>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</si>
  <si>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</si>
  <si>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</si>
  <si>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</si>
  <si>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</si>
  <si>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</si>
  <si>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</si>
  <si>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</si>
  <si>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</si>
  <si>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</si>
  <si>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</si>
  <si>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</si>
  <si>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</si>
  <si>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</si>
  <si>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</si>
  <si>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</si>
  <si>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</si>
  <si>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</si>
  <si>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</si>
  <si>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</si>
  <si>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</si>
  <si>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</si>
  <si>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</si>
  <si>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</si>
  <si>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</si>
  <si>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</si>
  <si>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</si>
  <si>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</si>
  <si>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</si>
  <si>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</si>
  <si>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</si>
  <si>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</si>
  <si>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</si>
  <si>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</si>
  <si>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</si>
  <si>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</si>
  <si>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</si>
  <si>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</si>
  <si>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</si>
  <si>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</si>
  <si>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</si>
  <si>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</si>
  <si>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</si>
  <si>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</si>
  <si>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</si>
  <si>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</si>
  <si>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</si>
  <si>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</si>
  <si>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</si>
  <si>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</si>
  <si>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</si>
  <si>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</si>
  <si>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</si>
  <si>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</si>
  <si>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</si>
  <si>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</si>
  <si>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</si>
  <si>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</si>
  <si>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</si>
  <si>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</si>
  <si>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</si>
  <si>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</si>
  <si>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</si>
  <si>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</si>
  <si>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</si>
  <si>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</si>
  <si>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</si>
  <si>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</si>
  <si>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</si>
  <si>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</si>
  <si>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</si>
  <si>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</si>
  <si>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</si>
  <si>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</si>
  <si>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</si>
  <si>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</si>
  <si>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</si>
  <si>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</si>
  <si>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</si>
  <si>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</si>
  <si>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</si>
  <si>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</si>
  <si>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</si>
  <si>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</si>
  <si>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</si>
  <si>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</si>
  <si>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</si>
  <si>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</si>
  <si>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</si>
  <si>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</si>
  <si>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</si>
  <si>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</si>
  <si>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</si>
  <si>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</si>
  <si>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</si>
  <si>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</si>
  <si>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</si>
  <si>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</si>
  <si>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</si>
  <si>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</si>
  <si>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</si>
  <si>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</si>
  <si>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</si>
  <si>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</si>
  <si>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</si>
  <si>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</si>
  <si>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</si>
  <si>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</si>
  <si>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</si>
  <si>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</si>
  <si>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</si>
  <si>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</si>
  <si>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</si>
  <si>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</si>
  <si>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</si>
  <si>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</si>
  <si>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</si>
  <si>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</si>
  <si>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</si>
  <si>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</si>
  <si>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</si>
  <si>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</si>
  <si>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</si>
  <si>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</si>
  <si>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</si>
  <si>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</si>
  <si>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</si>
  <si>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</si>
  <si>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</si>
  <si>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</si>
  <si>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</si>
  <si>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</si>
  <si>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</si>
  <si>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</si>
  <si>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</si>
  <si>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</si>
  <si>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</si>
  <si>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</si>
  <si>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</si>
  <si>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</si>
  <si>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</si>
  <si>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</si>
  <si>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</si>
  <si>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</si>
  <si>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</si>
  <si>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</si>
  <si>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</si>
  <si>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</si>
  <si>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</si>
  <si>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</si>
  <si>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</si>
  <si>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</si>
  <si>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</si>
  <si>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</si>
  <si>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</si>
  <si>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</si>
  <si>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</si>
  <si>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</si>
  <si>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</si>
  <si>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</si>
  <si>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</si>
  <si>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</si>
  <si>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</si>
  <si>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</si>
  <si>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</si>
  <si>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</si>
  <si>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</si>
  <si>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</si>
  <si>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</si>
  <si>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</si>
  <si>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</si>
  <si>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</si>
  <si>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</si>
  <si>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</si>
  <si>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</si>
  <si>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</si>
  <si>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</si>
  <si>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</si>
  <si>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</si>
  <si>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</si>
  <si>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</si>
  <si>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</si>
  <si>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</si>
  <si>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</si>
  <si>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</si>
  <si>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</si>
  <si>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</si>
  <si>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</si>
  <si>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</si>
  <si>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</si>
  <si>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</si>
  <si>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</si>
  <si>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</si>
  <si>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</si>
  <si>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</si>
  <si>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</si>
  <si>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</si>
  <si>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</si>
  <si>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</si>
  <si>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</si>
  <si>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</si>
  <si>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</si>
  <si>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</si>
  <si>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</si>
  <si>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</si>
  <si>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</si>
  <si>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</si>
  <si>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</si>
  <si>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</si>
  <si>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</si>
  <si>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</si>
  <si>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</si>
  <si>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</si>
  <si>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</si>
  <si>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</si>
  <si>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</si>
  <si>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</si>
  <si>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</si>
  <si>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</si>
  <si>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</si>
  <si>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</si>
  <si>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</si>
  <si>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</si>
  <si>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</si>
  <si>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</si>
  <si>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</si>
  <si>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</si>
  <si>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</si>
  <si>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</si>
  <si>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</si>
  <si>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</si>
  <si>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</si>
  <si>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</si>
  <si>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</si>
  <si>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</si>
  <si>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</si>
  <si>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</si>
  <si>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</si>
  <si>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</si>
  <si>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</si>
  <si>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</si>
  <si>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</si>
  <si>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</si>
  <si>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</si>
  <si>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</si>
  <si>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</si>
  <si>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</si>
  <si>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</si>
  <si>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</si>
  <si>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</si>
  <si>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</si>
  <si>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</si>
  <si>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</si>
  <si>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</si>
  <si>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</si>
  <si>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</si>
  <si>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</si>
  <si>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</si>
  <si>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</si>
  <si>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</si>
  <si>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</si>
  <si>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</si>
  <si>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</si>
  <si>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</si>
  <si>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</si>
  <si>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</si>
  <si>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</si>
  <si>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</si>
  <si>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</si>
  <si>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</si>
  <si>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</si>
  <si>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</si>
  <si>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</si>
  <si>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</si>
  <si>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</si>
  <si>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</si>
  <si>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</si>
  <si>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</si>
  <si>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</si>
  <si>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</si>
  <si>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</si>
  <si>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</si>
  <si>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</si>
  <si>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</si>
  <si>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</si>
  <si>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</si>
  <si>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</si>
  <si>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</si>
  <si>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</si>
  <si>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</si>
  <si>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</si>
  <si>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</si>
  <si>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</si>
  <si>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</si>
  <si>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</si>
  <si>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</si>
  <si>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</si>
  <si>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</si>
  <si>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</si>
  <si>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</si>
  <si>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</si>
  <si>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</si>
  <si>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</si>
  <si>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</si>
  <si>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</si>
  <si>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</si>
  <si>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</si>
  <si>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</si>
  <si>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</si>
  <si>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</si>
  <si>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</si>
  <si>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</si>
  <si>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</si>
  <si>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</si>
  <si>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</si>
  <si>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</si>
  <si>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</si>
  <si>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</si>
  <si>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</si>
  <si>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</si>
  <si>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</si>
  <si>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</si>
  <si>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</si>
  <si>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</si>
  <si>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</si>
  <si>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</si>
  <si>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</si>
  <si>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</si>
  <si>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</si>
  <si>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</si>
  <si>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</si>
  <si>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</si>
  <si>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</si>
  <si>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</si>
  <si>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</si>
  <si>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</si>
  <si>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</si>
  <si>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</si>
  <si>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</si>
  <si>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</si>
  <si>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</si>
  <si>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</si>
  <si>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</si>
  <si>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</si>
  <si>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</si>
  <si>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</si>
  <si>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</si>
  <si>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</si>
  <si>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</si>
  <si>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</si>
  <si>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</si>
  <si>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</si>
  <si>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</si>
  <si>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</si>
  <si>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</si>
  <si>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</si>
  <si>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</si>
  <si>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</si>
  <si>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</si>
  <si>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</si>
  <si>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</si>
  <si>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</si>
  <si>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</si>
  <si>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</si>
  <si>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</si>
  <si>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</si>
  <si>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</si>
  <si>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</si>
  <si>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</si>
  <si>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</si>
  <si>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</si>
  <si>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</si>
  <si>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</si>
  <si>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</si>
  <si>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</si>
  <si>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</si>
  <si>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</si>
  <si>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</si>
  <si>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</si>
  <si>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</si>
  <si>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</si>
  <si>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</si>
  <si>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</si>
  <si>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</si>
  <si>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</si>
  <si>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</si>
  <si>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</si>
  <si>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</si>
  <si>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</si>
  <si>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</si>
  <si>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</si>
  <si>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</si>
  <si>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</si>
  <si>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</si>
  <si>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</si>
  <si>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</si>
  <si>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</si>
  <si>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</si>
  <si>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</si>
  <si>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</si>
  <si>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</si>
  <si>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</si>
  <si>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</si>
  <si>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</si>
  <si>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</si>
  <si>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</si>
  <si>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</si>
  <si>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</si>
  <si>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</si>
  <si>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</si>
  <si>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</si>
  <si>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</si>
  <si>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</si>
  <si>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</si>
  <si>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</si>
  <si>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</si>
  <si>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</si>
  <si>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</si>
  <si>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</si>
  <si>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</si>
  <si>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</si>
  <si>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</si>
  <si>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</si>
  <si>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</si>
  <si>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</si>
  <si>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</si>
  <si>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</si>
  <si>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</si>
  <si>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</si>
  <si>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</si>
  <si>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</si>
  <si>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</si>
  <si>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</si>
  <si>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</si>
  <si>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</si>
  <si>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</si>
  <si>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</si>
  <si>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</si>
  <si>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</si>
  <si>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</si>
  <si>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</si>
  <si>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</si>
  <si>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</si>
  <si>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</si>
  <si>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</si>
  <si>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</si>
  <si>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</si>
  <si>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</si>
  <si>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</si>
  <si>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</si>
  <si>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</si>
  <si>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</si>
  <si>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</si>
  <si>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</si>
  <si>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</si>
  <si>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</si>
  <si>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</si>
  <si>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</si>
  <si>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</si>
  <si>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</si>
  <si>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</si>
  <si>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</si>
  <si>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</si>
  <si>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</si>
  <si>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</si>
  <si>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</si>
  <si>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</si>
  <si>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</si>
  <si>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</si>
  <si>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</si>
  <si>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</si>
  <si>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</si>
  <si>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</si>
  <si>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</si>
  <si>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</si>
  <si>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</si>
  <si>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</si>
  <si>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</si>
  <si>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</si>
  <si>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</si>
  <si>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</si>
  <si>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</si>
  <si>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</si>
  <si>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</si>
  <si>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</si>
  <si>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</si>
  <si>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</si>
  <si>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</si>
  <si>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</si>
  <si>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</si>
  <si>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</si>
  <si>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</si>
  <si>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</si>
  <si>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</si>
  <si>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</si>
  <si>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</si>
  <si>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</si>
  <si>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</si>
  <si>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</si>
  <si>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</si>
  <si>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</si>
  <si>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</si>
  <si>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</si>
  <si>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</si>
  <si>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</si>
  <si>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</si>
  <si>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</si>
  <si>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</si>
  <si>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</si>
  <si>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</si>
  <si>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</si>
  <si>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</si>
  <si>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</si>
  <si>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</si>
  <si>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</si>
  <si>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</si>
  <si>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</si>
  <si>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</si>
  <si>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</si>
  <si>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</si>
  <si>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</si>
  <si>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</si>
  <si>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</si>
  <si>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</si>
  <si>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</si>
  <si>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</si>
  <si>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</si>
  <si>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</si>
  <si>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</si>
  <si>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</si>
  <si>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</si>
  <si>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</si>
  <si>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</si>
  <si>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</si>
  <si>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</si>
  <si>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</si>
  <si>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</si>
  <si>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</si>
  <si>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</si>
  <si>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</si>
  <si>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</si>
  <si>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</si>
  <si>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</si>
  <si>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</si>
  <si>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</si>
  <si>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</si>
  <si>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</si>
  <si>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</si>
  <si>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</si>
  <si>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</si>
  <si>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</si>
  <si>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</si>
  <si>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</si>
  <si>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</si>
  <si>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</si>
  <si>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</si>
  <si>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</si>
  <si>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</si>
  <si>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</si>
  <si>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</si>
  <si>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</si>
  <si>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</si>
  <si>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</si>
  <si>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</si>
  <si>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</si>
  <si>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</si>
  <si>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</si>
  <si>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</si>
  <si>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</si>
  <si>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</si>
  <si>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</si>
  <si>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</si>
  <si>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</si>
  <si>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</si>
  <si>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</si>
  <si>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</si>
  <si>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</si>
  <si>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</si>
  <si>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</si>
  <si>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</si>
  <si>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</si>
  <si>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</si>
  <si>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</si>
  <si>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</si>
  <si>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</si>
  <si>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</si>
  <si>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</si>
  <si>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</si>
  <si>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</si>
  <si>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</si>
  <si>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</si>
  <si>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</si>
  <si>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</si>
  <si>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</si>
  <si>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</si>
  <si>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</si>
  <si>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</si>
  <si>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</si>
  <si>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</si>
  <si>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</si>
  <si>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</si>
  <si>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</si>
  <si>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</si>
  <si>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</si>
  <si>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</si>
  <si>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</si>
  <si>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</si>
  <si>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</si>
  <si>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</si>
  <si>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</si>
  <si>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</si>
  <si>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</si>
  <si>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</si>
  <si>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</si>
  <si>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</si>
  <si>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</si>
  <si>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</si>
  <si>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</si>
  <si>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</si>
  <si>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</si>
  <si>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</si>
  <si>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</si>
  <si>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</si>
  <si>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</si>
  <si>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</si>
  <si>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</si>
  <si>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</si>
  <si>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</si>
  <si>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</si>
  <si>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</si>
  <si>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</si>
  <si>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</si>
  <si>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</si>
  <si>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</si>
  <si>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</si>
  <si>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</si>
  <si>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</si>
  <si>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</si>
  <si>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</si>
  <si>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</si>
  <si>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</si>
  <si>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</si>
  <si>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</si>
  <si>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</si>
  <si>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FORMATO GRC - 23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</si>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</sst>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2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6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59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3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3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3" xfId="0" applyFont="1" applyBorder="1"/>
    <xf numFmtId="0" fontId="12" fillId="0" borderId="32" xfId="0" applyFont="1" applyBorder="1"/>
    <xf numFmtId="49" fontId="12" fillId="0" borderId="0" xfId="0" applyNumberFormat="1" applyFont="1" applyAlignment="1">
      <alignment horizontal="left"/>
    </xf>
    <xf numFmtId="49" fontId="12" fillId="0" borderId="32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5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7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3" xfId="0" applyFont="1" applyBorder="1"/>
    <xf numFmtId="0" fontId="13" fillId="0" borderId="7" xfId="0" applyFont="1" applyBorder="1"/>
    <xf numFmtId="0" fontId="13" fillId="0" borderId="21" xfId="0" applyFont="1" applyBorder="1"/>
    <xf numFmtId="0" fontId="13" fillId="0" borderId="6" xfId="0" applyFont="1" applyBorder="1"/>
    <xf numFmtId="0" fontId="13" fillId="0" borderId="51" xfId="0" applyFont="1" applyBorder="1"/>
    <xf numFmtId="0" fontId="13" fillId="0" borderId="4" xfId="0" applyFont="1" applyBorder="1"/>
    <xf numFmtId="0" fontId="13" fillId="0" borderId="52" xfId="0" applyFont="1" applyBorder="1"/>
    <xf numFmtId="0" fontId="13" fillId="0" borderId="3" xfId="0" applyFont="1" applyBorder="1"/>
    <xf numFmtId="0" fontId="21" fillId="0" borderId="0" xfId="0" applyFont="1"/>
    <xf numFmtId="0" fontId="6" fillId="0" borderId="67" xfId="0" applyFont="1" applyBorder="1"/>
    <xf numFmtId="0" fontId="6" fillId="0" borderId="8" xfId="0" applyFont="1" applyBorder="1"/>
    <xf numFmtId="44" fontId="6" fillId="0" borderId="66" xfId="1" applyFont="1" applyBorder="1"/>
    <xf numFmtId="0" fontId="6" fillId="4" borderId="69" xfId="0" applyFont="1" applyFill="1" applyBorder="1" applyAlignment="1">
      <alignment horizontal="center"/>
    </xf>
    <xf numFmtId="0" fontId="6" fillId="0" borderId="68" xfId="0" applyFont="1" applyBorder="1"/>
    <xf numFmtId="0" fontId="6" fillId="0" borderId="65" xfId="0" applyFont="1" applyBorder="1"/>
    <xf numFmtId="44" fontId="6" fillId="4" borderId="69" xfId="1" applyFont="1" applyFill="1" applyBorder="1" applyAlignment="1">
      <alignment horizontal="center"/>
    </xf>
    <xf numFmtId="0" fontId="21" fillId="0" borderId="14" xfId="0" applyFont="1" applyBorder="1" applyAlignment="1" applyProtection="1">
      <alignment horizontal="left" vertical="center"/>
      <protection locked="0"/>
    </xf>
    <xf numFmtId="44" fontId="21" fillId="0" borderId="14" xfId="1" applyFont="1" applyBorder="1" applyAlignment="1" applyProtection="1">
      <alignment horizontal="left" vertical="center"/>
      <protection locked="0"/>
    </xf>
    <xf numFmtId="44" fontId="23" fillId="0" borderId="14" xfId="1" applyFont="1" applyFill="1" applyBorder="1" applyAlignment="1" applyProtection="1">
      <alignment horizontal="lef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7" xfId="0" applyFont="1" applyBorder="1" applyAlignment="1">
      <alignment horizontal="left"/>
    </xf>
    <xf numFmtId="0" fontId="21" fillId="0" borderId="39" xfId="0" applyFont="1" applyBorder="1" applyAlignment="1">
      <alignment horizontal="left"/>
    </xf>
    <xf numFmtId="0" fontId="6" fillId="4" borderId="14" xfId="0" applyFont="1" applyFill="1" applyBorder="1" applyAlignment="1">
      <alignment horizontal="left"/>
    </xf>
    <xf numFmtId="44" fontId="21" fillId="4" borderId="14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44" fontId="21" fillId="0" borderId="14" xfId="1" applyFont="1" applyBorder="1" applyProtection="1"/>
    <xf numFmtId="0" fontId="6" fillId="0" borderId="0" xfId="0" applyFont="1"/>
    <xf numFmtId="0" fontId="21" fillId="0" borderId="32" xfId="0" applyFont="1" applyBorder="1"/>
    <xf numFmtId="0" fontId="6" fillId="0" borderId="32" xfId="0" applyFont="1" applyBorder="1"/>
    <xf numFmtId="44" fontId="21" fillId="4" borderId="14" xfId="1" applyFont="1" applyFill="1" applyBorder="1" applyProtection="1">
      <protection locked="0"/>
    </xf>
    <xf numFmtId="44" fontId="21" fillId="0" borderId="0" xfId="1" applyFont="1"/>
    <xf numFmtId="0" fontId="0" fillId="0" borderId="22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3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2" xfId="0" applyFont="1" applyBorder="1" applyAlignment="1">
      <alignment horizontal="left" vertical="center"/>
    </xf>
    <xf numFmtId="0" fontId="28" fillId="0" borderId="51" xfId="0" applyFont="1" applyBorder="1" applyAlignment="1">
      <alignment vertical="center" wrapText="1"/>
    </xf>
    <xf numFmtId="0" fontId="0" fillId="0" borderId="23" xfId="0" applyBorder="1"/>
    <xf numFmtId="0" fontId="0" fillId="0" borderId="21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4" xfId="0" applyNumberFormat="1" applyFont="1" applyBorder="1" applyAlignment="1" applyProtection="1">
      <alignment horizontal="center"/>
      <protection locked="0"/>
    </xf>
    <xf numFmtId="44" fontId="40" fillId="0" borderId="14" xfId="1" applyFont="1" applyBorder="1" applyAlignment="1" applyProtection="1">
      <alignment horizontal="center"/>
      <protection locked="0"/>
    </xf>
    <xf numFmtId="0" fontId="35" fillId="5" borderId="77" xfId="0" applyFont="1" applyFill="1" applyBorder="1"/>
    <xf numFmtId="44" fontId="35" fillId="5" borderId="78" xfId="1" applyFont="1" applyFill="1" applyBorder="1"/>
    <xf numFmtId="0" fontId="41" fillId="0" borderId="14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5" fillId="0" borderId="65" xfId="0" applyFont="1" applyBorder="1" applyAlignment="1">
      <alignment horizontal="center" vertical="center" wrapText="1"/>
    </xf>
    <xf numFmtId="0" fontId="12" fillId="4" borderId="69" xfId="0" applyFont="1" applyFill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1" fillId="0" borderId="19" xfId="0" applyFont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/>
    </xf>
    <xf numFmtId="0" fontId="6" fillId="4" borderId="69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49" fontId="19" fillId="0" borderId="60" xfId="0" applyNumberFormat="1" applyFont="1" applyBorder="1" applyAlignment="1">
      <alignment horizontal="center" vertical="center" wrapText="1"/>
    </xf>
    <xf numFmtId="49" fontId="19" fillId="0" borderId="39" xfId="0" applyNumberFormat="1" applyFont="1" applyBorder="1" applyAlignment="1">
      <alignment horizontal="center" vertical="center" wrapText="1"/>
    </xf>
    <xf numFmtId="49" fontId="19" fillId="0" borderId="48" xfId="0" applyNumberFormat="1" applyFont="1" applyBorder="1" applyAlignment="1">
      <alignment horizontal="center" vertical="center" wrapText="1"/>
    </xf>
    <xf numFmtId="49" fontId="19" fillId="0" borderId="32" xfId="0" applyNumberFormat="1" applyFont="1" applyBorder="1" applyAlignment="1">
      <alignment horizontal="center" vertical="center" wrapText="1"/>
    </xf>
    <xf numFmtId="166" fontId="7" fillId="0" borderId="17" xfId="0" applyNumberFormat="1" applyFont="1" applyBorder="1" applyAlignment="1">
      <alignment horizontal="center" wrapText="1"/>
    </xf>
    <xf numFmtId="166" fontId="7" fillId="0" borderId="19" xfId="0" applyNumberFormat="1" applyFont="1" applyBorder="1" applyAlignment="1">
      <alignment horizontal="center" wrapText="1"/>
    </xf>
    <xf numFmtId="0" fontId="11" fillId="0" borderId="40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2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5" fillId="0" borderId="58" xfId="0" applyFont="1" applyBorder="1" applyAlignment="1">
      <alignment horizontal="left" vertical="center"/>
    </xf>
    <xf numFmtId="0" fontId="15" fillId="0" borderId="35" xfId="0" applyFont="1" applyBorder="1" applyAlignment="1">
      <alignment horizontal="left" vertical="center"/>
    </xf>
    <xf numFmtId="44" fontId="19" fillId="0" borderId="48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51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13" fillId="0" borderId="4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8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7" xfId="0" applyFont="1" applyBorder="1" applyAlignment="1" applyProtection="1">
      <alignment horizontal="center"/>
      <protection locked="0"/>
    </xf>
    <xf numFmtId="0" fontId="13" fillId="0" borderId="3" xfId="0" applyFont="1" applyBorder="1" applyAlignment="1">
      <alignment horizontal="center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51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2" xfId="0" applyFont="1" applyBorder="1" applyAlignment="1">
      <alignment horizontal="center" vertical="center" wrapText="1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51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2" xfId="0" applyFont="1" applyBorder="1" applyAlignment="1" applyProtection="1">
      <alignment horizontal="center" vertical="center" wrapText="1"/>
      <protection locked="0"/>
    </xf>
    <xf numFmtId="166" fontId="2" fillId="0" borderId="26" xfId="0" applyNumberFormat="1" applyFont="1" applyBorder="1" applyAlignment="1" applyProtection="1">
      <alignment horizontal="center" vertical="center" wrapText="1"/>
      <protection locked="0"/>
    </xf>
    <xf numFmtId="166" fontId="2" fillId="0" borderId="39" xfId="0" applyNumberFormat="1" applyFont="1" applyBorder="1" applyAlignment="1" applyProtection="1">
      <alignment horizontal="center" vertical="center" wrapText="1"/>
      <protection locked="0"/>
    </xf>
    <xf numFmtId="166" fontId="2" fillId="0" borderId="51" xfId="0" applyNumberFormat="1" applyFont="1" applyBorder="1" applyAlignment="1" applyProtection="1">
      <alignment horizontal="center" vertical="center" wrapText="1"/>
      <protection locked="0"/>
    </xf>
    <xf numFmtId="166" fontId="2" fillId="0" borderId="52" xfId="0" applyNumberFormat="1" applyFont="1" applyBorder="1" applyAlignment="1" applyProtection="1">
      <alignment horizontal="center" vertical="center" wrapText="1"/>
      <protection locked="0"/>
    </xf>
    <xf numFmtId="0" fontId="12" fillId="0" borderId="39" xfId="0" applyFont="1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44" fontId="12" fillId="0" borderId="41" xfId="1" applyFont="1" applyFill="1" applyBorder="1" applyAlignment="1" applyProtection="1">
      <alignment horizontal="center" vertical="center"/>
    </xf>
    <xf numFmtId="44" fontId="12" fillId="0" borderId="42" xfId="1" applyFont="1" applyFill="1" applyBorder="1" applyAlignment="1" applyProtection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4" xfId="0" applyFont="1" applyBorder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6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2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14" fontId="19" fillId="0" borderId="36" xfId="0" applyNumberFormat="1" applyFont="1" applyBorder="1" applyAlignment="1" applyProtection="1">
      <alignment horizontal="center" vertical="center"/>
      <protection locked="0"/>
    </xf>
    <xf numFmtId="14" fontId="19" fillId="0" borderId="62" xfId="0" applyNumberFormat="1" applyFont="1" applyBorder="1" applyAlignment="1" applyProtection="1">
      <alignment horizontal="center" vertical="center"/>
      <protection locked="0"/>
    </xf>
    <xf numFmtId="14" fontId="19" fillId="0" borderId="63" xfId="0" applyNumberFormat="1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9" xfId="0" applyNumberFormat="1" applyFont="1" applyBorder="1" applyAlignment="1" applyProtection="1">
      <alignment horizontal="center" vertical="center"/>
      <protection locked="0"/>
    </xf>
    <xf numFmtId="165" fontId="15" fillId="0" borderId="31" xfId="0" applyNumberFormat="1" applyFont="1" applyBorder="1" applyAlignment="1" applyProtection="1">
      <alignment horizontal="center" vertical="center"/>
      <protection locked="0"/>
    </xf>
    <xf numFmtId="0" fontId="12" fillId="0" borderId="3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9" fillId="0" borderId="17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3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3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2" fillId="0" borderId="55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6" fillId="4" borderId="22" xfId="0" applyFont="1" applyFill="1" applyBorder="1" applyAlignment="1">
      <alignment horizontal="center"/>
    </xf>
    <xf numFmtId="0" fontId="6" fillId="4" borderId="65" xfId="0" applyFont="1" applyFill="1" applyBorder="1" applyAlignment="1">
      <alignment horizontal="center"/>
    </xf>
    <xf numFmtId="0" fontId="6" fillId="4" borderId="66" xfId="0" applyFont="1" applyFill="1" applyBorder="1" applyAlignment="1">
      <alignment horizontal="center"/>
    </xf>
    <xf numFmtId="0" fontId="21" fillId="0" borderId="68" xfId="0" applyFont="1" applyBorder="1" applyAlignment="1" applyProtection="1">
      <alignment horizontal="center"/>
      <protection locked="0"/>
    </xf>
    <xf numFmtId="0" fontId="21" fillId="0" borderId="65" xfId="0" applyFont="1" applyBorder="1" applyAlignment="1" applyProtection="1">
      <alignment horizontal="center"/>
      <protection locked="0"/>
    </xf>
    <xf numFmtId="0" fontId="21" fillId="0" borderId="66" xfId="0" applyFont="1" applyBorder="1" applyAlignment="1" applyProtection="1">
      <alignment horizontal="center"/>
      <protection locked="0"/>
    </xf>
    <xf numFmtId="0" fontId="6" fillId="0" borderId="68" xfId="0" applyFont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6" fillId="0" borderId="68" xfId="0" applyFont="1" applyBorder="1" applyAlignment="1" applyProtection="1">
      <alignment horizontal="center"/>
      <protection locked="0"/>
    </xf>
    <xf numFmtId="0" fontId="6" fillId="0" borderId="66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2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2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52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2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2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39" fillId="0" borderId="14" xfId="0" applyFont="1" applyBorder="1" applyAlignment="1" applyProtection="1">
      <alignment wrapText="1"/>
      <protection locked="0"/>
    </xf>
    <xf numFmtId="44" fontId="39" fillId="0" borderId="17" xfId="1" applyFont="1" applyBorder="1" applyAlignment="1" applyProtection="1">
      <alignment horizontal="center"/>
      <protection locked="0"/>
    </xf>
    <xf numFmtId="44" fontId="39" fillId="0" borderId="19" xfId="1" applyFont="1" applyBorder="1" applyAlignment="1" applyProtection="1">
      <alignment horizontal="center"/>
      <protection locked="0"/>
    </xf>
    <xf numFmtId="0" fontId="7" fillId="0" borderId="14" xfId="0" applyFont="1" applyBorder="1" applyAlignment="1">
      <alignment horizontal="center"/>
    </xf>
    <xf numFmtId="0" fontId="43" fillId="5" borderId="23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39" fillId="0" borderId="17" xfId="0" applyFont="1" applyBorder="1" applyAlignment="1" applyProtection="1">
      <alignment horizontal="center" wrapText="1"/>
      <protection locked="0"/>
    </xf>
    <xf numFmtId="0" fontId="39" fillId="0" borderId="19" xfId="0" applyFont="1" applyBorder="1" applyAlignment="1" applyProtection="1">
      <alignment horizontal="center" wrapText="1"/>
      <protection locked="0"/>
    </xf>
    <xf numFmtId="0" fontId="35" fillId="5" borderId="72" xfId="0" applyFont="1" applyFill="1" applyBorder="1" applyAlignment="1">
      <alignment horizontal="center" vertical="center" wrapText="1"/>
    </xf>
    <xf numFmtId="0" fontId="35" fillId="5" borderId="73" xfId="0" applyFont="1" applyFill="1" applyBorder="1" applyAlignment="1">
      <alignment horizontal="center" vertical="center" wrapText="1"/>
    </xf>
    <xf numFmtId="0" fontId="35" fillId="5" borderId="76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3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3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5" fillId="5" borderId="74" xfId="0" applyFont="1" applyFill="1" applyBorder="1" applyAlignment="1">
      <alignment horizontal="center" vertical="center" wrapText="1"/>
    </xf>
    <xf numFmtId="0" fontId="36" fillId="5" borderId="71" xfId="0" applyFont="1" applyFill="1" applyBorder="1" applyAlignment="1">
      <alignment horizontal="center" vertical="center" wrapText="1"/>
    </xf>
    <xf numFmtId="0" fontId="38" fillId="5" borderId="75" xfId="0" applyFont="1" applyFill="1" applyBorder="1" applyAlignment="1">
      <alignment vertical="center" wrapText="1"/>
    </xf>
    <xf numFmtId="0" fontId="15" fillId="0" borderId="23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0"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675409</xdr:colOff>
      <xdr:row>7</xdr:row>
      <xdr:rowOff>27709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FC8C3A-75EB-4636-A43D-6605959A8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47159" cy="2095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A7351F-D7A1-442F-8714-357210E8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guanajuatogobmx1-my.sharepoint.com/personal/secturnet_guanajuato_mx/Documents/TURISMO/DIRECCION%20ADMINISTRATIVA/COORDINACI&#211;N%20DE%20RECURSOS%20FINANCIEROS%20Y%20APLICACI&#211;N%20PRESUPUESTAL/2023/INTRANET/F-RF-06-2022_Gasto_a_Reserva_de_Comprobar-ad02.xlsm" TargetMode="External"/><Relationship Id="rId2" Type="http://schemas.microsoft.com/office/2019/04/relationships/externalLinkLongPath" Target="https://guanajuatogobmx1-my.sharepoint.com/personal/secturnet_guanajuato_mx/Documents/TURISMO/DIRECCION%20ADMINISTRATIVA/COORDINACI&#211;N%20DE%20RECURSOS%20FINANCIEROS%20Y%20APLICACI&#211;N%20PRESUPUESTAL/2023/INTRANET/F-RF-06-2022_Gasto_a_Reserva_de_Comprobar-ad02.xlsm?AA9F7303" TargetMode="External"/><Relationship Id="rId1" Type="http://schemas.openxmlformats.org/officeDocument/2006/relationships/externalLinkPath" Target="file:///\\AA9F7303\F-RF-06-2022_Gasto_a_Reserva_de_Comprobar-ad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GRC"/>
      <sheetName val="ANEXO GRC"/>
      <sheetName val="ENCABEZADO"/>
      <sheetName val="DESGLOSE 3750 3760"/>
      <sheetName val="Hoja1"/>
      <sheetName val="PARTIDA"/>
      <sheetName val="PROYECTO"/>
      <sheetName val="Hoja3"/>
    </sheetNames>
    <sheetDataSet>
      <sheetData sheetId="0"/>
      <sheetData sheetId="1"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9"/>
  <sheetViews>
    <sheetView topLeftCell="A27" zoomScale="70" zoomScaleNormal="70" workbookViewId="0">
      <selection activeCell="D28" sqref="D28:E28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286" t="s">
        <v>1051</v>
      </c>
      <c r="I1" s="287"/>
    </row>
    <row r="2" spans="1:9" ht="26.25" customHeight="1" x14ac:dyDescent="0.35">
      <c r="A2" s="44"/>
      <c r="B2" s="45"/>
      <c r="C2" s="288" t="s">
        <v>0</v>
      </c>
      <c r="D2" s="288"/>
      <c r="E2" s="288"/>
      <c r="F2" s="288"/>
      <c r="G2" s="288"/>
      <c r="H2" s="288"/>
      <c r="I2" s="289"/>
    </row>
    <row r="3" spans="1:9" ht="26.25" customHeight="1" x14ac:dyDescent="0.35">
      <c r="A3" s="44"/>
      <c r="B3" s="45"/>
      <c r="C3" s="288" t="s">
        <v>1038</v>
      </c>
      <c r="D3" s="288"/>
      <c r="E3" s="288"/>
      <c r="F3" s="288"/>
      <c r="G3" s="288"/>
      <c r="H3" s="288"/>
      <c r="I3" s="289"/>
    </row>
    <row r="4" spans="1:9" ht="15.75" customHeight="1" x14ac:dyDescent="0.35">
      <c r="A4" s="290"/>
      <c r="B4" s="291"/>
      <c r="C4" s="291"/>
      <c r="D4" s="291"/>
      <c r="E4" s="291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292"/>
      <c r="B6" s="293"/>
      <c r="C6" s="293"/>
      <c r="D6" s="293"/>
      <c r="E6" s="293"/>
      <c r="F6" s="293"/>
      <c r="G6" s="293"/>
      <c r="H6" s="293"/>
      <c r="I6" s="294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1039</v>
      </c>
      <c r="D9" s="54">
        <f>COUNTA('[1]ANEXO GRC'!A9:A193)</f>
        <v>0</v>
      </c>
      <c r="E9" s="273" t="s">
        <v>1040</v>
      </c>
      <c r="F9" s="273"/>
      <c r="G9" s="273"/>
      <c r="H9" s="274">
        <f>D46</f>
        <v>0</v>
      </c>
      <c r="I9" s="275"/>
    </row>
    <row r="10" spans="1:9" ht="24" customHeight="1" x14ac:dyDescent="0.4">
      <c r="A10" s="49"/>
      <c r="B10" s="50"/>
      <c r="C10" s="276" t="s">
        <v>1035</v>
      </c>
      <c r="D10" s="276"/>
      <c r="E10" s="276"/>
      <c r="F10" s="276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254"/>
      <c r="B12" s="255"/>
      <c r="C12" s="255"/>
      <c r="E12" s="277" t="s">
        <v>1018</v>
      </c>
      <c r="F12" s="278"/>
      <c r="G12" s="278"/>
      <c r="H12" s="278"/>
      <c r="I12" s="279"/>
    </row>
    <row r="13" spans="1:9" ht="24" customHeight="1" x14ac:dyDescent="0.3">
      <c r="A13" s="25"/>
      <c r="E13" s="280" t="s">
        <v>1019</v>
      </c>
      <c r="F13" s="281"/>
      <c r="G13" s="281"/>
      <c r="H13" s="281"/>
      <c r="I13" s="282"/>
    </row>
    <row r="14" spans="1:9" ht="19.5" thickBot="1" x14ac:dyDescent="0.35">
      <c r="A14" s="29"/>
      <c r="E14" s="283"/>
      <c r="F14" s="284"/>
      <c r="G14" s="284"/>
      <c r="H14" s="284"/>
      <c r="I14" s="285"/>
    </row>
    <row r="15" spans="1:9" ht="33" customHeight="1" thickTop="1" x14ac:dyDescent="0.3">
      <c r="A15" s="254"/>
      <c r="B15" s="255"/>
      <c r="C15" s="255"/>
      <c r="D15" s="256"/>
      <c r="E15" s="144" t="s">
        <v>1037</v>
      </c>
      <c r="F15" s="145"/>
      <c r="G15" s="257" t="s">
        <v>1020</v>
      </c>
      <c r="H15" s="257" t="s">
        <v>1021</v>
      </c>
      <c r="I15" s="259"/>
    </row>
    <row r="16" spans="1:9" ht="30" customHeight="1" x14ac:dyDescent="0.3">
      <c r="A16" s="25"/>
      <c r="E16" s="146"/>
      <c r="F16" s="147"/>
      <c r="G16" s="258"/>
      <c r="H16" s="258"/>
      <c r="I16" s="260"/>
    </row>
    <row r="17" spans="1:9" ht="16.5" customHeight="1" x14ac:dyDescent="0.3">
      <c r="A17" s="25"/>
      <c r="E17" s="148" t="s">
        <v>1022</v>
      </c>
      <c r="F17" s="149"/>
      <c r="G17" s="261" t="s">
        <v>1023</v>
      </c>
      <c r="H17" s="264" t="s">
        <v>1041</v>
      </c>
      <c r="I17" s="265"/>
    </row>
    <row r="18" spans="1:9" ht="22.15" customHeight="1" x14ac:dyDescent="0.3">
      <c r="A18" s="25"/>
      <c r="E18" s="150"/>
      <c r="F18" s="151"/>
      <c r="G18" s="262"/>
      <c r="H18" s="266"/>
      <c r="I18" s="267"/>
    </row>
    <row r="19" spans="1:9" s="28" customFormat="1" ht="12.75" customHeight="1" x14ac:dyDescent="0.25">
      <c r="A19" s="55"/>
      <c r="B19" s="43"/>
      <c r="C19" s="36"/>
      <c r="D19" s="56"/>
      <c r="E19" s="150"/>
      <c r="F19" s="151"/>
      <c r="G19" s="262"/>
      <c r="H19" s="266"/>
      <c r="I19" s="267"/>
    </row>
    <row r="20" spans="1:9" s="28" customFormat="1" ht="23.45" customHeight="1" thickBot="1" x14ac:dyDescent="0.3">
      <c r="A20" s="55"/>
      <c r="B20" s="57"/>
      <c r="C20" s="57"/>
      <c r="D20" s="58"/>
      <c r="E20" s="150"/>
      <c r="F20" s="151"/>
      <c r="G20" s="263"/>
      <c r="H20" s="268"/>
      <c r="I20" s="269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270" t="s">
        <v>1024</v>
      </c>
      <c r="B22" s="271"/>
      <c r="C22" s="271"/>
      <c r="D22" s="271"/>
      <c r="E22" s="271"/>
      <c r="F22" s="271"/>
      <c r="G22" s="271"/>
      <c r="H22" s="271"/>
      <c r="I22" s="272"/>
    </row>
    <row r="23" spans="1:9" s="28" customFormat="1" ht="37.5" customHeight="1" x14ac:dyDescent="0.25">
      <c r="A23" s="270" t="s">
        <v>1025</v>
      </c>
      <c r="B23" s="271"/>
      <c r="C23" s="271"/>
      <c r="D23" s="271"/>
      <c r="E23" s="271"/>
      <c r="F23" s="271"/>
      <c r="G23" s="271"/>
      <c r="H23" s="271"/>
      <c r="I23" s="272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295" t="s">
        <v>1036</v>
      </c>
      <c r="B25" s="296"/>
      <c r="C25" s="38" t="s">
        <v>1027</v>
      </c>
      <c r="D25" s="296" t="s">
        <v>1028</v>
      </c>
      <c r="E25" s="296"/>
      <c r="F25" s="296" t="s">
        <v>1029</v>
      </c>
      <c r="G25" s="296"/>
      <c r="H25" s="296"/>
      <c r="I25" s="297"/>
    </row>
    <row r="26" spans="1:9" s="28" customFormat="1" ht="7.5" customHeight="1" x14ac:dyDescent="0.25">
      <c r="A26" s="196"/>
      <c r="B26" s="197"/>
      <c r="C26" s="39"/>
      <c r="D26" s="40"/>
      <c r="E26" s="41"/>
      <c r="F26" s="26"/>
      <c r="I26" s="42"/>
    </row>
    <row r="27" spans="1:9" s="61" customFormat="1" ht="36.75" customHeight="1" x14ac:dyDescent="0.25">
      <c r="A27" s="350" t="s">
        <v>1064</v>
      </c>
      <c r="B27" s="351"/>
      <c r="C27" s="60" t="s">
        <v>1042</v>
      </c>
      <c r="D27" s="187">
        <f>'RELACION DE COMPROBANTES'!H30</f>
        <v>0</v>
      </c>
      <c r="E27" s="188"/>
      <c r="F27" s="298" t="s">
        <v>1043</v>
      </c>
      <c r="G27" s="299"/>
      <c r="H27" s="299"/>
      <c r="I27" s="300"/>
    </row>
    <row r="28" spans="1:9" s="61" customFormat="1" ht="36.75" customHeight="1" x14ac:dyDescent="0.25">
      <c r="A28" s="350"/>
      <c r="B28" s="351"/>
      <c r="C28" s="60"/>
      <c r="D28" s="187"/>
      <c r="E28" s="188"/>
      <c r="F28" s="206"/>
      <c r="G28" s="207"/>
      <c r="H28" s="207"/>
      <c r="I28" s="208"/>
    </row>
    <row r="29" spans="1:9" s="61" customFormat="1" ht="36.75" customHeight="1" x14ac:dyDescent="0.25">
      <c r="A29" s="185"/>
      <c r="B29" s="186"/>
      <c r="C29" s="62"/>
      <c r="D29" s="187"/>
      <c r="E29" s="188"/>
      <c r="F29" s="189" t="s">
        <v>1044</v>
      </c>
      <c r="G29" s="190"/>
      <c r="H29" s="190"/>
      <c r="I29" s="191"/>
    </row>
    <row r="30" spans="1:9" s="61" customFormat="1" ht="36.75" customHeight="1" x14ac:dyDescent="0.25">
      <c r="A30" s="185"/>
      <c r="B30" s="186"/>
      <c r="C30" s="60"/>
      <c r="D30" s="187"/>
      <c r="E30" s="188"/>
      <c r="F30" s="206"/>
      <c r="G30" s="207"/>
      <c r="H30" s="207"/>
      <c r="I30" s="208"/>
    </row>
    <row r="31" spans="1:9" s="61" customFormat="1" ht="36.75" customHeight="1" x14ac:dyDescent="0.25">
      <c r="A31" s="185"/>
      <c r="B31" s="186"/>
      <c r="C31" s="62"/>
      <c r="D31" s="187"/>
      <c r="E31" s="188"/>
      <c r="F31" s="189" t="s">
        <v>1045</v>
      </c>
      <c r="G31" s="190"/>
      <c r="H31" s="190"/>
      <c r="I31" s="191"/>
    </row>
    <row r="32" spans="1:9" s="61" customFormat="1" ht="36.75" customHeight="1" x14ac:dyDescent="0.25">
      <c r="A32" s="185"/>
      <c r="B32" s="186"/>
      <c r="C32" s="60"/>
      <c r="D32" s="187"/>
      <c r="E32" s="188"/>
      <c r="F32" s="203"/>
      <c r="G32" s="204"/>
      <c r="H32" s="204"/>
      <c r="I32" s="205"/>
    </row>
    <row r="33" spans="1:10" s="61" customFormat="1" ht="36.75" customHeight="1" x14ac:dyDescent="0.25">
      <c r="A33" s="185"/>
      <c r="B33" s="186"/>
      <c r="C33" s="60"/>
      <c r="D33" s="187"/>
      <c r="E33" s="188"/>
      <c r="F33" s="203"/>
      <c r="G33" s="204"/>
      <c r="H33" s="204"/>
      <c r="I33" s="205"/>
    </row>
    <row r="34" spans="1:10" s="61" customFormat="1" ht="36.75" customHeight="1" x14ac:dyDescent="0.25">
      <c r="A34" s="185"/>
      <c r="B34" s="186"/>
      <c r="C34" s="62"/>
      <c r="D34" s="187"/>
      <c r="E34" s="188"/>
      <c r="F34" s="189" t="s">
        <v>1046</v>
      </c>
      <c r="G34" s="190"/>
      <c r="H34" s="190"/>
      <c r="I34" s="191"/>
    </row>
    <row r="35" spans="1:10" s="61" customFormat="1" ht="36.75" customHeight="1" x14ac:dyDescent="0.25">
      <c r="A35" s="185"/>
      <c r="B35" s="186"/>
      <c r="C35" s="62"/>
      <c r="D35" s="187"/>
      <c r="E35" s="188"/>
      <c r="F35" s="203"/>
      <c r="G35" s="204"/>
      <c r="H35" s="204"/>
      <c r="I35" s="205"/>
    </row>
    <row r="36" spans="1:10" s="61" customFormat="1" ht="36.75" customHeight="1" x14ac:dyDescent="0.25">
      <c r="A36" s="185"/>
      <c r="B36" s="186"/>
      <c r="C36" s="62"/>
      <c r="D36" s="187"/>
      <c r="E36" s="188"/>
      <c r="F36" s="203"/>
      <c r="G36" s="204"/>
      <c r="H36" s="204"/>
      <c r="I36" s="205"/>
    </row>
    <row r="37" spans="1:10" s="61" customFormat="1" ht="36.75" customHeight="1" x14ac:dyDescent="0.25">
      <c r="A37" s="185"/>
      <c r="B37" s="186"/>
      <c r="C37" s="62"/>
      <c r="D37" s="187"/>
      <c r="E37" s="188"/>
      <c r="F37" s="203"/>
      <c r="G37" s="204"/>
      <c r="H37" s="204"/>
      <c r="I37" s="205"/>
    </row>
    <row r="38" spans="1:10" s="61" customFormat="1" ht="36.75" customHeight="1" x14ac:dyDescent="0.25">
      <c r="A38" s="185"/>
      <c r="B38" s="186"/>
      <c r="C38" s="62"/>
      <c r="D38" s="187"/>
      <c r="E38" s="188"/>
      <c r="F38" s="189" t="s">
        <v>1047</v>
      </c>
      <c r="G38" s="190"/>
      <c r="H38" s="190"/>
      <c r="I38" s="191"/>
    </row>
    <row r="39" spans="1:10" s="61" customFormat="1" ht="36.75" customHeight="1" x14ac:dyDescent="0.25">
      <c r="A39" s="185"/>
      <c r="B39" s="186"/>
      <c r="C39" s="60"/>
      <c r="D39" s="187"/>
      <c r="E39" s="188"/>
      <c r="F39" s="200"/>
      <c r="G39" s="201"/>
      <c r="H39" s="201"/>
      <c r="I39" s="202"/>
    </row>
    <row r="40" spans="1:10" s="61" customFormat="1" ht="36.75" customHeight="1" x14ac:dyDescent="0.25">
      <c r="A40" s="185"/>
      <c r="B40" s="186"/>
      <c r="C40" s="60"/>
      <c r="D40" s="187"/>
      <c r="E40" s="188"/>
      <c r="F40" s="200"/>
      <c r="G40" s="201"/>
      <c r="H40" s="201"/>
      <c r="I40" s="202"/>
    </row>
    <row r="41" spans="1:10" s="61" customFormat="1" ht="36.75" customHeight="1" x14ac:dyDescent="0.25">
      <c r="A41" s="185"/>
      <c r="B41" s="186"/>
      <c r="C41" s="60"/>
      <c r="D41" s="187"/>
      <c r="E41" s="188"/>
      <c r="F41" s="200"/>
      <c r="G41" s="201"/>
      <c r="H41" s="201"/>
      <c r="I41" s="202"/>
      <c r="J41" s="63"/>
    </row>
    <row r="42" spans="1:10" s="61" customFormat="1" ht="36.75" customHeight="1" x14ac:dyDescent="0.25">
      <c r="A42" s="185"/>
      <c r="B42" s="186"/>
      <c r="C42" s="60"/>
      <c r="D42" s="187"/>
      <c r="E42" s="188"/>
      <c r="F42" s="189" t="s">
        <v>1048</v>
      </c>
      <c r="G42" s="190"/>
      <c r="H42" s="190"/>
      <c r="I42" s="191"/>
    </row>
    <row r="43" spans="1:10" s="61" customFormat="1" ht="36.75" customHeight="1" x14ac:dyDescent="0.25">
      <c r="A43" s="185"/>
      <c r="B43" s="186"/>
      <c r="C43" s="60"/>
      <c r="D43" s="187"/>
      <c r="E43" s="188"/>
      <c r="F43" s="192">
        <f>'RELACION DE COMPROBANTES'!H31</f>
        <v>0</v>
      </c>
      <c r="G43" s="194" t="str">
        <f>Apalabra(F43)</f>
        <v/>
      </c>
      <c r="H43" s="194"/>
      <c r="I43" s="195"/>
    </row>
    <row r="44" spans="1:10" s="61" customFormat="1" ht="36.75" customHeight="1" x14ac:dyDescent="0.25">
      <c r="A44" s="185"/>
      <c r="B44" s="186"/>
      <c r="C44" s="60"/>
      <c r="D44" s="187"/>
      <c r="E44" s="188"/>
      <c r="F44" s="192"/>
      <c r="G44" s="194"/>
      <c r="H44" s="194"/>
      <c r="I44" s="195"/>
    </row>
    <row r="45" spans="1:10" s="28" customFormat="1" ht="10.5" customHeight="1" thickBot="1" x14ac:dyDescent="0.3">
      <c r="A45" s="196"/>
      <c r="B45" s="197"/>
      <c r="C45" s="39"/>
      <c r="D45" s="198"/>
      <c r="E45" s="199"/>
      <c r="F45" s="193"/>
      <c r="G45" s="161"/>
      <c r="H45" s="161"/>
      <c r="I45" s="166"/>
    </row>
    <row r="46" spans="1:10" s="61" customFormat="1" ht="57" customHeight="1" thickTop="1" x14ac:dyDescent="0.25">
      <c r="A46" s="154" t="s">
        <v>1049</v>
      </c>
      <c r="B46" s="155"/>
      <c r="C46" s="240"/>
      <c r="D46" s="241">
        <f>D27</f>
        <v>0</v>
      </c>
      <c r="E46" s="242"/>
      <c r="F46" s="243" t="str">
        <f>Apalabra(D46)</f>
        <v/>
      </c>
      <c r="G46" s="244"/>
      <c r="H46" s="244"/>
      <c r="I46" s="245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46" t="s">
        <v>1050</v>
      </c>
      <c r="B48" s="247"/>
      <c r="C48" s="247"/>
      <c r="D48" s="247"/>
      <c r="E48" s="248" t="s">
        <v>1030</v>
      </c>
      <c r="F48" s="249"/>
      <c r="G48" s="250"/>
      <c r="H48" s="251" t="s">
        <v>1031</v>
      </c>
      <c r="I48" s="252"/>
    </row>
    <row r="49" spans="1:9" s="28" customFormat="1" ht="24.75" customHeight="1" x14ac:dyDescent="0.25">
      <c r="A49" s="253" t="s">
        <v>888</v>
      </c>
      <c r="B49" s="180"/>
      <c r="C49" s="180"/>
      <c r="D49" s="180"/>
      <c r="E49" s="219"/>
      <c r="F49" s="220"/>
      <c r="G49" s="221"/>
      <c r="H49" s="217"/>
      <c r="I49" s="222"/>
    </row>
    <row r="50" spans="1:9" s="28" customFormat="1" ht="15" customHeight="1" x14ac:dyDescent="0.25">
      <c r="A50" s="217"/>
      <c r="B50" s="218"/>
      <c r="C50" s="218"/>
      <c r="D50" s="218"/>
      <c r="E50" s="219"/>
      <c r="F50" s="220"/>
      <c r="G50" s="221"/>
      <c r="H50" s="217"/>
      <c r="I50" s="222"/>
    </row>
    <row r="51" spans="1:9" s="28" customFormat="1" ht="15" customHeight="1" x14ac:dyDescent="0.25">
      <c r="A51" s="217"/>
      <c r="B51" s="218"/>
      <c r="C51" s="218"/>
      <c r="D51" s="218"/>
      <c r="E51" s="219"/>
      <c r="F51" s="220"/>
      <c r="G51" s="221"/>
      <c r="H51" s="217"/>
      <c r="I51" s="222"/>
    </row>
    <row r="52" spans="1:9" s="28" customFormat="1" ht="15" customHeight="1" x14ac:dyDescent="0.25">
      <c r="A52" s="217"/>
      <c r="B52" s="218"/>
      <c r="C52" s="218"/>
      <c r="D52" s="218"/>
      <c r="E52" s="219"/>
      <c r="F52" s="220"/>
      <c r="G52" s="221"/>
      <c r="H52" s="217"/>
      <c r="I52" s="222"/>
    </row>
    <row r="53" spans="1:9" s="28" customFormat="1" ht="15" customHeight="1" x14ac:dyDescent="0.25">
      <c r="A53" s="217"/>
      <c r="B53" s="218"/>
      <c r="C53" s="218"/>
      <c r="D53" s="218"/>
      <c r="E53" s="219"/>
      <c r="F53" s="220"/>
      <c r="G53" s="221"/>
      <c r="H53" s="217"/>
      <c r="I53" s="222"/>
    </row>
    <row r="54" spans="1:9" s="28" customFormat="1" ht="24" customHeight="1" x14ac:dyDescent="0.25">
      <c r="A54" s="217"/>
      <c r="B54" s="218"/>
      <c r="C54" s="218"/>
      <c r="D54" s="218"/>
      <c r="E54" s="219"/>
      <c r="F54" s="220"/>
      <c r="G54" s="221"/>
      <c r="H54" s="217"/>
      <c r="I54" s="222"/>
    </row>
    <row r="55" spans="1:9" s="28" customFormat="1" ht="53.25" customHeight="1" x14ac:dyDescent="0.25">
      <c r="A55" s="223" t="s">
        <v>887</v>
      </c>
      <c r="B55" s="224"/>
      <c r="C55" s="224"/>
      <c r="D55" s="225"/>
      <c r="E55" s="229"/>
      <c r="F55" s="230"/>
      <c r="G55" s="231"/>
      <c r="H55" s="235"/>
      <c r="I55" s="236"/>
    </row>
    <row r="56" spans="1:9" s="28" customFormat="1" ht="41.25" customHeight="1" x14ac:dyDescent="0.25">
      <c r="A56" s="226"/>
      <c r="B56" s="227"/>
      <c r="C56" s="227"/>
      <c r="D56" s="228"/>
      <c r="E56" s="232"/>
      <c r="F56" s="233"/>
      <c r="G56" s="234"/>
      <c r="H56" s="237"/>
      <c r="I56" s="238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176"/>
      <c r="B58" s="177"/>
      <c r="C58" s="177"/>
      <c r="D58" s="239"/>
      <c r="E58" s="177"/>
      <c r="F58" s="177"/>
      <c r="G58" s="177"/>
      <c r="H58" s="210" t="s">
        <v>1031</v>
      </c>
      <c r="I58" s="211"/>
    </row>
    <row r="59" spans="1:9" s="28" customFormat="1" ht="78" customHeight="1" x14ac:dyDescent="0.25">
      <c r="A59" s="212"/>
      <c r="B59" s="213"/>
      <c r="C59" s="213"/>
      <c r="D59" s="214"/>
      <c r="E59" s="180"/>
      <c r="F59" s="180"/>
      <c r="G59" s="180"/>
      <c r="H59" s="215"/>
      <c r="I59" s="216"/>
    </row>
    <row r="60" spans="1:9" s="28" customFormat="1" ht="67.5" customHeight="1" x14ac:dyDescent="0.25">
      <c r="A60" s="212"/>
      <c r="B60" s="213"/>
      <c r="C60" s="213"/>
      <c r="D60" s="214"/>
      <c r="E60" s="209"/>
      <c r="F60" s="209"/>
      <c r="G60" s="209"/>
      <c r="H60" s="152"/>
      <c r="I60" s="153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154" t="s">
        <v>1032</v>
      </c>
      <c r="B62" s="155"/>
      <c r="C62" s="155"/>
      <c r="D62" s="155"/>
      <c r="E62" s="155"/>
      <c r="F62" s="155"/>
      <c r="G62" s="155"/>
      <c r="H62" s="155"/>
      <c r="I62" s="156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  <row r="64" spans="1:9" s="28" customFormat="1" ht="15" customHeight="1" x14ac:dyDescent="0.25">
      <c r="A64" s="157" t="s">
        <v>1033</v>
      </c>
      <c r="B64" s="158"/>
      <c r="C64" s="158"/>
      <c r="D64" s="159"/>
      <c r="E64" s="163" t="s">
        <v>1034</v>
      </c>
      <c r="F64" s="158"/>
      <c r="G64" s="158"/>
      <c r="H64" s="158"/>
      <c r="I64" s="164"/>
    </row>
    <row r="65" spans="1:9" s="28" customFormat="1" ht="54" customHeight="1" x14ac:dyDescent="0.25">
      <c r="A65" s="160"/>
      <c r="B65" s="161"/>
      <c r="C65" s="161"/>
      <c r="D65" s="162"/>
      <c r="E65" s="165"/>
      <c r="F65" s="161"/>
      <c r="G65" s="161"/>
      <c r="H65" s="161"/>
      <c r="I65" s="166"/>
    </row>
    <row r="66" spans="1:9" s="28" customFormat="1" ht="45" customHeight="1" x14ac:dyDescent="0.25">
      <c r="A66" s="167"/>
      <c r="B66" s="168"/>
      <c r="C66" s="168"/>
      <c r="D66" s="169"/>
      <c r="E66" s="176"/>
      <c r="F66" s="177"/>
      <c r="G66" s="177"/>
      <c r="H66" s="177"/>
      <c r="I66" s="178"/>
    </row>
    <row r="67" spans="1:9" ht="87.75" customHeight="1" x14ac:dyDescent="0.3">
      <c r="A67" s="170"/>
      <c r="B67" s="171"/>
      <c r="C67" s="171"/>
      <c r="D67" s="172"/>
      <c r="E67" s="179"/>
      <c r="F67" s="180"/>
      <c r="G67" s="180"/>
      <c r="H67" s="180"/>
      <c r="I67" s="181"/>
    </row>
    <row r="68" spans="1:9" x14ac:dyDescent="0.3">
      <c r="A68" s="170"/>
      <c r="B68" s="171"/>
      <c r="C68" s="171"/>
      <c r="D68" s="172"/>
      <c r="E68" s="179"/>
      <c r="F68" s="180"/>
      <c r="G68" s="180"/>
      <c r="H68" s="180"/>
      <c r="I68" s="181"/>
    </row>
    <row r="69" spans="1:9" ht="19.5" thickBot="1" x14ac:dyDescent="0.35">
      <c r="A69" s="173"/>
      <c r="B69" s="174"/>
      <c r="C69" s="174"/>
      <c r="D69" s="175"/>
      <c r="E69" s="182"/>
      <c r="F69" s="183"/>
      <c r="G69" s="183"/>
      <c r="H69" s="183"/>
      <c r="I69" s="184"/>
    </row>
  </sheetData>
  <sheetProtection formatCells="0" formatColumns="0" formatRows="0" insertColumns="0" insertRows="0" deleteColumns="0" deleteRows="0" sort="0" autoFilter="0" pivotTables="0"/>
  <dataConsolidate/>
  <mergeCells count="99">
    <mergeCell ref="A41:B41"/>
    <mergeCell ref="D28:E28"/>
    <mergeCell ref="A27:B28"/>
    <mergeCell ref="D27:E27"/>
    <mergeCell ref="F27:I27"/>
    <mergeCell ref="A40:B40"/>
    <mergeCell ref="A26:B26"/>
    <mergeCell ref="A25:B25"/>
    <mergeCell ref="A23:I23"/>
    <mergeCell ref="D25:E25"/>
    <mergeCell ref="F25:I25"/>
    <mergeCell ref="H1:I1"/>
    <mergeCell ref="C2:I2"/>
    <mergeCell ref="C3:I3"/>
    <mergeCell ref="A4:E4"/>
    <mergeCell ref="A6:I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A46:C46"/>
    <mergeCell ref="D46:E46"/>
    <mergeCell ref="F46:I46"/>
    <mergeCell ref="A48:D48"/>
    <mergeCell ref="E48:G49"/>
    <mergeCell ref="H48:I49"/>
    <mergeCell ref="A49:D49"/>
    <mergeCell ref="H59:I59"/>
    <mergeCell ref="A60:D60"/>
    <mergeCell ref="A50:D54"/>
    <mergeCell ref="E50:G54"/>
    <mergeCell ref="H50:I54"/>
    <mergeCell ref="A55:D56"/>
    <mergeCell ref="E55:G56"/>
    <mergeCell ref="H55:I56"/>
    <mergeCell ref="A58:D58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  <mergeCell ref="A32:B32"/>
    <mergeCell ref="D32:E32"/>
    <mergeCell ref="F32:I33"/>
    <mergeCell ref="A33:B33"/>
    <mergeCell ref="D33:E33"/>
    <mergeCell ref="F34:I34"/>
    <mergeCell ref="A35:B35"/>
    <mergeCell ref="D35:E35"/>
    <mergeCell ref="F35:I37"/>
    <mergeCell ref="A36:B36"/>
    <mergeCell ref="D36:E36"/>
    <mergeCell ref="A37:B37"/>
    <mergeCell ref="D37:E37"/>
    <mergeCell ref="A66:D69"/>
    <mergeCell ref="E66:I69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E58:G60"/>
    <mergeCell ref="H58:I58"/>
    <mergeCell ref="A59:D59"/>
    <mergeCell ref="E15:F16"/>
    <mergeCell ref="E17:F20"/>
    <mergeCell ref="H60:I60"/>
    <mergeCell ref="A62:I62"/>
    <mergeCell ref="A64:D65"/>
    <mergeCell ref="E64:I65"/>
    <mergeCell ref="A38:B38"/>
    <mergeCell ref="D38:E38"/>
    <mergeCell ref="F38:I38"/>
    <mergeCell ref="A39:B39"/>
    <mergeCell ref="D39:E39"/>
    <mergeCell ref="F39:I41"/>
    <mergeCell ref="D40:E40"/>
    <mergeCell ref="D41:E41"/>
    <mergeCell ref="A34:B34"/>
    <mergeCell ref="D34:E34"/>
  </mergeCells>
  <phoneticPr fontId="8" type="noConversion"/>
  <conditionalFormatting sqref="F30:I30">
    <cfRule type="containsErrors" dxfId="9" priority="4">
      <formula>ISERROR(F30)</formula>
    </cfRule>
  </conditionalFormatting>
  <conditionalFormatting sqref="H60:I60">
    <cfRule type="containsErrors" dxfId="8" priority="3">
      <formula>ISERROR(H60)</formula>
    </cfRule>
  </conditionalFormatting>
  <conditionalFormatting sqref="H58:I58">
    <cfRule type="containsErrors" dxfId="7" priority="2">
      <formula>ISERROR(H58)</formula>
    </cfRule>
  </conditionalFormatting>
  <conditionalFormatting sqref="H55:I56">
    <cfRule type="containsErrors" dxfId="6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3"/>
  <sheetViews>
    <sheetView tabSelected="1" topLeftCell="B17" workbookViewId="0">
      <selection activeCell="H33" sqref="H33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2" customWidth="1"/>
    <col min="5" max="5" width="54.7109375" style="136" customWidth="1"/>
    <col min="6" max="6" width="28.28515625" style="72" customWidth="1"/>
    <col min="7" max="7" width="31.28515625" style="72" customWidth="1"/>
    <col min="8" max="8" width="25.7109375" style="97" customWidth="1"/>
    <col min="9" max="16384" width="11.5703125" style="72"/>
  </cols>
  <sheetData>
    <row r="1" spans="1:8" ht="16.5" thickBot="1" x14ac:dyDescent="0.3">
      <c r="A1" s="301" t="s">
        <v>1064</v>
      </c>
      <c r="B1" s="302"/>
      <c r="C1" s="302"/>
      <c r="D1" s="302"/>
      <c r="E1" s="302"/>
      <c r="F1" s="302"/>
      <c r="G1" s="302"/>
      <c r="H1" s="303"/>
    </row>
    <row r="2" spans="1:8" ht="16.5" thickBot="1" x14ac:dyDescent="0.3">
      <c r="A2" s="73" t="s">
        <v>1052</v>
      </c>
      <c r="B2" s="304"/>
      <c r="C2" s="305"/>
      <c r="D2" s="305"/>
      <c r="E2" s="305"/>
      <c r="F2" s="306"/>
      <c r="G2" s="307" t="s">
        <v>1053</v>
      </c>
      <c r="H2" s="308"/>
    </row>
    <row r="3" spans="1:8" ht="16.5" thickBot="1" x14ac:dyDescent="0.3">
      <c r="A3" s="74" t="s">
        <v>1054</v>
      </c>
      <c r="B3" s="304"/>
      <c r="C3" s="305"/>
      <c r="D3" s="305"/>
      <c r="E3" s="305"/>
      <c r="F3" s="306"/>
      <c r="G3" s="309"/>
      <c r="H3" s="310"/>
    </row>
    <row r="4" spans="1:8" ht="24" thickBot="1" x14ac:dyDescent="0.3">
      <c r="A4" s="77"/>
      <c r="B4" s="78"/>
      <c r="C4" s="78"/>
      <c r="D4" s="139"/>
      <c r="E4" s="133"/>
      <c r="F4" s="78"/>
      <c r="G4" s="78"/>
      <c r="H4" s="75"/>
    </row>
    <row r="5" spans="1:8" ht="18" x14ac:dyDescent="0.25">
      <c r="A5" s="76" t="s">
        <v>1055</v>
      </c>
      <c r="B5" s="76" t="s">
        <v>1056</v>
      </c>
      <c r="C5" s="76" t="s">
        <v>1057</v>
      </c>
      <c r="D5" s="140" t="s">
        <v>1026</v>
      </c>
      <c r="E5" s="134" t="s">
        <v>38</v>
      </c>
      <c r="F5" s="76" t="s">
        <v>1058</v>
      </c>
      <c r="G5" s="76" t="s">
        <v>1059</v>
      </c>
      <c r="H5" s="79" t="s">
        <v>1060</v>
      </c>
    </row>
    <row r="6" spans="1:8" x14ac:dyDescent="0.25">
      <c r="A6" s="80"/>
      <c r="B6" s="80"/>
      <c r="C6" s="80"/>
      <c r="D6" s="138"/>
      <c r="E6" s="132"/>
      <c r="F6" s="81"/>
      <c r="G6" s="82"/>
      <c r="H6" s="81"/>
    </row>
    <row r="7" spans="1:8" x14ac:dyDescent="0.25">
      <c r="A7" s="80"/>
      <c r="B7" s="80"/>
      <c r="C7" s="80"/>
      <c r="D7" s="138"/>
      <c r="E7" s="132"/>
      <c r="F7" s="81"/>
      <c r="G7" s="82"/>
      <c r="H7" s="81"/>
    </row>
    <row r="8" spans="1:8" x14ac:dyDescent="0.25">
      <c r="A8" s="80"/>
      <c r="B8" s="80"/>
      <c r="C8" s="80"/>
      <c r="D8" s="138"/>
      <c r="E8" s="132"/>
      <c r="F8" s="81"/>
      <c r="G8" s="82"/>
      <c r="H8" s="81"/>
    </row>
    <row r="9" spans="1:8" x14ac:dyDescent="0.25">
      <c r="A9" s="80"/>
      <c r="B9" s="80"/>
      <c r="C9" s="80"/>
      <c r="D9" s="138"/>
      <c r="E9" s="132"/>
      <c r="F9" s="81"/>
      <c r="G9" s="82"/>
      <c r="H9" s="81"/>
    </row>
    <row r="10" spans="1:8" x14ac:dyDescent="0.25">
      <c r="A10" s="80"/>
      <c r="B10" s="80"/>
      <c r="C10" s="80"/>
      <c r="D10" s="138"/>
      <c r="E10" s="132"/>
      <c r="F10" s="81"/>
      <c r="G10" s="82"/>
      <c r="H10" s="81"/>
    </row>
    <row r="11" spans="1:8" x14ac:dyDescent="0.25">
      <c r="A11" s="80"/>
      <c r="B11" s="80"/>
      <c r="C11" s="80"/>
      <c r="D11" s="138"/>
      <c r="E11" s="132"/>
      <c r="F11" s="81"/>
      <c r="G11" s="82"/>
      <c r="H11" s="81"/>
    </row>
    <row r="12" spans="1:8" x14ac:dyDescent="0.25">
      <c r="A12" s="80"/>
      <c r="B12" s="80"/>
      <c r="C12" s="80"/>
      <c r="D12" s="138"/>
      <c r="E12" s="132"/>
      <c r="F12" s="81"/>
      <c r="G12" s="82"/>
      <c r="H12" s="81"/>
    </row>
    <row r="13" spans="1:8" x14ac:dyDescent="0.25">
      <c r="A13" s="80"/>
      <c r="B13" s="80"/>
      <c r="C13" s="80"/>
      <c r="D13" s="138"/>
      <c r="E13" s="132"/>
      <c r="F13" s="81"/>
      <c r="G13" s="82"/>
      <c r="H13" s="81"/>
    </row>
    <row r="14" spans="1:8" x14ac:dyDescent="0.25">
      <c r="A14" s="80"/>
      <c r="B14" s="80"/>
      <c r="C14" s="80"/>
      <c r="D14" s="138"/>
      <c r="E14" s="132"/>
      <c r="F14" s="81"/>
      <c r="G14" s="82"/>
      <c r="H14" s="81"/>
    </row>
    <row r="15" spans="1:8" x14ac:dyDescent="0.25">
      <c r="A15" s="80"/>
      <c r="B15" s="80"/>
      <c r="C15" s="80"/>
      <c r="D15" s="138"/>
      <c r="E15" s="132"/>
      <c r="F15" s="81"/>
      <c r="G15" s="82"/>
      <c r="H15" s="81"/>
    </row>
    <row r="16" spans="1:8" x14ac:dyDescent="0.25">
      <c r="A16" s="80"/>
      <c r="B16" s="80"/>
      <c r="C16" s="80"/>
      <c r="D16" s="138"/>
      <c r="E16" s="132"/>
      <c r="F16" s="81"/>
      <c r="G16" s="82"/>
      <c r="H16" s="81"/>
    </row>
    <row r="17" spans="1:8" x14ac:dyDescent="0.25">
      <c r="A17" s="80"/>
      <c r="B17" s="80"/>
      <c r="C17" s="80"/>
      <c r="D17" s="138"/>
      <c r="E17" s="132"/>
      <c r="F17" s="81"/>
      <c r="G17" s="82"/>
      <c r="H17" s="81"/>
    </row>
    <row r="18" spans="1:8" x14ac:dyDescent="0.25">
      <c r="A18" s="80"/>
      <c r="B18" s="80"/>
      <c r="C18" s="80"/>
      <c r="D18" s="138"/>
      <c r="E18" s="132"/>
      <c r="F18" s="81"/>
      <c r="G18" s="82"/>
      <c r="H18" s="81"/>
    </row>
    <row r="19" spans="1:8" x14ac:dyDescent="0.25">
      <c r="A19" s="80"/>
      <c r="B19" s="80"/>
      <c r="C19" s="80"/>
      <c r="D19" s="138"/>
      <c r="E19" s="132"/>
      <c r="F19" s="81"/>
      <c r="G19" s="82"/>
      <c r="H19" s="81"/>
    </row>
    <row r="20" spans="1:8" x14ac:dyDescent="0.25">
      <c r="A20" s="80"/>
      <c r="B20" s="80"/>
      <c r="C20" s="80"/>
      <c r="D20" s="138"/>
      <c r="E20" s="132"/>
      <c r="F20" s="81"/>
      <c r="G20" s="82"/>
      <c r="H20" s="81"/>
    </row>
    <row r="21" spans="1:8" x14ac:dyDescent="0.25">
      <c r="A21" s="80"/>
      <c r="B21" s="80"/>
      <c r="C21" s="80"/>
      <c r="D21" s="138"/>
      <c r="E21" s="132"/>
      <c r="F21" s="81"/>
      <c r="G21" s="82"/>
      <c r="H21" s="81"/>
    </row>
    <row r="22" spans="1:8" x14ac:dyDescent="0.25">
      <c r="A22" s="80"/>
      <c r="B22" s="80"/>
      <c r="C22" s="80"/>
      <c r="D22" s="138"/>
      <c r="E22" s="132"/>
      <c r="F22" s="81"/>
      <c r="G22" s="82"/>
      <c r="H22" s="81"/>
    </row>
    <row r="23" spans="1:8" x14ac:dyDescent="0.25">
      <c r="A23" s="80"/>
      <c r="B23" s="80"/>
      <c r="C23" s="80"/>
      <c r="D23" s="138"/>
      <c r="E23" s="132"/>
      <c r="F23" s="81"/>
      <c r="G23" s="82"/>
      <c r="H23" s="81"/>
    </row>
    <row r="24" spans="1:8" x14ac:dyDescent="0.25">
      <c r="A24" s="80"/>
      <c r="B24" s="80"/>
      <c r="C24" s="80"/>
      <c r="D24" s="138"/>
      <c r="E24" s="132"/>
      <c r="F24" s="81"/>
      <c r="G24" s="82"/>
      <c r="H24" s="81"/>
    </row>
    <row r="25" spans="1:8" x14ac:dyDescent="0.25">
      <c r="A25" s="80"/>
      <c r="B25" s="80"/>
      <c r="C25" s="80"/>
      <c r="D25" s="138"/>
      <c r="E25" s="132"/>
      <c r="F25" s="81"/>
      <c r="G25" s="82"/>
      <c r="H25" s="81"/>
    </row>
    <row r="26" spans="1:8" x14ac:dyDescent="0.25">
      <c r="A26" s="80"/>
      <c r="B26" s="80"/>
      <c r="C26" s="80"/>
      <c r="D26" s="138"/>
      <c r="E26" s="132"/>
      <c r="F26" s="81"/>
      <c r="G26" s="82"/>
      <c r="H26" s="81"/>
    </row>
    <row r="27" spans="1:8" x14ac:dyDescent="0.25">
      <c r="A27" s="80"/>
      <c r="B27" s="80"/>
      <c r="C27" s="80"/>
      <c r="D27" s="138"/>
      <c r="E27" s="132"/>
      <c r="F27" s="81"/>
      <c r="G27" s="82"/>
      <c r="H27" s="81"/>
    </row>
    <row r="28" spans="1:8" x14ac:dyDescent="0.25">
      <c r="A28" s="80"/>
      <c r="B28" s="80"/>
      <c r="C28" s="80"/>
      <c r="D28" s="138"/>
      <c r="E28" s="132"/>
      <c r="F28" s="81"/>
      <c r="G28" s="82"/>
      <c r="H28" s="81"/>
    </row>
    <row r="29" spans="1:8" x14ac:dyDescent="0.25">
      <c r="A29" s="80"/>
      <c r="B29" s="80"/>
      <c r="C29" s="80"/>
      <c r="D29" s="138"/>
      <c r="E29" s="132"/>
      <c r="F29" s="81"/>
      <c r="G29" s="82"/>
      <c r="H29" s="81"/>
    </row>
    <row r="30" spans="1:8" x14ac:dyDescent="0.25">
      <c r="A30" s="83"/>
      <c r="B30" s="83"/>
      <c r="C30" s="84"/>
      <c r="D30" s="141"/>
      <c r="E30" s="135"/>
      <c r="F30" s="85"/>
      <c r="G30" s="86" t="s">
        <v>1061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1062</v>
      </c>
      <c r="H31" s="92">
        <f>H33-H30</f>
        <v>0</v>
      </c>
    </row>
    <row r="32" spans="1:8" x14ac:dyDescent="0.25">
      <c r="A32" s="93"/>
      <c r="F32" s="94"/>
      <c r="G32" s="91"/>
      <c r="H32" s="92"/>
    </row>
    <row r="33" spans="1:8" x14ac:dyDescent="0.25">
      <c r="A33" s="93"/>
      <c r="B33" s="93"/>
      <c r="C33" s="93"/>
      <c r="D33" s="143"/>
      <c r="E33" s="137"/>
      <c r="F33" s="95"/>
      <c r="G33" s="86" t="s">
        <v>1063</v>
      </c>
      <c r="H33" s="96"/>
    </row>
  </sheetData>
  <mergeCells count="5">
    <mergeCell ref="A1:H1"/>
    <mergeCell ref="B2:F2"/>
    <mergeCell ref="G2:H2"/>
    <mergeCell ref="B3:F3"/>
    <mergeCell ref="G3:H3"/>
  </mergeCells>
  <dataValidations count="1">
    <dataValidation type="list" allowBlank="1" showInputMessage="1" showErrorMessage="1" sqref="E6:E29" xr:uid="{84B38D0F-0E1A-457C-BC44-6D487FD38A3B}">
      <formula1>INDIRECT(D6)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558395-229F-4AE9-A0B3-2EBAD33F488C}">
          <x14:formula1>
            <xm:f>proyecto!$I$1:$I$52</xm:f>
          </x14:formula1>
          <xm:sqref>D6:D29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sqref="A1:XFD1048576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2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8"/>
      <c r="B1" s="99"/>
      <c r="C1" s="99"/>
      <c r="D1" s="100"/>
      <c r="E1" s="99"/>
      <c r="F1" s="99"/>
      <c r="G1" s="101"/>
    </row>
    <row r="2" spans="1:7" s="108" customFormat="1" ht="7.5" customHeight="1" x14ac:dyDescent="0.25">
      <c r="A2" s="102"/>
      <c r="B2" s="103"/>
      <c r="C2" s="104"/>
      <c r="D2" s="105"/>
      <c r="E2" s="104"/>
      <c r="F2" s="106"/>
      <c r="G2" s="107"/>
    </row>
    <row r="3" spans="1:7" s="108" customFormat="1" ht="23.25" x14ac:dyDescent="0.25">
      <c r="A3" s="102"/>
      <c r="B3" s="102"/>
      <c r="C3" s="109" t="s">
        <v>1065</v>
      </c>
      <c r="D3" s="311"/>
      <c r="E3" s="312"/>
      <c r="F3" s="107"/>
      <c r="G3" s="107"/>
    </row>
    <row r="4" spans="1:7" s="108" customFormat="1" ht="23.25" x14ac:dyDescent="0.25">
      <c r="A4" s="102"/>
      <c r="B4" s="102"/>
      <c r="C4" s="110" t="s">
        <v>1066</v>
      </c>
      <c r="D4" s="311"/>
      <c r="E4" s="312"/>
      <c r="F4" s="107"/>
      <c r="G4" s="107"/>
    </row>
    <row r="5" spans="1:7" s="108" customFormat="1" ht="23.25" x14ac:dyDescent="0.25">
      <c r="A5" s="102"/>
      <c r="B5" s="102"/>
      <c r="C5" s="109" t="s">
        <v>1067</v>
      </c>
      <c r="D5" s="311"/>
      <c r="E5" s="312"/>
      <c r="F5" s="107"/>
      <c r="G5" s="107"/>
    </row>
    <row r="6" spans="1:7" s="108" customFormat="1" ht="40.5" x14ac:dyDescent="0.25">
      <c r="A6" s="102"/>
      <c r="B6" s="102"/>
      <c r="C6" s="111" t="s">
        <v>1068</v>
      </c>
      <c r="D6" s="317"/>
      <c r="E6" s="318"/>
      <c r="F6" s="107"/>
      <c r="G6" s="107"/>
    </row>
    <row r="7" spans="1:7" s="108" customFormat="1" ht="23.25" x14ac:dyDescent="0.25">
      <c r="A7" s="102"/>
      <c r="B7" s="102"/>
      <c r="C7" s="109" t="s">
        <v>1069</v>
      </c>
      <c r="D7" s="317"/>
      <c r="E7" s="318"/>
      <c r="F7" s="107"/>
      <c r="G7" s="107"/>
    </row>
    <row r="8" spans="1:7" s="108" customFormat="1" ht="28.5" x14ac:dyDescent="0.25">
      <c r="A8" s="102"/>
      <c r="B8" s="102"/>
      <c r="C8" s="112" t="s">
        <v>1070</v>
      </c>
      <c r="D8" s="319"/>
      <c r="E8" s="320"/>
      <c r="F8" s="107"/>
      <c r="G8" s="107"/>
    </row>
    <row r="9" spans="1:7" s="108" customFormat="1" ht="23.25" x14ac:dyDescent="0.25">
      <c r="A9" s="102"/>
      <c r="B9" s="102"/>
      <c r="C9" s="109" t="s">
        <v>1071</v>
      </c>
      <c r="D9" s="311"/>
      <c r="E9" s="312"/>
      <c r="F9" s="107"/>
      <c r="G9" s="107"/>
    </row>
    <row r="10" spans="1:7" s="108" customFormat="1" ht="23.25" x14ac:dyDescent="0.25">
      <c r="A10" s="102"/>
      <c r="B10" s="102"/>
      <c r="C10" s="109" t="s">
        <v>1072</v>
      </c>
      <c r="D10" s="313"/>
      <c r="E10" s="314"/>
      <c r="F10" s="107"/>
      <c r="G10" s="107"/>
    </row>
    <row r="11" spans="1:7" s="108" customFormat="1" ht="26.25" x14ac:dyDescent="0.25">
      <c r="A11" s="102"/>
      <c r="B11" s="102"/>
      <c r="C11" s="109" t="s">
        <v>1073</v>
      </c>
      <c r="D11" s="113"/>
      <c r="E11" s="114" t="str">
        <f>Apalabra(D11)</f>
        <v/>
      </c>
      <c r="F11" s="107"/>
      <c r="G11" s="107"/>
    </row>
    <row r="12" spans="1:7" s="108" customFormat="1" ht="31.5" x14ac:dyDescent="0.25">
      <c r="A12" s="102"/>
      <c r="B12" s="102"/>
      <c r="C12" s="115" t="s">
        <v>1074</v>
      </c>
      <c r="D12" s="315"/>
      <c r="E12" s="316"/>
      <c r="F12" s="107"/>
      <c r="G12" s="107"/>
    </row>
    <row r="13" spans="1:7" ht="15.75" thickBot="1" x14ac:dyDescent="0.3">
      <c r="A13" s="116"/>
      <c r="B13" s="117"/>
      <c r="C13" s="118"/>
      <c r="D13" s="119"/>
      <c r="E13" s="118"/>
      <c r="F13" s="120"/>
      <c r="G13" s="121"/>
    </row>
    <row r="14" spans="1:7" ht="15.75" thickBot="1" x14ac:dyDescent="0.3">
      <c r="A14" s="117"/>
      <c r="B14" s="118"/>
      <c r="C14" s="118"/>
      <c r="D14" s="119"/>
      <c r="E14" s="118"/>
      <c r="F14" s="118"/>
      <c r="G14" s="120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21" t="s">
        <v>5</v>
      </c>
      <c r="F1" s="322"/>
      <c r="G1" s="323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37"/>
      <c r="F2" s="337"/>
    </row>
    <row r="4" spans="1:6" ht="18.75" x14ac:dyDescent="0.3">
      <c r="C4" s="338"/>
      <c r="D4" s="338"/>
      <c r="E4" s="338"/>
    </row>
    <row r="6" spans="1:6" ht="18" x14ac:dyDescent="0.25">
      <c r="A6" s="123" t="s">
        <v>1075</v>
      </c>
    </row>
    <row r="7" spans="1:6" ht="18" x14ac:dyDescent="0.25">
      <c r="A7" s="123"/>
    </row>
    <row r="8" spans="1:6" ht="18" x14ac:dyDescent="0.25">
      <c r="A8" s="123"/>
    </row>
    <row r="9" spans="1:6" ht="18" x14ac:dyDescent="0.25">
      <c r="A9" s="124" t="s">
        <v>1076</v>
      </c>
      <c r="B9" s="339" t="s">
        <v>1077</v>
      </c>
      <c r="C9" s="339"/>
      <c r="D9" s="339"/>
      <c r="E9" s="339"/>
      <c r="F9" s="339"/>
    </row>
    <row r="10" spans="1:6" ht="18.75" x14ac:dyDescent="0.3">
      <c r="A10" s="340" t="s">
        <v>1078</v>
      </c>
      <c r="B10" s="338"/>
      <c r="C10" s="338"/>
      <c r="D10" s="338"/>
      <c r="E10" s="338"/>
      <c r="F10" s="341"/>
    </row>
    <row r="11" spans="1:6" x14ac:dyDescent="0.25">
      <c r="A11" s="342" t="s">
        <v>1079</v>
      </c>
      <c r="B11" s="343"/>
      <c r="C11" s="346" t="s">
        <v>6</v>
      </c>
      <c r="D11" s="348" t="s">
        <v>1080</v>
      </c>
      <c r="E11" s="333" t="s">
        <v>1081</v>
      </c>
      <c r="F11" s="334"/>
    </row>
    <row r="12" spans="1:6" x14ac:dyDescent="0.25">
      <c r="A12" s="344"/>
      <c r="B12" s="345"/>
      <c r="C12" s="347"/>
      <c r="D12" s="349"/>
      <c r="E12" s="335"/>
      <c r="F12" s="336"/>
    </row>
    <row r="13" spans="1:6" x14ac:dyDescent="0.25">
      <c r="A13" s="324"/>
      <c r="B13" s="324"/>
      <c r="C13" s="125"/>
      <c r="D13" s="126"/>
      <c r="E13" s="325"/>
      <c r="F13" s="326"/>
    </row>
    <row r="14" spans="1:6" x14ac:dyDescent="0.25">
      <c r="A14" s="331"/>
      <c r="B14" s="332"/>
      <c r="C14" s="125"/>
      <c r="D14" s="126"/>
      <c r="E14" s="325"/>
      <c r="F14" s="326"/>
    </row>
    <row r="15" spans="1:6" x14ac:dyDescent="0.25">
      <c r="A15" s="331"/>
      <c r="B15" s="332"/>
      <c r="C15" s="125"/>
      <c r="D15" s="126"/>
      <c r="E15" s="325"/>
      <c r="F15" s="326"/>
    </row>
    <row r="16" spans="1:6" x14ac:dyDescent="0.25">
      <c r="A16" s="331"/>
      <c r="B16" s="332"/>
      <c r="C16" s="125"/>
      <c r="D16" s="126"/>
      <c r="E16" s="325"/>
      <c r="F16" s="326"/>
    </row>
    <row r="17" spans="1:6" x14ac:dyDescent="0.25">
      <c r="A17" s="324"/>
      <c r="B17" s="324"/>
      <c r="C17" s="125"/>
      <c r="D17" s="126"/>
      <c r="E17" s="325"/>
      <c r="F17" s="326"/>
    </row>
    <row r="18" spans="1:6" x14ac:dyDescent="0.25">
      <c r="A18" s="324"/>
      <c r="B18" s="324"/>
      <c r="C18" s="125"/>
      <c r="D18" s="126"/>
      <c r="E18" s="325"/>
      <c r="F18" s="326"/>
    </row>
    <row r="19" spans="1:6" x14ac:dyDescent="0.25">
      <c r="A19" s="324"/>
      <c r="B19" s="324"/>
      <c r="C19" s="125"/>
      <c r="D19" s="126"/>
      <c r="E19" s="325"/>
      <c r="F19" s="326"/>
    </row>
    <row r="20" spans="1:6" x14ac:dyDescent="0.25">
      <c r="E20" s="127" t="s">
        <v>1082</v>
      </c>
      <c r="F20" s="128">
        <f>SUM(D13:D19)</f>
        <v>0</v>
      </c>
    </row>
    <row r="21" spans="1:6" ht="26.25" x14ac:dyDescent="0.25">
      <c r="A21" s="129" t="s">
        <v>1083</v>
      </c>
      <c r="B21" s="327" t="str">
        <f>Apalabra(F20)</f>
        <v/>
      </c>
      <c r="C21" s="327"/>
      <c r="D21" s="327"/>
      <c r="E21" s="327"/>
      <c r="F21" s="327"/>
    </row>
    <row r="22" spans="1:6" ht="16.5" x14ac:dyDescent="0.3">
      <c r="A22" s="130"/>
    </row>
    <row r="24" spans="1:6" ht="16.5" x14ac:dyDescent="0.3">
      <c r="A24" s="131"/>
      <c r="B24" s="131"/>
    </row>
    <row r="25" spans="1:6" ht="16.5" x14ac:dyDescent="0.25">
      <c r="A25" s="328"/>
      <c r="B25" s="329"/>
      <c r="C25" s="329"/>
      <c r="D25" s="329"/>
      <c r="E25" s="329"/>
      <c r="F25" s="330"/>
    </row>
  </sheetData>
  <mergeCells count="24"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38"/>
  <sheetViews>
    <sheetView topLeftCell="A18" workbookViewId="0">
      <selection activeCell="I1" sqref="I1:I5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962</v>
      </c>
    </row>
    <row r="2" spans="1:9" x14ac:dyDescent="0.25">
      <c r="A2" t="s">
        <v>913</v>
      </c>
      <c r="I2" t="s">
        <v>963</v>
      </c>
    </row>
    <row r="3" spans="1:9" x14ac:dyDescent="0.25">
      <c r="A3" t="s">
        <v>915</v>
      </c>
      <c r="I3" t="s">
        <v>889</v>
      </c>
    </row>
    <row r="4" spans="1:9" x14ac:dyDescent="0.25">
      <c r="A4" t="s">
        <v>917</v>
      </c>
      <c r="I4" t="s">
        <v>914</v>
      </c>
    </row>
    <row r="5" spans="1:9" x14ac:dyDescent="0.25">
      <c r="A5" t="s">
        <v>918</v>
      </c>
      <c r="I5" t="s">
        <v>916</v>
      </c>
    </row>
    <row r="6" spans="1:9" x14ac:dyDescent="0.25">
      <c r="A6" t="s">
        <v>920</v>
      </c>
      <c r="I6" t="s">
        <v>890</v>
      </c>
    </row>
    <row r="7" spans="1:9" x14ac:dyDescent="0.25">
      <c r="A7" t="s">
        <v>922</v>
      </c>
      <c r="I7" t="s">
        <v>919</v>
      </c>
    </row>
    <row r="8" spans="1:9" x14ac:dyDescent="0.25">
      <c r="A8" t="s">
        <v>924</v>
      </c>
      <c r="I8" t="s">
        <v>921</v>
      </c>
    </row>
    <row r="9" spans="1:9" x14ac:dyDescent="0.25">
      <c r="A9" t="s">
        <v>926</v>
      </c>
      <c r="I9" t="s">
        <v>923</v>
      </c>
    </row>
    <row r="10" spans="1:9" x14ac:dyDescent="0.25">
      <c r="A10" t="s">
        <v>928</v>
      </c>
      <c r="I10" t="s">
        <v>925</v>
      </c>
    </row>
    <row r="11" spans="1:9" x14ac:dyDescent="0.25">
      <c r="A11" t="s">
        <v>930</v>
      </c>
      <c r="I11" t="s">
        <v>927</v>
      </c>
    </row>
    <row r="12" spans="1:9" x14ac:dyDescent="0.25">
      <c r="A12" t="s">
        <v>932</v>
      </c>
      <c r="I12" t="s">
        <v>929</v>
      </c>
    </row>
    <row r="13" spans="1:9" x14ac:dyDescent="0.25">
      <c r="A13" t="s">
        <v>934</v>
      </c>
      <c r="I13" t="s">
        <v>931</v>
      </c>
    </row>
    <row r="14" spans="1:9" x14ac:dyDescent="0.25">
      <c r="A14" t="s">
        <v>935</v>
      </c>
      <c r="I14" t="s">
        <v>933</v>
      </c>
    </row>
    <row r="15" spans="1:9" x14ac:dyDescent="0.25">
      <c r="A15" t="s">
        <v>936</v>
      </c>
      <c r="I15" t="s">
        <v>891</v>
      </c>
    </row>
    <row r="16" spans="1:9" x14ac:dyDescent="0.25">
      <c r="A16" t="s">
        <v>937</v>
      </c>
      <c r="I16" t="s">
        <v>892</v>
      </c>
    </row>
    <row r="17" spans="1:9" x14ac:dyDescent="0.25">
      <c r="A17" t="s">
        <v>939</v>
      </c>
      <c r="I17" t="s">
        <v>893</v>
      </c>
    </row>
    <row r="18" spans="1:9" x14ac:dyDescent="0.25">
      <c r="A18" t="s">
        <v>940</v>
      </c>
      <c r="I18" t="s">
        <v>938</v>
      </c>
    </row>
    <row r="19" spans="1:9" x14ac:dyDescent="0.25">
      <c r="A19" t="s">
        <v>942</v>
      </c>
      <c r="I19" t="s">
        <v>894</v>
      </c>
    </row>
    <row r="20" spans="1:9" x14ac:dyDescent="0.25">
      <c r="A20" t="s">
        <v>943</v>
      </c>
      <c r="I20" t="s">
        <v>941</v>
      </c>
    </row>
    <row r="21" spans="1:9" x14ac:dyDescent="0.25">
      <c r="A21" t="s">
        <v>945</v>
      </c>
      <c r="I21" t="s">
        <v>895</v>
      </c>
    </row>
    <row r="22" spans="1:9" x14ac:dyDescent="0.25">
      <c r="A22" t="s">
        <v>947</v>
      </c>
      <c r="I22" t="s">
        <v>944</v>
      </c>
    </row>
    <row r="23" spans="1:9" x14ac:dyDescent="0.25">
      <c r="I23" t="s">
        <v>946</v>
      </c>
    </row>
    <row r="24" spans="1:9" x14ac:dyDescent="0.25">
      <c r="I24" t="s">
        <v>896</v>
      </c>
    </row>
    <row r="25" spans="1:9" x14ac:dyDescent="0.25">
      <c r="A25" t="s">
        <v>914</v>
      </c>
      <c r="I25" t="s">
        <v>948</v>
      </c>
    </row>
    <row r="26" spans="1:9" x14ac:dyDescent="0.25">
      <c r="A26" t="s">
        <v>913</v>
      </c>
      <c r="I26" t="s">
        <v>949</v>
      </c>
    </row>
    <row r="27" spans="1:9" x14ac:dyDescent="0.25">
      <c r="A27" t="s">
        <v>915</v>
      </c>
      <c r="I27" t="s">
        <v>897</v>
      </c>
    </row>
    <row r="28" spans="1:9" x14ac:dyDescent="0.25">
      <c r="A28" t="s">
        <v>917</v>
      </c>
      <c r="I28" t="s">
        <v>898</v>
      </c>
    </row>
    <row r="29" spans="1:9" x14ac:dyDescent="0.25">
      <c r="A29" t="s">
        <v>918</v>
      </c>
      <c r="I29" t="s">
        <v>899</v>
      </c>
    </row>
    <row r="30" spans="1:9" x14ac:dyDescent="0.25">
      <c r="A30" t="s">
        <v>920</v>
      </c>
      <c r="I30" t="s">
        <v>900</v>
      </c>
    </row>
    <row r="31" spans="1:9" x14ac:dyDescent="0.25">
      <c r="A31" t="s">
        <v>922</v>
      </c>
      <c r="I31" t="s">
        <v>901</v>
      </c>
    </row>
    <row r="32" spans="1:9" x14ac:dyDescent="0.25">
      <c r="A32" t="s">
        <v>924</v>
      </c>
      <c r="I32" t="s">
        <v>902</v>
      </c>
    </row>
    <row r="33" spans="1:9" x14ac:dyDescent="0.25">
      <c r="A33" t="s">
        <v>926</v>
      </c>
      <c r="I33" t="s">
        <v>903</v>
      </c>
    </row>
    <row r="34" spans="1:9" x14ac:dyDescent="0.25">
      <c r="A34" t="s">
        <v>928</v>
      </c>
      <c r="I34" t="s">
        <v>904</v>
      </c>
    </row>
    <row r="35" spans="1:9" x14ac:dyDescent="0.25">
      <c r="A35" t="s">
        <v>930</v>
      </c>
      <c r="I35" t="s">
        <v>905</v>
      </c>
    </row>
    <row r="36" spans="1:9" x14ac:dyDescent="0.25">
      <c r="A36" t="s">
        <v>932</v>
      </c>
      <c r="I36" t="s">
        <v>906</v>
      </c>
    </row>
    <row r="37" spans="1:9" x14ac:dyDescent="0.25">
      <c r="A37" t="s">
        <v>952</v>
      </c>
      <c r="I37" t="s">
        <v>950</v>
      </c>
    </row>
    <row r="38" spans="1:9" x14ac:dyDescent="0.25">
      <c r="A38" t="s">
        <v>934</v>
      </c>
      <c r="I38" t="s">
        <v>951</v>
      </c>
    </row>
    <row r="39" spans="1:9" x14ac:dyDescent="0.25">
      <c r="A39" t="s">
        <v>936</v>
      </c>
      <c r="I39" t="s">
        <v>953</v>
      </c>
    </row>
    <row r="40" spans="1:9" x14ac:dyDescent="0.25">
      <c r="A40" t="s">
        <v>937</v>
      </c>
      <c r="I40" t="s">
        <v>907</v>
      </c>
    </row>
    <row r="41" spans="1:9" x14ac:dyDescent="0.25">
      <c r="A41" t="s">
        <v>939</v>
      </c>
      <c r="I41" t="s">
        <v>954</v>
      </c>
    </row>
    <row r="42" spans="1:9" x14ac:dyDescent="0.25">
      <c r="A42" t="s">
        <v>956</v>
      </c>
      <c r="I42" t="s">
        <v>955</v>
      </c>
    </row>
    <row r="43" spans="1:9" x14ac:dyDescent="0.25">
      <c r="A43" t="s">
        <v>940</v>
      </c>
      <c r="I43" t="s">
        <v>908</v>
      </c>
    </row>
    <row r="44" spans="1:9" x14ac:dyDescent="0.25">
      <c r="A44" t="s">
        <v>942</v>
      </c>
      <c r="I44" t="s">
        <v>909</v>
      </c>
    </row>
    <row r="45" spans="1:9" x14ac:dyDescent="0.25">
      <c r="A45" t="s">
        <v>943</v>
      </c>
      <c r="I45" t="s">
        <v>910</v>
      </c>
    </row>
    <row r="46" spans="1:9" x14ac:dyDescent="0.25">
      <c r="A46" t="s">
        <v>945</v>
      </c>
      <c r="I46" t="s">
        <v>911</v>
      </c>
    </row>
    <row r="47" spans="1:9" x14ac:dyDescent="0.25">
      <c r="A47" t="s">
        <v>947</v>
      </c>
      <c r="I47" t="s">
        <v>912</v>
      </c>
    </row>
    <row r="48" spans="1:9" x14ac:dyDescent="0.25">
      <c r="I48" t="s">
        <v>957</v>
      </c>
    </row>
    <row r="49" spans="1:9" x14ac:dyDescent="0.25">
      <c r="I49" t="s">
        <v>958</v>
      </c>
    </row>
    <row r="50" spans="1:9" x14ac:dyDescent="0.25">
      <c r="A50" t="s">
        <v>916</v>
      </c>
      <c r="I50" t="s">
        <v>959</v>
      </c>
    </row>
    <row r="51" spans="1:9" x14ac:dyDescent="0.25">
      <c r="A51" t="s">
        <v>913</v>
      </c>
      <c r="I51" t="s">
        <v>960</v>
      </c>
    </row>
    <row r="52" spans="1:9" x14ac:dyDescent="0.25">
      <c r="A52" t="s">
        <v>915</v>
      </c>
      <c r="I52" t="s">
        <v>961</v>
      </c>
    </row>
    <row r="53" spans="1:9" x14ac:dyDescent="0.25">
      <c r="A53" t="s">
        <v>917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57</vt:i4>
      </vt:variant>
    </vt:vector>
  </HeadingPairs>
  <TitlesOfParts>
    <vt:vector size="64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2023-01-18T17:22:00Z</dcterms:modified>
</cp:coreProperties>
</file>