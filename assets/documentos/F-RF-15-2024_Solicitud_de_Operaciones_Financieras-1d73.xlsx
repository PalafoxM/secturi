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gonzalez\Documents\"/>
    </mc:Choice>
  </mc:AlternateContent>
  <bookViews>
    <workbookView xWindow="0" yWindow="0" windowWidth="28365" windowHeight="10800" firstSheet="1" activeTab="1"/>
  </bookViews>
  <sheets>
    <sheet name="Hoja1" sheetId="3" state="hidden" r:id="rId1"/>
    <sheet name="Format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D18" i="1"/>
  <c r="D14" i="1"/>
</calcChain>
</file>

<file path=xl/sharedStrings.xml><?xml version="1.0" encoding="utf-8"?>
<sst xmlns="http://schemas.openxmlformats.org/spreadsheetml/2006/main" count="172" uniqueCount="157">
  <si>
    <t>Fecha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</si>
  <si>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</si>
  <si>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</si>
  <si>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</si>
  <si>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</si>
  <si>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</si>
  <si>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Destino</t>
  </si>
  <si>
    <t>Monto</t>
  </si>
  <si>
    <t>Justificación de la operación solicitada</t>
  </si>
  <si>
    <t>Solicitante</t>
  </si>
  <si>
    <t>Titular de la cuenta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</si>
  <si>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</si>
  <si>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</si>
  <si>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</si>
  <si>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</si>
  <si>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</si>
  <si>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</si>
  <si>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</si>
  <si>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</si>
  <si>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</si>
  <si>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</si>
  <si>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</si>
  <si>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</si>
  <si>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TRASPASO</t>
  </si>
  <si>
    <t>Consulta corte bancario</t>
  </si>
  <si>
    <t>Periodo</t>
  </si>
  <si>
    <t>Solicitud de Operaciones Financieras</t>
  </si>
  <si>
    <t>DIRECTORIO</t>
  </si>
  <si>
    <t>EDUARDO ABURTO GARDUÑO</t>
  </si>
  <si>
    <t>RENEE ACOSTA PRIETO</t>
  </si>
  <si>
    <t>MIRIAM CECILIA ADAME ALCARAZ</t>
  </si>
  <si>
    <t>JORGE AGUILAR NAVARRETE</t>
  </si>
  <si>
    <t>IRAZEMA DEL ROCÍO ÁLVAREZ PÉREZ</t>
  </si>
  <si>
    <t>ROCÍO ANTONIO NAVA</t>
  </si>
  <si>
    <t>JUNIOR ISMAEL BALDERAS CAMARILLO</t>
  </si>
  <si>
    <t>SERGIO KARLO BELTRÁN LARA</t>
  </si>
  <si>
    <t>JORGE LUIS CABREJOS SAMAMÉ</t>
  </si>
  <si>
    <t>DULCE MARÍA TERESITA CABRERA SOLANO</t>
  </si>
  <si>
    <t>DULCE ESTELA CAMPOS ÁLVAREZ</t>
  </si>
  <si>
    <t>MARISELA CAMPOS CRUZ</t>
  </si>
  <si>
    <t>CLAUDIA LORENA CAMPOS DELGADO</t>
  </si>
  <si>
    <t>PATRICIA CORTÉS VIVANCO</t>
  </si>
  <si>
    <t>ALMA PAOLA ENRIQUEZ GONZÁLEZ</t>
  </si>
  <si>
    <t>JABHET ESCOBAR LÓPEZ</t>
  </si>
  <si>
    <t>DIANA LAURA GALLARDO MARTÍNEZ</t>
  </si>
  <si>
    <t>ARMANDO EMMANUEL GASCA GARCÍA</t>
  </si>
  <si>
    <t>JOSETTE GONZÁLEZ LEZO</t>
  </si>
  <si>
    <t>MILTON HUGO GRANADOS GALVÁN</t>
  </si>
  <si>
    <t>FRIDA XIMENA HUETT LOPEZ</t>
  </si>
  <si>
    <t>ADRIANA LORENA JASSO MEDINA</t>
  </si>
  <si>
    <t>YUNUEN STEPHANIE JIMÉNEZ MEJÍA</t>
  </si>
  <si>
    <t>ESTEFANÍA LÓPEZ ARREOLA</t>
  </si>
  <si>
    <t>ANGÉLICA LÓPEZ LÓPEZ</t>
  </si>
  <si>
    <t>DIEGO ROBERTO MAGDALENO PULIDO</t>
  </si>
  <si>
    <t>BRENDA BIBIANA MARTÍNEZ AGUADO</t>
  </si>
  <si>
    <t>ELIZABETH MARTÍNEZ ESCOBAR</t>
  </si>
  <si>
    <t>DULCE PAMELA MARTÍNEZ SILVA</t>
  </si>
  <si>
    <t>JOSÉ MARÍA MELGAR AZANZA</t>
  </si>
  <si>
    <t>ARTURO DE JESÚS MENDOZA TORRES</t>
  </si>
  <si>
    <t>RODOLFO JONATHAN MARTÍN MORENO GODÍNEZ</t>
  </si>
  <si>
    <t>ABRAHAM MOYA GONZÁLEZ</t>
  </si>
  <si>
    <t>ILAYALI PIMENTEL REDONDO</t>
  </si>
  <si>
    <t>KARLA GUADALUPE PORRAS PEREDO</t>
  </si>
  <si>
    <t>HUGO RAMÍREZ DUARTE</t>
  </si>
  <si>
    <t>LESLIE ANDREA RAMÍREZ MENDOZA</t>
  </si>
  <si>
    <t>ANA MARÍA RAMOS CHAVIRA</t>
  </si>
  <si>
    <t>MARÍA GUADALUPE ROBLES LEÓN</t>
  </si>
  <si>
    <t>GLORIA RODRÍGUEZ ZÁRATE</t>
  </si>
  <si>
    <t>JORGE ROJAS RODRÍGUEZ</t>
  </si>
  <si>
    <t>LAURA SANTIBAÑEZ RODRÍGUEZ</t>
  </si>
  <si>
    <t>TERESITA DE JESÚS TAVARES GAYTÁN</t>
  </si>
  <si>
    <t>DANIELA TOVAR SÁNCHEZ</t>
  </si>
  <si>
    <t>MARTHA PATRICIA URRUTIA CORTÉS</t>
  </si>
  <si>
    <t>MARÍA EULALIA DEL CONSUELO VALLEJO CORTÉS</t>
  </si>
  <si>
    <t>FRANCISCO JAVIER VALVERDE POLIN</t>
  </si>
  <si>
    <t>ESTRELLA ROBERTA VÁZQUEZ ROSALES</t>
  </si>
  <si>
    <t>Traspasos, consulta cortes bancarios</t>
  </si>
  <si>
    <t>AYALA SAUCEDO DAVID</t>
  </si>
  <si>
    <t>Número de Tarjeta</t>
  </si>
  <si>
    <t>Asignado a</t>
  </si>
  <si>
    <t>Alias</t>
  </si>
  <si>
    <t>5161020004158137</t>
  </si>
  <si>
    <t>DGJ</t>
  </si>
  <si>
    <t>VICTOR ZARATE FLORES</t>
  </si>
  <si>
    <t>5161020004158145</t>
  </si>
  <si>
    <t>DIR PRODUCTOS T</t>
  </si>
  <si>
    <t>5161020004158152</t>
  </si>
  <si>
    <t>DIR RELACIONES</t>
  </si>
  <si>
    <t>5161020004158160</t>
  </si>
  <si>
    <t>SUBSE PROMOCION</t>
  </si>
  <si>
    <t>5161020004158178</t>
  </si>
  <si>
    <t>5161020004158186</t>
  </si>
  <si>
    <t>DIR DESARROLLO</t>
  </si>
  <si>
    <t>5161020004158194</t>
  </si>
  <si>
    <t>BRENDA BIBIANA MARTINEZ AGUADO</t>
  </si>
  <si>
    <t>5161020004158202</t>
  </si>
  <si>
    <t>COORD IMPTO HOS</t>
  </si>
  <si>
    <t>DAVID  AYALA SAUCEDO</t>
  </si>
  <si>
    <t>5161020004158228</t>
  </si>
  <si>
    <t>DIR DE RELACION</t>
  </si>
  <si>
    <t>5161020004158236</t>
  </si>
  <si>
    <t>DIR TURISMO SOC</t>
  </si>
  <si>
    <t>5161020004158244</t>
  </si>
  <si>
    <t>DIR DE COMPETIT</t>
  </si>
  <si>
    <t>5161020004158251</t>
  </si>
  <si>
    <t>DIR SEGMENTOS T</t>
  </si>
  <si>
    <t>5161020004158269</t>
  </si>
  <si>
    <t>SECTUR MKT</t>
  </si>
  <si>
    <t>5161020004158277</t>
  </si>
  <si>
    <t>MARIA GUADALUPE ROBLES L</t>
  </si>
  <si>
    <t>MARIA GUADALUPE</t>
  </si>
  <si>
    <t>5161020004158285</t>
  </si>
  <si>
    <t>JABHET ESCOBAR LOPEZ</t>
  </si>
  <si>
    <t>JABHET</t>
  </si>
  <si>
    <t>5161020004158293</t>
  </si>
  <si>
    <t>ABRAHAM MOYA GONZALEZ</t>
  </si>
  <si>
    <t>ABRAHAM</t>
  </si>
  <si>
    <t>5161020004158301</t>
  </si>
  <si>
    <t>ANA MARIA RAMOS CHAVIRA</t>
  </si>
  <si>
    <t>ANA MARIA</t>
  </si>
  <si>
    <t>5161020004158319</t>
  </si>
  <si>
    <t>FRANCISCO JAVIER VALVERD</t>
  </si>
  <si>
    <t>FRANCISCO JAVIE</t>
  </si>
  <si>
    <t>5161020004158327</t>
  </si>
  <si>
    <t>JUAN JOSE ALVAREZ BRUNEL</t>
  </si>
  <si>
    <t>JUAN JOSE</t>
  </si>
  <si>
    <t>5161020004158335</t>
  </si>
  <si>
    <t>ILAYALI</t>
  </si>
  <si>
    <t>5161020004158343</t>
  </si>
  <si>
    <t>DANIELA TOVAR SANCHEZ</t>
  </si>
  <si>
    <t>DANIELA</t>
  </si>
  <si>
    <t>5161020004158350</t>
  </si>
  <si>
    <t>MARISELA</t>
  </si>
  <si>
    <t>5161020004158368</t>
  </si>
  <si>
    <t>MIRIAM CECILIA ADAME ALC</t>
  </si>
  <si>
    <t>MIRIAM CECILIA</t>
  </si>
  <si>
    <t>5161020004158376</t>
  </si>
  <si>
    <t>JOSE MARIA MELGAR AZANZA</t>
  </si>
  <si>
    <t>DRP CHEMA</t>
  </si>
  <si>
    <t>5161020004158384</t>
  </si>
  <si>
    <t>JUNIOR ISMAEL BALDERAS C</t>
  </si>
  <si>
    <t>MKT JUNIOR</t>
  </si>
  <si>
    <t>5161020004158392</t>
  </si>
  <si>
    <t>SP SPRIV</t>
  </si>
  <si>
    <t>5161020004158400</t>
  </si>
  <si>
    <t>EDUARDO ABURTO GARDUNO</t>
  </si>
  <si>
    <t>DRPFILM</t>
  </si>
  <si>
    <t>5161020004158111</t>
  </si>
  <si>
    <t>DGA ILAYALI</t>
  </si>
  <si>
    <t>MARIA EULALIA DEL CONSUELO VALLEJO CORTES</t>
  </si>
  <si>
    <t>DIANA LAURA GALLARDO MARTINEZ</t>
  </si>
  <si>
    <t>MILTON HUGO GRANADOS GALVAN</t>
  </si>
  <si>
    <t>YUNUEN STEPHANIE JIMENEZ MEJIA</t>
  </si>
  <si>
    <t>RODOLFO JONATHAN MARTIN MORENO GODINEZ</t>
  </si>
  <si>
    <t>HUGO  RAMIREZ DUARTE</t>
  </si>
  <si>
    <t>JORGE LUIS CABREJOS SAMAME</t>
  </si>
  <si>
    <t>Tarjeta 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</si>
</sst>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0"/>
      <color rgb="FF333333"/>
      <name val="SansSerif"/>
      <family val="2"/>
    </font>
    <font>
      <sz val="10"/>
      <color rgb="FF030303"/>
      <name val="SansSerif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49" fontId="16" fillId="5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49" fontId="15" fillId="6" borderId="0" xfId="1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49" fontId="0" fillId="0" borderId="0" xfId="0" applyNumberFormat="1"/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8" fontId="14" fillId="3" borderId="11" xfId="0" applyNumberFormat="1" applyFont="1" applyFill="1" applyBorder="1" applyAlignment="1" applyProtection="1">
      <alignment horizontal="center" vertical="center"/>
      <protection locked="0"/>
    </xf>
    <xf numFmtId="0" fontId="14" fillId="3" borderId="11" xfId="0" applyNumberFormat="1" applyFont="1" applyFill="1" applyBorder="1" applyAlignment="1" applyProtection="1">
      <alignment horizontal="center" vertical="center"/>
      <protection hidden="1"/>
    </xf>
    <xf numFmtId="0" fontId="14" fillId="3" borderId="12" xfId="0" applyNumberFormat="1" applyFont="1" applyFill="1" applyBorder="1" applyAlignment="1" applyProtection="1">
      <alignment horizontal="center" vertical="center"/>
      <protection hidden="1"/>
    </xf>
    <xf numFmtId="8" fontId="14" fillId="3" borderId="1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7" fillId="7" borderId="20" xfId="0" applyNumberFormat="1" applyFont="1" applyFill="1" applyBorder="1" applyAlignment="1" applyProtection="1">
      <alignment horizontal="center" vertical="center"/>
    </xf>
    <xf numFmtId="49" fontId="18" fillId="7" borderId="20" xfId="0" applyNumberFormat="1" applyFont="1" applyFill="1" applyBorder="1" applyAlignment="1" applyProtection="1">
      <alignment horizontal="center" vertical="center"/>
    </xf>
    <xf numFmtId="0" fontId="18" fillId="7" borderId="20" xfId="0" applyNumberFormat="1" applyFont="1" applyFill="1" applyBorder="1" applyAlignment="1" applyProtection="1">
      <alignment horizontal="center" vertical="center"/>
    </xf>
    <xf numFmtId="0" fontId="17" fillId="7" borderId="20" xfId="0" applyNumberFormat="1" applyFont="1" applyFill="1" applyBorder="1" applyAlignment="1" applyProtection="1">
      <alignment horizontal="left" vertical="center"/>
    </xf>
    <xf numFmtId="0" fontId="18" fillId="7" borderId="20" xfId="0" applyNumberFormat="1" applyFont="1" applyFill="1" applyBorder="1" applyAlignment="1" applyProtection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opLeftCell="A6" workbookViewId="0">
      <selection activeCell="A8" sqref="A8:C36"/>
    </sheetView>
  </sheetViews>
  <sheetFormatPr baseColWidth="10" defaultRowHeight="15"/>
  <cols>
    <col min="1" max="1" width="48.28515625" customWidth="1"/>
    <col min="2" max="2" width="18.140625" style="17" bestFit="1" customWidth="1"/>
    <col min="3" max="3" width="19.5703125" bestFit="1" customWidth="1"/>
  </cols>
  <sheetData>
    <row r="1" spans="1:5">
      <c r="A1" s="18" t="s">
        <v>11</v>
      </c>
    </row>
    <row r="2" spans="1:5">
      <c r="A2" s="18" t="s">
        <v>12</v>
      </c>
    </row>
    <row r="3" spans="1:5">
      <c r="A3" s="19" t="s">
        <v>13</v>
      </c>
      <c r="B3" s="20" t="s">
        <v>14</v>
      </c>
      <c r="C3" s="20" t="s">
        <v>15</v>
      </c>
      <c r="D3" s="20" t="s">
        <v>16</v>
      </c>
      <c r="E3" s="19" t="s">
        <v>17</v>
      </c>
    </row>
    <row r="4" spans="1:5">
      <c r="A4" s="21" t="s">
        <v>18</v>
      </c>
      <c r="B4" s="22" t="s">
        <v>19</v>
      </c>
      <c r="C4" s="22" t="s">
        <v>20</v>
      </c>
      <c r="D4" s="22" t="s">
        <v>21</v>
      </c>
      <c r="E4" s="23" t="s">
        <v>22</v>
      </c>
    </row>
    <row r="7" spans="1:5" ht="15.75" thickBot="1"/>
    <row r="8" spans="1:5" ht="15.75" thickBot="1">
      <c r="A8" s="69" t="s">
        <v>79</v>
      </c>
      <c r="B8" s="66" t="s">
        <v>78</v>
      </c>
      <c r="C8" s="66" t="s">
        <v>80</v>
      </c>
    </row>
    <row r="9" spans="1:5" ht="15.75" thickBot="1">
      <c r="A9" s="70" t="s">
        <v>83</v>
      </c>
      <c r="B9" s="67" t="s">
        <v>81</v>
      </c>
      <c r="C9" s="68" t="s">
        <v>82</v>
      </c>
    </row>
    <row r="10" spans="1:5" ht="15.75" thickBot="1">
      <c r="A10" s="70" t="s">
        <v>48</v>
      </c>
      <c r="B10" s="67" t="s">
        <v>84</v>
      </c>
      <c r="C10" s="68" t="s">
        <v>85</v>
      </c>
    </row>
    <row r="11" spans="1:5" ht="15.75" thickBot="1">
      <c r="A11" s="70" t="s">
        <v>150</v>
      </c>
      <c r="B11" s="67" t="s">
        <v>86</v>
      </c>
      <c r="C11" s="68" t="s">
        <v>87</v>
      </c>
    </row>
    <row r="12" spans="1:5" ht="15.75" thickBot="1">
      <c r="A12" s="70" t="s">
        <v>151</v>
      </c>
      <c r="B12" s="67" t="s">
        <v>88</v>
      </c>
      <c r="C12" s="68" t="s">
        <v>89</v>
      </c>
    </row>
    <row r="13" spans="1:5" ht="15.75" thickBot="1">
      <c r="A13" s="70" t="s">
        <v>152</v>
      </c>
      <c r="B13" s="67" t="s">
        <v>90</v>
      </c>
      <c r="C13" s="68" t="s">
        <v>87</v>
      </c>
    </row>
    <row r="14" spans="1:5" ht="15.75" thickBot="1">
      <c r="A14" s="70" t="s">
        <v>49</v>
      </c>
      <c r="B14" s="67" t="s">
        <v>91</v>
      </c>
      <c r="C14" s="68" t="s">
        <v>92</v>
      </c>
    </row>
    <row r="15" spans="1:5" ht="15.75" thickBot="1">
      <c r="A15" s="70" t="s">
        <v>94</v>
      </c>
      <c r="B15" s="67" t="s">
        <v>93</v>
      </c>
      <c r="C15" s="68" t="s">
        <v>87</v>
      </c>
    </row>
    <row r="16" spans="1:5" ht="15.75" thickBot="1">
      <c r="A16" s="70" t="s">
        <v>97</v>
      </c>
      <c r="B16" s="67" t="s">
        <v>95</v>
      </c>
      <c r="C16" s="68" t="s">
        <v>96</v>
      </c>
    </row>
    <row r="17" spans="1:3" ht="15.75" thickBot="1">
      <c r="A17" s="70" t="s">
        <v>153</v>
      </c>
      <c r="B17" s="67" t="s">
        <v>98</v>
      </c>
      <c r="C17" s="68" t="s">
        <v>99</v>
      </c>
    </row>
    <row r="18" spans="1:3" ht="15.75" thickBot="1">
      <c r="A18" s="70" t="s">
        <v>40</v>
      </c>
      <c r="B18" s="67" t="s">
        <v>100</v>
      </c>
      <c r="C18" s="68" t="s">
        <v>101</v>
      </c>
    </row>
    <row r="19" spans="1:3" ht="15.75" thickBot="1">
      <c r="A19" s="70" t="s">
        <v>154</v>
      </c>
      <c r="B19" s="67" t="s">
        <v>102</v>
      </c>
      <c r="C19" s="68" t="s">
        <v>103</v>
      </c>
    </row>
    <row r="20" spans="1:3" ht="15.75" thickBot="1">
      <c r="A20" s="70" t="s">
        <v>149</v>
      </c>
      <c r="B20" s="67" t="s">
        <v>104</v>
      </c>
      <c r="C20" s="68" t="s">
        <v>105</v>
      </c>
    </row>
    <row r="21" spans="1:3" ht="15.75" thickBot="1">
      <c r="A21" s="70" t="s">
        <v>155</v>
      </c>
      <c r="B21" s="67" t="s">
        <v>106</v>
      </c>
      <c r="C21" s="68" t="s">
        <v>107</v>
      </c>
    </row>
    <row r="22" spans="1:3" ht="15.75" thickBot="1">
      <c r="A22" s="70" t="s">
        <v>109</v>
      </c>
      <c r="B22" s="67" t="s">
        <v>108</v>
      </c>
      <c r="C22" s="68" t="s">
        <v>110</v>
      </c>
    </row>
    <row r="23" spans="1:3" ht="15.75" thickBot="1">
      <c r="A23" s="70" t="s">
        <v>112</v>
      </c>
      <c r="B23" s="67" t="s">
        <v>111</v>
      </c>
      <c r="C23" s="68" t="s">
        <v>113</v>
      </c>
    </row>
    <row r="24" spans="1:3" ht="15.75" thickBot="1">
      <c r="A24" s="70" t="s">
        <v>115</v>
      </c>
      <c r="B24" s="67" t="s">
        <v>114</v>
      </c>
      <c r="C24" s="68" t="s">
        <v>116</v>
      </c>
    </row>
    <row r="25" spans="1:3" ht="15.75" thickBot="1">
      <c r="A25" s="70" t="s">
        <v>118</v>
      </c>
      <c r="B25" s="67" t="s">
        <v>117</v>
      </c>
      <c r="C25" s="68" t="s">
        <v>119</v>
      </c>
    </row>
    <row r="26" spans="1:3" ht="15.75" thickBot="1">
      <c r="A26" s="70" t="s">
        <v>121</v>
      </c>
      <c r="B26" s="67" t="s">
        <v>120</v>
      </c>
      <c r="C26" s="68" t="s">
        <v>122</v>
      </c>
    </row>
    <row r="27" spans="1:3" ht="15.75" thickBot="1">
      <c r="A27" s="70" t="s">
        <v>124</v>
      </c>
      <c r="B27" s="67" t="s">
        <v>123</v>
      </c>
      <c r="C27" s="68" t="s">
        <v>125</v>
      </c>
    </row>
    <row r="28" spans="1:3" ht="15.75" thickBot="1">
      <c r="A28" s="70" t="s">
        <v>61</v>
      </c>
      <c r="B28" s="67" t="s">
        <v>126</v>
      </c>
      <c r="C28" s="68" t="s">
        <v>127</v>
      </c>
    </row>
    <row r="29" spans="1:3" ht="15.75" thickBot="1">
      <c r="A29" s="70" t="s">
        <v>129</v>
      </c>
      <c r="B29" s="67" t="s">
        <v>128</v>
      </c>
      <c r="C29" s="68" t="s">
        <v>130</v>
      </c>
    </row>
    <row r="30" spans="1:3" ht="15.75" thickBot="1">
      <c r="A30" s="70" t="s">
        <v>39</v>
      </c>
      <c r="B30" s="67" t="s">
        <v>131</v>
      </c>
      <c r="C30" s="68" t="s">
        <v>132</v>
      </c>
    </row>
    <row r="31" spans="1:3" ht="15.75" thickBot="1">
      <c r="A31" s="70" t="s">
        <v>134</v>
      </c>
      <c r="B31" s="67" t="s">
        <v>133</v>
      </c>
      <c r="C31" s="68" t="s">
        <v>135</v>
      </c>
    </row>
    <row r="32" spans="1:3" ht="15.75" thickBot="1">
      <c r="A32" s="70" t="s">
        <v>137</v>
      </c>
      <c r="B32" s="67" t="s">
        <v>136</v>
      </c>
      <c r="C32" s="68" t="s">
        <v>138</v>
      </c>
    </row>
    <row r="33" spans="1:3" ht="15.75" thickBot="1">
      <c r="A33" s="70" t="s">
        <v>140</v>
      </c>
      <c r="B33" s="67" t="s">
        <v>139</v>
      </c>
      <c r="C33" s="68" t="s">
        <v>141</v>
      </c>
    </row>
    <row r="34" spans="1:3" ht="15.75" thickBot="1">
      <c r="A34" s="70" t="s">
        <v>29</v>
      </c>
      <c r="B34" s="67" t="s">
        <v>142</v>
      </c>
      <c r="C34" s="68" t="s">
        <v>143</v>
      </c>
    </row>
    <row r="35" spans="1:3" ht="15.75" thickBot="1">
      <c r="A35" s="70" t="s">
        <v>145</v>
      </c>
      <c r="B35" s="67" t="s">
        <v>144</v>
      </c>
      <c r="C35" s="68" t="s">
        <v>146</v>
      </c>
    </row>
    <row r="36" spans="1:3" ht="15.75" thickBot="1">
      <c r="A36" s="70" t="s">
        <v>61</v>
      </c>
      <c r="B36" s="67" t="s">
        <v>147</v>
      </c>
      <c r="C36" s="68" t="s">
        <v>148</v>
      </c>
    </row>
    <row r="40" spans="1:3">
      <c r="A40" t="s">
        <v>27</v>
      </c>
    </row>
    <row r="41" spans="1:3">
      <c r="A41" t="s">
        <v>28</v>
      </c>
    </row>
    <row r="42" spans="1:3">
      <c r="A42" t="s">
        <v>29</v>
      </c>
    </row>
    <row r="43" spans="1:3">
      <c r="A43" t="s">
        <v>30</v>
      </c>
    </row>
    <row r="44" spans="1:3">
      <c r="A44" t="s">
        <v>31</v>
      </c>
    </row>
    <row r="45" spans="1:3">
      <c r="A45" t="s">
        <v>32</v>
      </c>
    </row>
    <row r="46" spans="1:3">
      <c r="A46" t="s">
        <v>33</v>
      </c>
    </row>
    <row r="47" spans="1:3">
      <c r="A47" t="s">
        <v>34</v>
      </c>
    </row>
    <row r="48" spans="1:3">
      <c r="A48" t="s">
        <v>35</v>
      </c>
    </row>
    <row r="49" spans="1:1">
      <c r="A49" t="s">
        <v>36</v>
      </c>
    </row>
    <row r="50" spans="1:1">
      <c r="A50" t="s">
        <v>37</v>
      </c>
    </row>
    <row r="51" spans="1:1">
      <c r="A51" t="s">
        <v>38</v>
      </c>
    </row>
    <row r="52" spans="1:1">
      <c r="A52" t="s">
        <v>39</v>
      </c>
    </row>
    <row r="53" spans="1:1">
      <c r="A53" t="s">
        <v>40</v>
      </c>
    </row>
    <row r="54" spans="1:1">
      <c r="A54" t="s">
        <v>41</v>
      </c>
    </row>
    <row r="55" spans="1:1">
      <c r="A55" t="s">
        <v>42</v>
      </c>
    </row>
    <row r="56" spans="1:1">
      <c r="A56" t="s">
        <v>43</v>
      </c>
    </row>
    <row r="57" spans="1:1">
      <c r="A57" t="s">
        <v>44</v>
      </c>
    </row>
    <row r="58" spans="1:1">
      <c r="A58" t="s">
        <v>45</v>
      </c>
    </row>
    <row r="59" spans="1:1">
      <c r="A59" t="s">
        <v>46</v>
      </c>
    </row>
    <row r="60" spans="1:1">
      <c r="A60" t="s">
        <v>47</v>
      </c>
    </row>
    <row r="61" spans="1:1">
      <c r="A61" t="s">
        <v>48</v>
      </c>
    </row>
    <row r="62" spans="1:1">
      <c r="A62" t="s">
        <v>49</v>
      </c>
    </row>
    <row r="63" spans="1:1">
      <c r="A63" t="s">
        <v>50</v>
      </c>
    </row>
    <row r="64" spans="1:1">
      <c r="A64" t="s">
        <v>51</v>
      </c>
    </row>
    <row r="65" spans="1:1">
      <c r="A65" t="s">
        <v>52</v>
      </c>
    </row>
    <row r="66" spans="1:1">
      <c r="A66" t="s">
        <v>53</v>
      </c>
    </row>
    <row r="67" spans="1:1">
      <c r="A67" t="s">
        <v>54</v>
      </c>
    </row>
    <row r="68" spans="1:1">
      <c r="A68" t="s">
        <v>55</v>
      </c>
    </row>
    <row r="69" spans="1:1">
      <c r="A69" t="s">
        <v>56</v>
      </c>
    </row>
    <row r="70" spans="1:1">
      <c r="A70" t="s">
        <v>57</v>
      </c>
    </row>
    <row r="71" spans="1:1">
      <c r="A71" t="s">
        <v>58</v>
      </c>
    </row>
    <row r="72" spans="1:1">
      <c r="A72" t="s">
        <v>59</v>
      </c>
    </row>
    <row r="73" spans="1:1">
      <c r="A73" t="s">
        <v>60</v>
      </c>
    </row>
    <row r="74" spans="1:1">
      <c r="A74" t="s">
        <v>61</v>
      </c>
    </row>
    <row r="75" spans="1:1">
      <c r="A75" t="s">
        <v>62</v>
      </c>
    </row>
    <row r="76" spans="1:1">
      <c r="A76" t="s">
        <v>63</v>
      </c>
    </row>
    <row r="77" spans="1:1">
      <c r="A77" t="s">
        <v>64</v>
      </c>
    </row>
    <row r="78" spans="1:1">
      <c r="A78" t="s">
        <v>65</v>
      </c>
    </row>
    <row r="79" spans="1:1">
      <c r="A79" t="s">
        <v>66</v>
      </c>
    </row>
    <row r="80" spans="1:1">
      <c r="A80" t="s">
        <v>67</v>
      </c>
    </row>
    <row r="81" spans="1:1">
      <c r="A81" t="s">
        <v>68</v>
      </c>
    </row>
    <row r="82" spans="1:1">
      <c r="A82" t="s">
        <v>69</v>
      </c>
    </row>
    <row r="83" spans="1:1">
      <c r="A83" t="s">
        <v>70</v>
      </c>
    </row>
    <row r="84" spans="1:1">
      <c r="A84" t="s">
        <v>71</v>
      </c>
    </row>
    <row r="85" spans="1:1">
      <c r="A85" t="s">
        <v>72</v>
      </c>
    </row>
    <row r="86" spans="1:1">
      <c r="A86" t="s">
        <v>73</v>
      </c>
    </row>
    <row r="87" spans="1:1">
      <c r="A87" t="s">
        <v>74</v>
      </c>
    </row>
    <row r="88" spans="1:1">
      <c r="A88" t="s">
        <v>75</v>
      </c>
    </row>
    <row r="89" spans="1:1">
      <c r="A89" s="2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Normal="100" workbookViewId="0">
      <selection activeCell="D18" sqref="D18:E18"/>
    </sheetView>
  </sheetViews>
  <sheetFormatPr baseColWidth="10" defaultRowHeight="15"/>
  <cols>
    <col min="2" max="2" width="15.28515625" customWidth="1"/>
    <col min="5" max="5" width="21.5703125" customWidth="1"/>
    <col min="6" max="6" width="1.5703125" customWidth="1"/>
    <col min="8" max="8" width="11.42578125" customWidth="1"/>
    <col min="9" max="9" width="0.42578125" customWidth="1"/>
    <col min="11" max="11" width="13.5703125" customWidth="1"/>
    <col min="12" max="12" width="2" customWidth="1"/>
    <col min="14" max="14" width="2.85546875" customWidth="1"/>
    <col min="15" max="15" width="12.7109375" bestFit="1" customWidth="1"/>
  </cols>
  <sheetData>
    <row r="1" spans="1:15" ht="22.5">
      <c r="A1" s="53" t="s">
        <v>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15.7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75">
      <c r="A3" s="54" t="s">
        <v>9</v>
      </c>
      <c r="B3" s="54"/>
      <c r="C3" s="5"/>
      <c r="D3" s="55"/>
      <c r="E3" s="56"/>
      <c r="F3" s="56"/>
      <c r="G3" s="56"/>
      <c r="H3" s="56"/>
      <c r="I3" s="56"/>
      <c r="J3" s="56"/>
      <c r="K3" s="57"/>
      <c r="L3" s="3"/>
      <c r="M3" s="6" t="s">
        <v>0</v>
      </c>
      <c r="N3" s="4"/>
      <c r="O3" s="7">
        <v>45321</v>
      </c>
    </row>
    <row r="4" spans="1:15">
      <c r="A4" s="54"/>
      <c r="B4" s="54"/>
      <c r="C4" s="5"/>
      <c r="D4" s="58"/>
      <c r="E4" s="59"/>
      <c r="F4" s="59"/>
      <c r="G4" s="59"/>
      <c r="H4" s="59"/>
      <c r="I4" s="59"/>
      <c r="J4" s="59"/>
      <c r="K4" s="60"/>
      <c r="L4" s="3"/>
      <c r="M4" s="4"/>
      <c r="N4" s="4"/>
      <c r="O4" s="4"/>
    </row>
    <row r="5" spans="1:15" ht="15.75">
      <c r="A5" s="54"/>
      <c r="B5" s="54"/>
      <c r="C5" s="5"/>
      <c r="D5" s="61"/>
      <c r="E5" s="62"/>
      <c r="F5" s="62"/>
      <c r="G5" s="62"/>
      <c r="H5" s="62"/>
      <c r="I5" s="62"/>
      <c r="J5" s="62"/>
      <c r="K5" s="63"/>
      <c r="L5" s="3"/>
      <c r="M5" s="6"/>
      <c r="N5" s="4"/>
      <c r="O5" s="8"/>
    </row>
    <row r="6" spans="1:15" ht="15.7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8">
      <c r="A7" s="64" t="s">
        <v>1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5" ht="15.7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8">
      <c r="A9" s="65" t="s">
        <v>76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9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52" t="s">
        <v>2</v>
      </c>
      <c r="B11" s="52"/>
      <c r="C11" s="4"/>
      <c r="D11" s="52" t="s">
        <v>23</v>
      </c>
      <c r="E11" s="52"/>
      <c r="F11" s="10"/>
      <c r="G11" s="52" t="s">
        <v>3</v>
      </c>
      <c r="H11" s="52"/>
      <c r="I11" s="10"/>
      <c r="J11" s="52" t="s">
        <v>24</v>
      </c>
      <c r="K11" s="52"/>
      <c r="L11" s="4"/>
      <c r="M11" s="52" t="s">
        <v>4</v>
      </c>
      <c r="N11" s="52"/>
      <c r="O11" s="52"/>
    </row>
    <row r="12" spans="1:15" ht="19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.5">
      <c r="A13" s="46" t="s">
        <v>5</v>
      </c>
      <c r="B13" s="15" t="s">
        <v>10</v>
      </c>
      <c r="C13" s="4"/>
      <c r="D13" s="27"/>
      <c r="E13" s="28"/>
      <c r="F13" s="13"/>
      <c r="G13" s="46" t="s">
        <v>5</v>
      </c>
      <c r="H13" s="15" t="s">
        <v>10</v>
      </c>
      <c r="I13" s="13"/>
      <c r="J13" s="27"/>
      <c r="K13" s="28"/>
      <c r="L13" s="4"/>
      <c r="M13" s="27"/>
      <c r="N13" s="29"/>
      <c r="O13" s="28"/>
    </row>
    <row r="14" spans="1:15" ht="25.5" customHeight="1">
      <c r="A14" s="46"/>
      <c r="B14" s="15" t="s">
        <v>156</v>
      </c>
      <c r="C14" s="4"/>
      <c r="D14" s="49" t="str">
        <f>IFERROR(VLOOKUP(D13,Hoja1!A8:C36,2,FALSE)," ")</f>
        <v xml:space="preserve"> </v>
      </c>
      <c r="E14" s="50"/>
      <c r="F14" s="13"/>
      <c r="G14" s="46"/>
      <c r="H14" s="15" t="s">
        <v>156</v>
      </c>
      <c r="I14" s="13"/>
      <c r="J14" s="49" t="str">
        <f>IFERROR(VLOOKUP(J13,Hoja1!A8:C36,2,FALSE)," ")</f>
        <v xml:space="preserve"> </v>
      </c>
      <c r="K14" s="50"/>
      <c r="L14" s="4"/>
      <c r="M14" s="27"/>
      <c r="N14" s="29"/>
      <c r="O14" s="28"/>
    </row>
    <row r="15" spans="1:15" ht="22.5" customHeight="1">
      <c r="A15" s="46"/>
      <c r="B15" s="15" t="s">
        <v>7</v>
      </c>
      <c r="C15" s="4"/>
      <c r="D15" s="48"/>
      <c r="E15" s="51"/>
      <c r="F15" s="13"/>
      <c r="G15" s="46"/>
      <c r="H15" s="15" t="s">
        <v>25</v>
      </c>
      <c r="I15" s="13"/>
      <c r="J15" s="27"/>
      <c r="K15" s="28"/>
      <c r="L15" s="4"/>
      <c r="M15" s="11"/>
      <c r="N15" s="14"/>
      <c r="O15" s="12"/>
    </row>
    <row r="16" spans="1:15">
      <c r="A16" s="46"/>
      <c r="B16" s="15"/>
      <c r="C16" s="4"/>
      <c r="D16" s="27"/>
      <c r="E16" s="28"/>
      <c r="F16" s="13"/>
      <c r="G16" s="46"/>
      <c r="H16" s="15"/>
      <c r="I16" s="13"/>
      <c r="J16" s="27"/>
      <c r="K16" s="28"/>
      <c r="L16" s="4"/>
      <c r="M16" s="27"/>
      <c r="N16" s="29"/>
      <c r="O16" s="28"/>
    </row>
    <row r="17" spans="1:15">
      <c r="A17" s="45" t="s">
        <v>6</v>
      </c>
      <c r="B17" s="15" t="s">
        <v>10</v>
      </c>
      <c r="C17" s="4"/>
      <c r="D17" s="27"/>
      <c r="E17" s="28"/>
      <c r="F17" s="13"/>
      <c r="G17" s="27"/>
      <c r="H17" s="28"/>
      <c r="I17" s="13"/>
      <c r="J17" s="27"/>
      <c r="K17" s="28"/>
      <c r="L17" s="4"/>
      <c r="M17" s="27"/>
      <c r="N17" s="29"/>
      <c r="O17" s="28"/>
    </row>
    <row r="18" spans="1:15">
      <c r="A18" s="46"/>
      <c r="B18" s="15" t="s">
        <v>156</v>
      </c>
      <c r="C18" s="4"/>
      <c r="D18" s="49" t="str">
        <f>IFERROR(VLOOKUP(D17,Hoja1!A8:C36,2,FALSE)," ")</f>
        <v xml:space="preserve"> </v>
      </c>
      <c r="E18" s="50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ht="22.5" customHeight="1">
      <c r="A19" s="46"/>
      <c r="B19" s="15" t="s">
        <v>7</v>
      </c>
      <c r="C19" s="4"/>
      <c r="D19" s="48"/>
      <c r="E19" s="28"/>
      <c r="F19" s="13"/>
      <c r="G19" s="27"/>
      <c r="H19" s="28"/>
      <c r="I19" s="13"/>
      <c r="J19" s="27"/>
      <c r="K19" s="28"/>
      <c r="L19" s="4"/>
      <c r="M19" s="27"/>
      <c r="N19" s="29"/>
      <c r="O19" s="28"/>
    </row>
    <row r="20" spans="1:15" ht="26.25" customHeight="1">
      <c r="A20" s="47"/>
      <c r="B20" s="16"/>
      <c r="C20" s="4"/>
      <c r="D20" s="27"/>
      <c r="E20" s="28"/>
      <c r="F20" s="13"/>
      <c r="G20" s="27"/>
      <c r="H20" s="28"/>
      <c r="I20" s="13"/>
      <c r="J20" s="27"/>
      <c r="K20" s="28"/>
      <c r="L20" s="4"/>
      <c r="M20" s="27"/>
      <c r="N20" s="29"/>
      <c r="O20" s="28"/>
    </row>
    <row r="21" spans="1:15">
      <c r="A21" s="25"/>
      <c r="B21" s="26"/>
      <c r="C21" s="4"/>
      <c r="D21" s="27"/>
      <c r="E21" s="28"/>
      <c r="F21" s="13"/>
      <c r="G21" s="27"/>
      <c r="H21" s="28"/>
      <c r="I21" s="13"/>
      <c r="J21" s="27"/>
      <c r="K21" s="28"/>
      <c r="L21" s="4"/>
      <c r="M21" s="27"/>
      <c r="N21" s="29"/>
      <c r="O21" s="28"/>
    </row>
    <row r="22" spans="1:15" ht="127.5" customHeight="1">
      <c r="A22" s="33" t="s">
        <v>8</v>
      </c>
      <c r="B22" s="34"/>
      <c r="C22" s="4"/>
      <c r="D22" s="37"/>
      <c r="E22" s="38"/>
      <c r="F22" s="13"/>
      <c r="G22" s="41"/>
      <c r="H22" s="42"/>
      <c r="I22" s="13"/>
      <c r="J22" s="27"/>
      <c r="K22" s="28"/>
      <c r="L22" s="4"/>
      <c r="M22" s="27"/>
      <c r="N22" s="29"/>
      <c r="O22" s="28"/>
    </row>
    <row r="23" spans="1:15" ht="15" customHeight="1">
      <c r="A23" s="35"/>
      <c r="B23" s="36"/>
      <c r="C23" s="4"/>
      <c r="D23" s="39"/>
      <c r="E23" s="40"/>
      <c r="F23" s="13"/>
      <c r="G23" s="43"/>
      <c r="H23" s="44"/>
      <c r="I23" s="13"/>
      <c r="J23" s="30"/>
      <c r="K23" s="31"/>
      <c r="L23" s="4"/>
      <c r="M23" s="30"/>
      <c r="N23" s="32"/>
      <c r="O23" s="31"/>
    </row>
  </sheetData>
  <sheetProtection algorithmName="SHA-512" hashValue="wyEhNddXkaEvx0Xky7aAGWReQvvVwDsSuUm1mAizmVI4S8vBYqjWN899fx7jOfCwqaXlT9J/SERL89w37ciwnw==" saltValue="EW9H2VoaeNreRUEnQIOamw==" spinCount="100000" sheet="1" objects="1" scenarios="1"/>
  <mergeCells count="49"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J15:K15"/>
    <mergeCell ref="D15:E15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D18:E18"/>
    <mergeCell ref="J23:K23"/>
    <mergeCell ref="M23:O23"/>
    <mergeCell ref="A22:B23"/>
    <mergeCell ref="D22:E23"/>
    <mergeCell ref="G22:H23"/>
    <mergeCell ref="J22:K22"/>
    <mergeCell ref="M22:O22"/>
    <mergeCell ref="A21:B21"/>
    <mergeCell ref="D21:E21"/>
    <mergeCell ref="G21:H21"/>
    <mergeCell ref="J21:K21"/>
    <mergeCell ref="M21:O21"/>
  </mergeCells>
  <pageMargins left="0.7" right="0.7" top="0.75" bottom="0.75" header="0.3" footer="0.3"/>
  <pageSetup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Hoja1!$A$8:$A$36</xm:f>
          </x14:formula1>
          <xm:sqref>J13:K13</xm:sqref>
        </x14:dataValidation>
        <x14:dataValidation type="list" allowBlank="1" showInputMessage="1" showErrorMessage="1">
          <x14:formula1>
            <xm:f>Hoja1!$A$41:$A$89</xm:f>
          </x14:formula1>
          <xm:sqref>D3:K5</xm:sqref>
        </x14:dataValidation>
        <x14:dataValidation type="list" allowBlank="1" showInputMessage="1" showErrorMessage="1">
          <x14:formula1>
            <xm:f>Hoja1!$A$9:$A$36</xm:f>
          </x14:formula1>
          <xm:sqref>D17:E17</xm:sqref>
        </x14:dataValidation>
        <x14:dataValidation type="list" allowBlank="1" showInputMessage="1" showErrorMessage="1">
          <x14:formula1>
            <xm:f>Hoja1!$A$9:$A$36</xm:f>
          </x14:formula1>
          <xm:sqref>D13:E13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negonzalez</cp:lastModifiedBy>
  <cp:lastPrinted>2024-01-30T18:36:15Z</cp:lastPrinted>
  <dcterms:created xsi:type="dcterms:W3CDTF">2024-01-24T16:58:21Z</dcterms:created>
  <dcterms:modified xsi:type="dcterms:W3CDTF">2024-07-31T20:31:11Z</dcterms:modified>
</cp:coreProperties>
</file>