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AA6B9D68-5382-4BE9-888B-CDEA59DC11CE}" xr6:coauthVersionLast="47" xr6:coauthVersionMax="47" xr10:uidLastSave="{00000000-0000-0000-0000-000000000000}"/>
  <bookViews>
    <workbookView xWindow="-120" yWindow="-120" windowWidth="29040" windowHeight="15840" tabRatio="601" activeTab="5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<sst xmlns="http://schemas.openxmlformats.org/spreadsheetml/2006/main" count="1824" uniqueCount="1075">
  <si>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</si>
  <si>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</si>
  <si>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</si>
  <si>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</si>
  <si>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</si>
  <si>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</si>
  <si>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</si>
  <si>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</si>
  <si>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</si>
  <si>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</si>
  <si>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</si>
  <si>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</si>
  <si>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</si>
  <si>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</si>
  <si>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</si>
  <si>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</si>
  <si>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</si>
  <si>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</si>
  <si>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</si>
  <si>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</si>
  <si>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</si>
  <si>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</si>
  <si>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</si>
  <si>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</si>
  <si>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</si>
  <si>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</si>
  <si>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</si>
  <si>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</si>
  <si>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</si>
  <si>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</si>
  <si>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</si>
  <si>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</si>
  <si>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</si>
  <si>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</si>
  <si>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</si>
  <si>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</si>
  <si>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</si>
  <si>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</si>
  <si>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</si>
  <si>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</si>
  <si>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</si>
  <si>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</si>
  <si>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</si>
  <si>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</si>
  <si>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</si>
  <si>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</si>
  <si>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</si>
  <si>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</si>
  <si>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</si>
  <si>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</si>
  <si>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</si>
  <si>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</si>
  <si>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</si>
  <si>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</si>
  <si>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</si>
  <si>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</si>
  <si>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</si>
  <si>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</si>
  <si>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</si>
  <si>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</si>
  <si>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</si>
  <si>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</si>
  <si>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</si>
  <si>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</si>
  <si>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</si>
  <si>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</si>
  <si>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</si>
  <si>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</si>
  <si>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</si>
  <si>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</si>
  <si>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</si>
  <si>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</si>
  <si>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</si>
  <si>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</si>
  <si>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</si>
  <si>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</si>
  <si>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</si>
  <si>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</si>
  <si>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</si>
  <si>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</si>
  <si>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</si>
  <si>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</si>
  <si>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</si>
  <si>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</si>
  <si>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</si>
  <si>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</si>
  <si>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</si>
  <si>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</si>
  <si>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</si>
  <si>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</si>
  <si>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</si>
  <si>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</si>
  <si>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</si>
  <si>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</si>
  <si>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</si>
  <si>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</si>
  <si>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</si>
  <si>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</si>
  <si>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</si>
  <si>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</si>
  <si>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</si>
  <si>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</si>
  <si>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</si>
  <si>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</si>
  <si>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</si>
  <si>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</si>
  <si>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</si>
  <si>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</si>
  <si>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</si>
  <si>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</si>
  <si>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</si>
  <si>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</si>
  <si>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</si>
  <si>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</si>
  <si>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</si>
  <si>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</si>
  <si>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</si>
  <si>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</si>
  <si>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</si>
  <si>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</si>
  <si>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</si>
  <si>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</si>
  <si>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</si>
  <si>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</si>
  <si>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</si>
  <si>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</si>
  <si>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</si>
  <si>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</si>
  <si>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</si>
  <si>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</si>
  <si>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</si>
  <si>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</si>
  <si>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</si>
  <si>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</si>
  <si>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</si>
  <si>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</si>
  <si>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</si>
  <si>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</si>
  <si>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</si>
  <si>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</si>
  <si>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</si>
  <si>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</si>
  <si>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</si>
  <si>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</si>
  <si>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</si>
  <si>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</si>
  <si>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</si>
  <si>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</si>
  <si>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</si>
  <si>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</si>
  <si>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</si>
  <si>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</si>
  <si>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</si>
  <si>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</si>
  <si>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</si>
  <si>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</si>
  <si>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</si>
  <si>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</si>
  <si>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</si>
  <si>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</si>
  <si>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</si>
  <si>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</si>
  <si>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</si>
  <si>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</si>
  <si>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</si>
  <si>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</si>
  <si>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</si>
  <si>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</si>
  <si>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</si>
  <si>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</si>
  <si>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</si>
  <si>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</si>
  <si>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</si>
  <si>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</si>
  <si>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</si>
  <si>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</si>
  <si>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</si>
  <si>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</si>
  <si>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</si>
  <si>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</si>
  <si>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</si>
  <si>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</si>
  <si>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</si>
  <si>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</si>
  <si>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</si>
  <si>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</si>
  <si>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</si>
  <si>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</si>
  <si>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</si>
  <si>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</si>
  <si>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</si>
  <si>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</si>
  <si>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</si>
  <si>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</si>
  <si>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</si>
  <si>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</si>
  <si>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</si>
  <si>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</si>
  <si>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</si>
  <si>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</si>
  <si>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</si>
  <si>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</si>
  <si>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</si>
  <si>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</si>
  <si>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</si>
  <si>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</si>
  <si>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</si>
  <si>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</si>
  <si>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</si>
  <si>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</si>
  <si>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</si>
  <si>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</si>
  <si>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</si>
  <si>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</si>
  <si>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</si>
  <si>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</si>
  <si>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</si>
  <si>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</si>
  <si>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</si>
  <si>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</si>
  <si>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</si>
  <si>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</si>
  <si>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</si>
  <si>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</si>
  <si>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</si>
  <si>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</si>
  <si>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</si>
  <si>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</si>
  <si>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</si>
  <si>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</si>
  <si>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</si>
  <si>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</si>
  <si>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</si>
  <si>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</si>
  <si>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</si>
  <si>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</si>
  <si>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</si>
  <si>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</si>
  <si>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</si>
  <si>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</si>
  <si>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</si>
  <si>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</si>
  <si>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</si>
  <si>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</si>
  <si>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</si>
  <si>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</si>
  <si>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</si>
  <si>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</si>
  <si>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</si>
  <si>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</si>
  <si>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</si>
  <si>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</si>
  <si>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</si>
  <si>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</si>
  <si>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</si>
  <si>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</si>
  <si>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</si>
  <si>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</si>
  <si>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</si>
  <si>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</si>
  <si>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</si>
  <si>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</si>
  <si>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</si>
  <si>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</si>
  <si>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</si>
  <si>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</si>
  <si>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</si>
  <si>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</si>
  <si>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</si>
  <si>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</si>
  <si>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</si>
  <si>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</si>
  <si>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</si>
  <si>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</si>
  <si>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</si>
  <si>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</si>
  <si>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</si>
  <si>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</si>
  <si>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</si>
  <si>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</si>
  <si>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</si>
  <si>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</si>
  <si>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</si>
  <si>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</si>
  <si>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</si>
  <si>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</si>
  <si>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</si>
  <si>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</si>
  <si>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</si>
  <si>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</si>
  <si>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</si>
  <si>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</si>
  <si>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</si>
  <si>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</si>
  <si>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</si>
  <si>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</si>
  <si>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</si>
  <si>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</si>
  <si>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</si>
  <si>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</si>
  <si>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</si>
  <si>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</si>
  <si>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</si>
  <si>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</si>
  <si>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</si>
  <si>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</si>
  <si>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</si>
  <si>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</si>
  <si>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</si>
  <si>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</si>
  <si>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</si>
  <si>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</si>
  <si>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</si>
  <si>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</si>
  <si>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</si>
  <si>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</si>
  <si>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</si>
  <si>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</si>
  <si>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</si>
  <si>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</si>
  <si>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</si>
  <si>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</si>
  <si>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</si>
  <si>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</si>
  <si>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</si>
  <si>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</si>
  <si>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</si>
  <si>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</si>
  <si>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</si>
  <si>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</si>
  <si>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</si>
  <si>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</si>
  <si>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</si>
  <si>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</si>
  <si>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</si>
  <si>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</si>
  <si>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</si>
  <si>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</si>
  <si>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</si>
  <si>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</si>
  <si>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</si>
  <si>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</si>
  <si>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</si>
  <si>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</si>
  <si>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</si>
  <si>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</si>
  <si>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</si>
  <si>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</si>
  <si>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</si>
  <si>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</si>
  <si>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</si>
  <si>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</si>
  <si>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</si>
  <si>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</si>
  <si>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</si>
  <si>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</si>
  <si>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</si>
  <si>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</si>
  <si>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</si>
  <si>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</si>
  <si>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</si>
  <si>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</si>
  <si>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</si>
  <si>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</si>
  <si>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</si>
  <si>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</si>
  <si>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</si>
  <si>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</si>
  <si>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</si>
  <si>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</si>
  <si>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</si>
  <si>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</si>
  <si>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</si>
  <si>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</si>
  <si>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</si>
  <si>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</si>
  <si>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</si>
  <si>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</si>
  <si>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</si>
  <si>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</si>
  <si>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</si>
  <si>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</si>
  <si>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</si>
  <si>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</si>
  <si>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</si>
  <si>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</si>
  <si>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</si>
  <si>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</si>
  <si>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</si>
  <si>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</si>
  <si>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</si>
  <si>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</si>
  <si>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</si>
  <si>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</si>
  <si>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</si>
  <si>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</si>
  <si>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</si>
  <si>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</si>
  <si>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</si>
  <si>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</si>
  <si>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</si>
  <si>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</si>
  <si>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</si>
  <si>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</si>
  <si>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</si>
  <si>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</si>
  <si>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</si>
  <si>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</si>
  <si>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</si>
  <si>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</si>
  <si>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</si>
  <si>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</si>
  <si>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</si>
  <si>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</si>
  <si>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</si>
  <si>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</si>
  <si>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</si>
  <si>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</si>
  <si>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</si>
  <si>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</si>
  <si>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</si>
  <si>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</si>
  <si>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</si>
  <si>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</si>
  <si>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</si>
  <si>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</si>
  <si>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</si>
  <si>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</si>
  <si>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</si>
  <si>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</si>
  <si>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</si>
  <si>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</si>
  <si>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</si>
  <si>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</si>
  <si>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</si>
  <si>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</si>
  <si>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</si>
  <si>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</si>
  <si>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</si>
  <si>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</si>
  <si>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</si>
  <si>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</si>
  <si>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</si>
  <si>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</si>
  <si>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</si>
  <si>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</si>
  <si>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</si>
  <si>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</si>
  <si>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</si>
  <si>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</si>
  <si>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</si>
  <si>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</si>
  <si>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</si>
  <si>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</si>
  <si>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</si>
  <si>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</si>
  <si>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</si>
  <si>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</si>
  <si>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</si>
  <si>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</si>
  <si>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</si>
  <si>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</si>
  <si>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</si>
  <si>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</si>
  <si>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</si>
  <si>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</si>
  <si>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</si>
  <si>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</si>
  <si>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</si>
  <si>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</si>
  <si>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</si>
  <si>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</si>
  <si>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</si>
  <si>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</si>
  <si>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</si>
  <si>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</si>
  <si>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</si>
  <si>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</si>
  <si>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</si>
  <si>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</si>
  <si>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</si>
  <si>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</si>
  <si>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</si>
  <si>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</si>
  <si>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</si>
  <si>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</si>
  <si>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</si>
  <si>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</si>
  <si>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</si>
  <si>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</si>
  <si>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</si>
  <si>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</si>
  <si>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</si>
  <si>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</si>
  <si>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</si>
  <si>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</si>
  <si>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</si>
  <si>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</si>
  <si>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</si>
  <si>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</si>
  <si>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</si>
  <si>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</si>
  <si>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</si>
  <si>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</si>
  <si>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</si>
  <si>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</si>
  <si>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</si>
  <si>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</si>
  <si>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</si>
  <si>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</si>
  <si>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</si>
  <si>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</si>
  <si>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</si>
  <si>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</si>
  <si>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</si>
  <si>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</si>
  <si>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</si>
  <si>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</si>
  <si>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</si>
  <si>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</si>
  <si>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</si>
  <si>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</si>
  <si>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</si>
  <si>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</si>
  <si>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</si>
  <si>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</si>
  <si>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</si>
  <si>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</si>
  <si>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</si>
  <si>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</si>
  <si>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</si>
  <si>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</si>
  <si>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</si>
  <si>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</si>
  <si>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</si>
  <si>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</si>
  <si>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</si>
  <si>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</si>
  <si>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</si>
  <si>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</si>
  <si>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</si>
  <si>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</si>
  <si>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</si>
  <si>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</si>
  <si>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</si>
  <si>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</si>
  <si>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</si>
  <si>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</si>
  <si>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</si>
  <si>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</si>
  <si>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</si>
  <si>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</si>
  <si>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</si>
  <si>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</si>
  <si>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</si>
  <si>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</si>
  <si>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</si>
  <si>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</si>
  <si>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</si>
  <si>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</si>
  <si>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</si>
  <si>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</si>
  <si>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</si>
  <si>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</si>
  <si>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</si>
  <si>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</si>
  <si>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</si>
  <si>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</si>
  <si>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</si>
  <si>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</si>
  <si>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</si>
  <si>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</si>
  <si>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</si>
  <si>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</si>
  <si>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</si>
  <si>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</si>
  <si>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</si>
  <si>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</si>
  <si>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</si>
  <si>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</si>
  <si>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</si>
  <si>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</si>
  <si>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</si>
  <si>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</si>
  <si>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</si>
  <si>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</si>
  <si>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</si>
  <si>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</si>
  <si>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</si>
  <si>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</si>
  <si>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</si>
  <si>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</si>
  <si>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</si>
  <si>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</si>
  <si>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</si>
  <si>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</si>
  <si>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</si>
  <si>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</si>
  <si>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</si>
  <si>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</si>
  <si>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</si>
  <si>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</si>
  <si>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</si>
  <si>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</si>
  <si>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</si>
  <si>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</si>
  <si>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</si>
  <si>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</si>
  <si>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</si>
  <si>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</si>
  <si>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</si>
  <si>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</si>
  <si>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</si>
  <si>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</si>
  <si>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</si>
  <si>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</si>
  <si>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</si>
  <si>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</si>
  <si>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</si>
  <si>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</si>
  <si>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</si>
  <si>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</si>
  <si>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</si>
  <si>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</si>
  <si>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</si>
  <si>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</si>
  <si>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</si>
  <si>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</si>
  <si>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</si>
  <si>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</si>
  <si>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</si>
  <si>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</si>
  <si>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</si>
  <si>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</si>
  <si>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</si>
  <si>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</si>
  <si>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</si>
  <si>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</si>
  <si>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</si>
  <si>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</si>
  <si>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</si>
  <si>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</si>
  <si>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</si>
  <si>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</si>
  <si>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</si>
  <si>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</si>
  <si>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</si>
  <si>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</si>
  <si>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</si>
  <si>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</si>
  <si>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</si>
  <si>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</si>
  <si>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</si>
  <si>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</si>
  <si>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</si>
  <si>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</si>
  <si>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</si>
  <si>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</si>
  <si>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</si>
  <si>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</si>
  <si>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</si>
  <si>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</si>
  <si>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</si>
  <si>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</si>
  <si>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</si>
  <si>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</si>
  <si>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</si>
  <si>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</si>
  <si>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</si>
  <si>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</si>
  <si>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</si>
  <si>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</si>
  <si>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</si>
  <si>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</si>
  <si>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</si>
  <si>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</si>
  <si>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</si>
  <si>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</si>
  <si>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</si>
  <si>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</si>
  <si>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</si>
  <si>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</si>
  <si>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</si>
  <si>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</si>
  <si>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</si>
  <si>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</si>
  <si>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</si>
  <si>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</si>
  <si>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</si>
  <si>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</si>
  <si>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</si>
  <si>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</si>
  <si>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</si>
  <si>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</si>
  <si>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</si>
  <si>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</si>
  <si>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</si>
  <si>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</si>
  <si>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</si>
  <si>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</si>
  <si>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</si>
  <si>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</si>
  <si>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</si>
  <si>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</si>
  <si>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</si>
  <si>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</si>
  <si>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</si>
  <si>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</si>
  <si>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</si>
  <si>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</si>
  <si>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</si>
  <si>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</si>
  <si>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</si>
  <si>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</si>
  <si>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</si>
  <si>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</si>
  <si>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</si>
  <si>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</si>
  <si>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</si>
  <si>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</si>
  <si>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</si>
  <si>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</si>
  <si>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</si>
  <si>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</si>
  <si>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</si>
  <si>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</si>
  <si>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</si>
  <si>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</si>
  <si>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</si>
  <si>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</si>
  <si>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</si>
  <si>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</si>
  <si>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</si>
  <si>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</si>
  <si>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</si>
  <si>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</si>
  <si>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</si>
  <si>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</si>
  <si>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</si>
  <si>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</si>
  <si>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</si>
  <si>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</si>
  <si>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</si>
  <si>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</si>
  <si>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</si>
  <si>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</si>
  <si>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</si>
  <si>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</si>
  <si>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</si>
  <si>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</si>
  <si>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</si>
  <si>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</si>
  <si>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</si>
  <si>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</si>
  <si>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</si>
  <si>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</si>
  <si>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</si>
  <si>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</si>
  <si>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</si>
  <si>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</si>
  <si>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</si>
  <si>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</si>
  <si>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</si>
  <si>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</si>
  <si>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</si>
  <si>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</si>
  <si>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</si>
  <si>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</si>
  <si>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</si>
  <si>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</si>
  <si>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</si>
  <si>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</si>
  <si>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</si>
  <si>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</si>
  <si>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</si>
  <si>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</si>
  <si>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</si>
  <si>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</si>
  <si>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</si>
  <si>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</si>
  <si>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</si>
  <si>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</si>
  <si>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</si>
  <si>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</si>
  <si>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</si>
  <si>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</si>
  <si>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</si>
  <si>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</si>
  <si>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</si>
  <si>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</si>
  <si>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</si>
  <si>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</si>
  <si>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</si>
  <si>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</si>
  <si>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</si>
  <si>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</si>
  <si>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</si>
  <si>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</si>
  <si>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</si>
  <si>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</si>
  <si>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</si>
  <si>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</si>
  <si>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</si>
  <si>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</si>
  <si>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</si>
  <si>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</si>
  <si>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</si>
  <si>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</si>
  <si>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</si>
  <si>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</si>
  <si>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</si>
  <si>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</si>
  <si>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</si>
  <si>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</si>
  <si>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</si>
  <si>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</si>
  <si>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</si>
  <si>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</si>
  <si>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</si>
  <si>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</si>
  <si>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</si>
  <si>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</si>
  <si>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</si>
  <si>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</si>
  <si>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</si>
  <si>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</si>
  <si>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</si>
  <si>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</si>
  <si>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</si>
  <si>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</si>
  <si>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</si>
  <si>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</si>
  <si>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</si>
  <si>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</si>
  <si>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</si>
  <si>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</si>
  <si>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</si>
  <si>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</si>
  <si>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</si>
  <si>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</si>
  <si>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</si>
  <si>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</si>
  <si>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</si>
  <si>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</si>
  <si>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</si>
  <si>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</si>
  <si>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</si>
  <si>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</si>
  <si>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</si>
  <si>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</si>
  <si>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</si>
  <si>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</si>
  <si>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</si>
  <si>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</si>
  <si>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</si>
  <si>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</si>
  <si>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</si>
  <si>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</si>
  <si>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</si>
  <si>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</si>
  <si>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</si>
  <si>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</si>
  <si>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</si>
  <si>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</si>
  <si>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</si>
  <si>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</si>
  <si>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</si>
  <si>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</si>
  <si>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</si>
  <si>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</si>
  <si>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</si>
  <si>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</si>
  <si>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</si>
  <si>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</si>
  <si>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</si>
  <si>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</si>
  <si>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</si>
  <si>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</si>
  <si>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</si>
  <si>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</si>
  <si>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</si>
  <si>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</si>
  <si>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</si>
  <si>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</si>
  <si>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</si>
  <si>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</si>
  <si>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</si>
  <si>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</si>
  <si>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</si>
  <si>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</si>
  <si>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</si>
  <si>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</si>
  <si>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</si>
  <si>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</si>
  <si>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</si>
  <si>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</si>
  <si>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</si>
  <si>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</si>
  <si>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</si>
  <si>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</si>
  <si>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</si>
  <si>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</si>
  <si>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</si>
  <si>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</si>
  <si>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</si>
  <si>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</si>
  <si>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</si>
  <si>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</si>
  <si>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</si>
  <si>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</si>
  <si>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</si>
  <si>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</si>
  <si>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</si>
  <si>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</si>
  <si>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</si>
  <si>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</si>
  <si>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</si>
  <si>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</si>
  <si>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</si>
  <si>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</si>
  <si>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</si>
  <si>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</si>
  <si>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</si>
  <si>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</si>
  <si>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</si>
  <si>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</si>
  <si>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</si>
  <si>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</si>
  <si>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</si>
  <si>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</si>
  <si>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</si>
  <si>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</si>
  <si>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</si>
  <si>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</si>
  <si>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</si>
  <si>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</si>
  <si>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</si>
  <si>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</si>
  <si>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</si>
  <si>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</si>
  <si>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</si>
  <si>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</si>
  <si>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</si>
  <si>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</si>
  <si>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</si>
  <si>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</si>
  <si>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</si>
  <si>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</si>
  <si>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</si>
  <si>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</si>
  <si>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</si>
  <si>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</si>
  <si>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</si>
  <si>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</si>
  <si>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</si>
  <si>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</si>
  <si>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</si>
  <si>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</si>
  <si>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</si>
  <si>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</si>
  <si>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</si>
  <si>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</si>
  <si>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</si>
  <si>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</si>
  <si>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</si>
  <si>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</si>
  <si>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</si>
  <si>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</si>
  <si>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</si>
  <si>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</si>
  <si>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</si>
  <si>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</si>
  <si>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</si>
  <si>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</si>
  <si>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</si>
  <si>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</si>
  <si>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</si>
  <si>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</si>
  <si>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</si>
  <si>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</si>
  <si>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</si>
  <si>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</si>
  <si>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</si>
  <si>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</si>
  <si>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</si>
  <si>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</si>
  <si>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</si>
  <si>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</si>
  <si>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</si>
  <si>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</si>
  <si>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</si>
  <si>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</si>
  <si>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</si>
  <si>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</si>
  <si>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</si>
  <si>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</si>
  <si>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</si>
  <si>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</si>
  <si>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</si>
  <si>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</si>
  <si>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</si>
  <si>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</si>
  <si>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</si>
  <si>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</si>
  <si>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</si>
  <si>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</si>
  <si>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</si>
  <si>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</si>
  <si>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E027PC0293</t>
  </si>
  <si>
    <t>E027PC3254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</si>
  <si>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</si>
  <si>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</si>
  <si>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</si>
  <si>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</si>
  <si>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</si>
  <si>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</si>
  <si>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</si>
  <si>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</si>
  <si>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</si>
  <si>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E027QB04882301</t>
  </si>
  <si>
    <t>E027QB04882302</t>
  </si>
  <si>
    <t>E027QB04882303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</si>
  <si>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</si>
  <si>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</si>
  <si>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</si>
  <si>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</si>
  <si>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</si>
  <si>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</si>
  <si>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</si>
  <si>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</si>
  <si>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E027QC03402301</t>
  </si>
  <si>
    <t>E027QC03402302</t>
  </si>
  <si>
    <t>E027QC03422301</t>
  </si>
  <si>
    <t>E027QC03432301</t>
  </si>
  <si>
    <t>E027QC03432302</t>
  </si>
  <si>
    <t>E027QC03442202</t>
  </si>
  <si>
    <t>E027QC03452301</t>
  </si>
  <si>
    <t>E027QC03682206</t>
  </si>
  <si>
    <t>E027QC03682209</t>
  </si>
  <si>
    <t>E027QC03682302</t>
  </si>
  <si>
    <t>E027QC03682304</t>
  </si>
  <si>
    <t>E027QC03682306</t>
  </si>
  <si>
    <t>E027QC03732301</t>
  </si>
  <si>
    <t>E027QC03742201</t>
  </si>
  <si>
    <t>E027QC03742202</t>
  </si>
  <si>
    <t>E027QC03742301</t>
  </si>
  <si>
    <t>E027QC03742302</t>
  </si>
  <si>
    <t>E027QC03752201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</si>
  <si>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</si>
  <si>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</si>
  <si>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</si>
  <si>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</si>
  <si>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</si>
  <si>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</si>
  <si>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</si>
  <si>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E027QC03792301</t>
  </si>
  <si>
    <t>E027QC03792302</t>
  </si>
  <si>
    <t>E027QC03792303</t>
  </si>
  <si>
    <t>E027QC03802202</t>
  </si>
  <si>
    <t>E027QC03802207</t>
  </si>
  <si>
    <t>E027QC03802301</t>
  </si>
  <si>
    <t>E027QC03802302</t>
  </si>
  <si>
    <t>E027QC03812201</t>
  </si>
  <si>
    <t>E027QC06212301</t>
  </si>
  <si>
    <t>E027QC06242301</t>
  </si>
  <si>
    <t>E027QC32142203</t>
  </si>
  <si>
    <t>E027QC32142204</t>
  </si>
  <si>
    <t>E027QC32142301</t>
  </si>
  <si>
    <t>E027QC32142302</t>
  </si>
  <si>
    <t>E027QC32142303</t>
  </si>
  <si>
    <t>E027QC32142304</t>
  </si>
  <si>
    <t>E027QC35342301</t>
  </si>
  <si>
    <t>M000GA2061</t>
  </si>
  <si>
    <t>P000GB1400</t>
  </si>
  <si>
    <t>P000GB14002299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</si>
</sst>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4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4" xfId="0" applyFont="1" applyBorder="1" applyAlignment="1" applyProtection="1">
      <alignment wrapText="1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6" zoomScale="70" zoomScaleNormal="70" workbookViewId="0">
      <selection activeCell="D35" sqref="D35:E35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9" t="s">
        <v>974</v>
      </c>
      <c r="I1" s="170"/>
    </row>
    <row r="2" spans="1:9" ht="26.25" customHeight="1" x14ac:dyDescent="0.35">
      <c r="A2" s="44"/>
      <c r="B2" s="45"/>
      <c r="C2" s="171" t="s">
        <v>0</v>
      </c>
      <c r="D2" s="171"/>
      <c r="E2" s="171"/>
      <c r="F2" s="171"/>
      <c r="G2" s="171"/>
      <c r="H2" s="171"/>
      <c r="I2" s="172"/>
    </row>
    <row r="3" spans="1:9" ht="26.25" customHeight="1" x14ac:dyDescent="0.35">
      <c r="A3" s="44"/>
      <c r="B3" s="45"/>
      <c r="C3" s="171" t="s">
        <v>961</v>
      </c>
      <c r="D3" s="171"/>
      <c r="E3" s="171"/>
      <c r="F3" s="171"/>
      <c r="G3" s="171"/>
      <c r="H3" s="171"/>
      <c r="I3" s="172"/>
    </row>
    <row r="4" spans="1:9" ht="15.75" customHeight="1" x14ac:dyDescent="0.35">
      <c r="A4" s="173"/>
      <c r="B4" s="174"/>
      <c r="C4" s="174"/>
      <c r="D4" s="174"/>
      <c r="E4" s="174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5"/>
      <c r="B6" s="176"/>
      <c r="C6" s="176"/>
      <c r="D6" s="176"/>
      <c r="E6" s="176"/>
      <c r="F6" s="176"/>
      <c r="G6" s="176"/>
      <c r="H6" s="176"/>
      <c r="I6" s="177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962</v>
      </c>
      <c r="D9" s="54">
        <f>COUNTA('RELACION DE COMPROBANTES'!A6:A997)</f>
        <v>0</v>
      </c>
      <c r="E9" s="178" t="s">
        <v>963</v>
      </c>
      <c r="F9" s="178"/>
      <c r="G9" s="178"/>
      <c r="H9" s="179">
        <f>D46</f>
        <v>0</v>
      </c>
      <c r="I9" s="180"/>
    </row>
    <row r="10" spans="1:9" ht="24" customHeight="1" x14ac:dyDescent="0.4">
      <c r="A10" s="49"/>
      <c r="B10" s="50"/>
      <c r="C10" s="181" t="s">
        <v>958</v>
      </c>
      <c r="D10" s="181"/>
      <c r="E10" s="181"/>
      <c r="F10" s="181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2"/>
      <c r="B12" s="183"/>
      <c r="C12" s="183"/>
      <c r="E12" s="184" t="s">
        <v>941</v>
      </c>
      <c r="F12" s="185"/>
      <c r="G12" s="185"/>
      <c r="H12" s="185"/>
      <c r="I12" s="186"/>
    </row>
    <row r="13" spans="1:9" ht="24" customHeight="1" x14ac:dyDescent="0.3">
      <c r="A13" s="25"/>
      <c r="E13" s="187" t="s">
        <v>942</v>
      </c>
      <c r="F13" s="188"/>
      <c r="G13" s="188"/>
      <c r="H13" s="188"/>
      <c r="I13" s="189"/>
    </row>
    <row r="14" spans="1:9" ht="19.5" thickBot="1" x14ac:dyDescent="0.35">
      <c r="A14" s="29"/>
      <c r="E14" s="190"/>
      <c r="F14" s="191"/>
      <c r="G14" s="191"/>
      <c r="H14" s="191"/>
      <c r="I14" s="192"/>
    </row>
    <row r="15" spans="1:9" ht="33" customHeight="1" thickTop="1" x14ac:dyDescent="0.3">
      <c r="A15" s="182"/>
      <c r="B15" s="183"/>
      <c r="C15" s="183"/>
      <c r="D15" s="193"/>
      <c r="E15" s="207" t="s">
        <v>960</v>
      </c>
      <c r="F15" s="208"/>
      <c r="G15" s="194" t="s">
        <v>943</v>
      </c>
      <c r="H15" s="194" t="s">
        <v>944</v>
      </c>
      <c r="I15" s="196"/>
    </row>
    <row r="16" spans="1:9" ht="30" customHeight="1" x14ac:dyDescent="0.3">
      <c r="A16" s="25"/>
      <c r="E16" s="209"/>
      <c r="F16" s="210"/>
      <c r="G16" s="195"/>
      <c r="H16" s="195"/>
      <c r="I16" s="197"/>
    </row>
    <row r="17" spans="1:9" ht="16.5" customHeight="1" x14ac:dyDescent="0.3">
      <c r="A17" s="25"/>
      <c r="E17" s="211" t="s">
        <v>945</v>
      </c>
      <c r="F17" s="212"/>
      <c r="G17" s="198" t="s">
        <v>946</v>
      </c>
      <c r="H17" s="201" t="s">
        <v>964</v>
      </c>
      <c r="I17" s="202"/>
    </row>
    <row r="18" spans="1:9" ht="22.15" customHeight="1" x14ac:dyDescent="0.3">
      <c r="A18" s="25"/>
      <c r="E18" s="213"/>
      <c r="F18" s="214"/>
      <c r="G18" s="199"/>
      <c r="H18" s="203"/>
      <c r="I18" s="204"/>
    </row>
    <row r="19" spans="1:9" s="28" customFormat="1" ht="12.75" customHeight="1" x14ac:dyDescent="0.25">
      <c r="A19" s="55"/>
      <c r="B19" s="43"/>
      <c r="C19" s="36"/>
      <c r="D19" s="56"/>
      <c r="E19" s="213"/>
      <c r="F19" s="214"/>
      <c r="G19" s="199"/>
      <c r="H19" s="203"/>
      <c r="I19" s="204"/>
    </row>
    <row r="20" spans="1:9" s="28" customFormat="1" ht="23.45" customHeight="1" thickBot="1" x14ac:dyDescent="0.3">
      <c r="A20" s="55"/>
      <c r="B20" s="57"/>
      <c r="C20" s="57"/>
      <c r="D20" s="58"/>
      <c r="E20" s="213"/>
      <c r="F20" s="214"/>
      <c r="G20" s="200"/>
      <c r="H20" s="205"/>
      <c r="I20" s="206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5" t="s">
        <v>947</v>
      </c>
      <c r="B22" s="166"/>
      <c r="C22" s="166"/>
      <c r="D22" s="166"/>
      <c r="E22" s="166"/>
      <c r="F22" s="166"/>
      <c r="G22" s="166"/>
      <c r="H22" s="166"/>
      <c r="I22" s="167"/>
    </row>
    <row r="23" spans="1:9" s="28" customFormat="1" ht="37.5" customHeight="1" x14ac:dyDescent="0.25">
      <c r="A23" s="165" t="s">
        <v>948</v>
      </c>
      <c r="B23" s="166"/>
      <c r="C23" s="166"/>
      <c r="D23" s="166"/>
      <c r="E23" s="166"/>
      <c r="F23" s="166"/>
      <c r="G23" s="166"/>
      <c r="H23" s="166"/>
      <c r="I23" s="167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3" t="s">
        <v>959</v>
      </c>
      <c r="B25" s="164"/>
      <c r="C25" s="38" t="s">
        <v>950</v>
      </c>
      <c r="D25" s="164" t="s">
        <v>951</v>
      </c>
      <c r="E25" s="164"/>
      <c r="F25" s="164" t="s">
        <v>952</v>
      </c>
      <c r="G25" s="164"/>
      <c r="H25" s="164"/>
      <c r="I25" s="168"/>
    </row>
    <row r="26" spans="1:9" s="28" customFormat="1" ht="7.5" customHeight="1" x14ac:dyDescent="0.25">
      <c r="A26" s="161"/>
      <c r="B26" s="162"/>
      <c r="C26" s="39"/>
      <c r="D26" s="40"/>
      <c r="E26" s="41"/>
      <c r="F26" s="26"/>
      <c r="I26" s="42"/>
    </row>
    <row r="27" spans="1:9" s="61" customFormat="1" ht="36.75" customHeight="1" x14ac:dyDescent="0.25">
      <c r="A27" s="150" t="s">
        <v>987</v>
      </c>
      <c r="B27" s="151"/>
      <c r="C27" s="60" t="s">
        <v>965</v>
      </c>
      <c r="D27" s="148">
        <f>'RELACION DE COMPROBANTES'!H30</f>
        <v>0</v>
      </c>
      <c r="E27" s="149"/>
      <c r="F27" s="152" t="s">
        <v>966</v>
      </c>
      <c r="G27" s="153"/>
      <c r="H27" s="153"/>
      <c r="I27" s="154"/>
    </row>
    <row r="28" spans="1:9" s="61" customFormat="1" ht="36.75" customHeight="1" x14ac:dyDescent="0.25">
      <c r="A28" s="150"/>
      <c r="B28" s="151"/>
      <c r="C28" s="60"/>
      <c r="D28" s="148"/>
      <c r="E28" s="149"/>
      <c r="F28" s="155"/>
      <c r="G28" s="156"/>
      <c r="H28" s="156"/>
      <c r="I28" s="157"/>
    </row>
    <row r="29" spans="1:9" s="61" customFormat="1" ht="36.75" customHeight="1" x14ac:dyDescent="0.25">
      <c r="A29" s="146"/>
      <c r="B29" s="147"/>
      <c r="C29" s="62"/>
      <c r="D29" s="148"/>
      <c r="E29" s="149"/>
      <c r="F29" s="158" t="s">
        <v>967</v>
      </c>
      <c r="G29" s="159"/>
      <c r="H29" s="159"/>
      <c r="I29" s="160"/>
    </row>
    <row r="30" spans="1:9" s="61" customFormat="1" ht="36.75" customHeight="1" x14ac:dyDescent="0.25">
      <c r="A30" s="146"/>
      <c r="B30" s="147"/>
      <c r="C30" s="60"/>
      <c r="D30" s="148"/>
      <c r="E30" s="149"/>
      <c r="F30" s="155"/>
      <c r="G30" s="156"/>
      <c r="H30" s="156"/>
      <c r="I30" s="157"/>
    </row>
    <row r="31" spans="1:9" s="61" customFormat="1" ht="36.75" customHeight="1" x14ac:dyDescent="0.25">
      <c r="A31" s="146"/>
      <c r="B31" s="147"/>
      <c r="C31" s="62"/>
      <c r="D31" s="148"/>
      <c r="E31" s="149"/>
      <c r="F31" s="158" t="s">
        <v>968</v>
      </c>
      <c r="G31" s="159"/>
      <c r="H31" s="159"/>
      <c r="I31" s="160"/>
    </row>
    <row r="32" spans="1:9" s="61" customFormat="1" ht="36.75" customHeight="1" x14ac:dyDescent="0.25">
      <c r="A32" s="146"/>
      <c r="B32" s="147"/>
      <c r="C32" s="60"/>
      <c r="D32" s="148"/>
      <c r="E32" s="149"/>
      <c r="F32" s="258"/>
      <c r="G32" s="259"/>
      <c r="H32" s="259"/>
      <c r="I32" s="260"/>
    </row>
    <row r="33" spans="1:10" s="61" customFormat="1" ht="36.75" customHeight="1" x14ac:dyDescent="0.25">
      <c r="A33" s="146"/>
      <c r="B33" s="147"/>
      <c r="C33" s="60"/>
      <c r="D33" s="148"/>
      <c r="E33" s="149"/>
      <c r="F33" s="258"/>
      <c r="G33" s="259"/>
      <c r="H33" s="259"/>
      <c r="I33" s="260"/>
    </row>
    <row r="34" spans="1:10" s="61" customFormat="1" ht="36.75" customHeight="1" x14ac:dyDescent="0.25">
      <c r="A34" s="146"/>
      <c r="B34" s="147"/>
      <c r="C34" s="62"/>
      <c r="D34" s="148"/>
      <c r="E34" s="149"/>
      <c r="F34" s="158" t="s">
        <v>969</v>
      </c>
      <c r="G34" s="159"/>
      <c r="H34" s="159"/>
      <c r="I34" s="160"/>
    </row>
    <row r="35" spans="1:10" s="61" customFormat="1" ht="36.75" customHeight="1" x14ac:dyDescent="0.25">
      <c r="A35" s="146"/>
      <c r="B35" s="147"/>
      <c r="C35" s="62"/>
      <c r="D35" s="148"/>
      <c r="E35" s="149"/>
      <c r="F35" s="258"/>
      <c r="G35" s="259"/>
      <c r="H35" s="259"/>
      <c r="I35" s="260"/>
    </row>
    <row r="36" spans="1:10" s="61" customFormat="1" ht="36.75" customHeight="1" x14ac:dyDescent="0.25">
      <c r="A36" s="146"/>
      <c r="B36" s="147"/>
      <c r="C36" s="62"/>
      <c r="D36" s="148"/>
      <c r="E36" s="149"/>
      <c r="F36" s="258"/>
      <c r="G36" s="259"/>
      <c r="H36" s="259"/>
      <c r="I36" s="260"/>
    </row>
    <row r="37" spans="1:10" s="61" customFormat="1" ht="36.75" customHeight="1" x14ac:dyDescent="0.25">
      <c r="A37" s="146"/>
      <c r="B37" s="147"/>
      <c r="C37" s="62"/>
      <c r="D37" s="148"/>
      <c r="E37" s="149"/>
      <c r="F37" s="258"/>
      <c r="G37" s="259"/>
      <c r="H37" s="259"/>
      <c r="I37" s="260"/>
    </row>
    <row r="38" spans="1:10" s="61" customFormat="1" ht="36.75" customHeight="1" x14ac:dyDescent="0.25">
      <c r="A38" s="146"/>
      <c r="B38" s="147"/>
      <c r="C38" s="62"/>
      <c r="D38" s="148"/>
      <c r="E38" s="149"/>
      <c r="F38" s="158" t="s">
        <v>970</v>
      </c>
      <c r="G38" s="159"/>
      <c r="H38" s="159"/>
      <c r="I38" s="160"/>
    </row>
    <row r="39" spans="1:10" s="61" customFormat="1" ht="36.75" customHeight="1" x14ac:dyDescent="0.25">
      <c r="A39" s="146"/>
      <c r="B39" s="147"/>
      <c r="C39" s="60"/>
      <c r="D39" s="148"/>
      <c r="E39" s="149"/>
      <c r="F39" s="299"/>
      <c r="G39" s="300"/>
      <c r="H39" s="300"/>
      <c r="I39" s="301"/>
    </row>
    <row r="40" spans="1:10" s="61" customFormat="1" ht="36.75" customHeight="1" x14ac:dyDescent="0.25">
      <c r="A40" s="146"/>
      <c r="B40" s="147"/>
      <c r="C40" s="60"/>
      <c r="D40" s="148"/>
      <c r="E40" s="149"/>
      <c r="F40" s="299"/>
      <c r="G40" s="300"/>
      <c r="H40" s="300"/>
      <c r="I40" s="301"/>
    </row>
    <row r="41" spans="1:10" s="61" customFormat="1" ht="36.75" customHeight="1" x14ac:dyDescent="0.25">
      <c r="A41" s="146"/>
      <c r="B41" s="147"/>
      <c r="C41" s="60"/>
      <c r="D41" s="148"/>
      <c r="E41" s="149"/>
      <c r="F41" s="299"/>
      <c r="G41" s="300"/>
      <c r="H41" s="300"/>
      <c r="I41" s="301"/>
      <c r="J41" s="63"/>
    </row>
    <row r="42" spans="1:10" s="61" customFormat="1" ht="36.75" customHeight="1" x14ac:dyDescent="0.25">
      <c r="A42" s="146"/>
      <c r="B42" s="147"/>
      <c r="C42" s="60"/>
      <c r="D42" s="148"/>
      <c r="E42" s="149"/>
      <c r="F42" s="158" t="s">
        <v>971</v>
      </c>
      <c r="G42" s="159"/>
      <c r="H42" s="159"/>
      <c r="I42" s="160"/>
    </row>
    <row r="43" spans="1:10" s="61" customFormat="1" ht="36.75" customHeight="1" x14ac:dyDescent="0.25">
      <c r="A43" s="146"/>
      <c r="B43" s="147"/>
      <c r="C43" s="60"/>
      <c r="D43" s="148"/>
      <c r="E43" s="149"/>
      <c r="F43" s="276">
        <f>'RELACION DE COMPROBANTES'!H31</f>
        <v>0</v>
      </c>
      <c r="G43" s="278" t="str">
        <f>Apalabra(F43)</f>
        <v/>
      </c>
      <c r="H43" s="278"/>
      <c r="I43" s="279"/>
    </row>
    <row r="44" spans="1:10" s="61" customFormat="1" ht="36.75" customHeight="1" x14ac:dyDescent="0.25">
      <c r="A44" s="146"/>
      <c r="B44" s="147"/>
      <c r="C44" s="60"/>
      <c r="D44" s="148"/>
      <c r="E44" s="149"/>
      <c r="F44" s="276"/>
      <c r="G44" s="278"/>
      <c r="H44" s="278"/>
      <c r="I44" s="279"/>
    </row>
    <row r="45" spans="1:10" s="28" customFormat="1" ht="10.5" customHeight="1" thickBot="1" x14ac:dyDescent="0.3">
      <c r="A45" s="161"/>
      <c r="B45" s="162"/>
      <c r="C45" s="39"/>
      <c r="D45" s="282"/>
      <c r="E45" s="283"/>
      <c r="F45" s="277"/>
      <c r="G45" s="280"/>
      <c r="H45" s="280"/>
      <c r="I45" s="281"/>
    </row>
    <row r="46" spans="1:10" s="61" customFormat="1" ht="57" customHeight="1" thickTop="1" x14ac:dyDescent="0.25">
      <c r="A46" s="215" t="s">
        <v>972</v>
      </c>
      <c r="B46" s="216"/>
      <c r="C46" s="217"/>
      <c r="D46" s="218">
        <f>D27</f>
        <v>0</v>
      </c>
      <c r="E46" s="219"/>
      <c r="F46" s="220" t="str">
        <f>Apalabra(D46)</f>
        <v/>
      </c>
      <c r="G46" s="221"/>
      <c r="H46" s="221"/>
      <c r="I46" s="222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3" t="s">
        <v>973</v>
      </c>
      <c r="B48" s="224"/>
      <c r="C48" s="224"/>
      <c r="D48" s="224"/>
      <c r="E48" s="225" t="s">
        <v>953</v>
      </c>
      <c r="F48" s="226"/>
      <c r="G48" s="227"/>
      <c r="H48" s="231" t="s">
        <v>954</v>
      </c>
      <c r="I48" s="232"/>
    </row>
    <row r="49" spans="1:9" s="28" customFormat="1" ht="24.75" customHeight="1" x14ac:dyDescent="0.25">
      <c r="A49" s="235" t="s">
        <v>888</v>
      </c>
      <c r="B49" s="236"/>
      <c r="C49" s="236"/>
      <c r="D49" s="236"/>
      <c r="E49" s="228"/>
      <c r="F49" s="229"/>
      <c r="G49" s="230"/>
      <c r="H49" s="233"/>
      <c r="I49" s="234"/>
    </row>
    <row r="50" spans="1:9" s="28" customFormat="1" ht="15" customHeight="1" x14ac:dyDescent="0.25">
      <c r="A50" s="233"/>
      <c r="B50" s="304"/>
      <c r="C50" s="304"/>
      <c r="D50" s="304"/>
      <c r="E50" s="228"/>
      <c r="F50" s="229"/>
      <c r="G50" s="230"/>
      <c r="H50" s="233"/>
      <c r="I50" s="234"/>
    </row>
    <row r="51" spans="1:9" s="28" customFormat="1" ht="15" customHeight="1" x14ac:dyDescent="0.25">
      <c r="A51" s="233"/>
      <c r="B51" s="304"/>
      <c r="C51" s="304"/>
      <c r="D51" s="304"/>
      <c r="E51" s="228"/>
      <c r="F51" s="229"/>
      <c r="G51" s="230"/>
      <c r="H51" s="233"/>
      <c r="I51" s="234"/>
    </row>
    <row r="52" spans="1:9" s="28" customFormat="1" ht="15" customHeight="1" x14ac:dyDescent="0.25">
      <c r="A52" s="233"/>
      <c r="B52" s="304"/>
      <c r="C52" s="304"/>
      <c r="D52" s="304"/>
      <c r="E52" s="228"/>
      <c r="F52" s="229"/>
      <c r="G52" s="230"/>
      <c r="H52" s="233"/>
      <c r="I52" s="234"/>
    </row>
    <row r="53" spans="1:9" s="28" customFormat="1" ht="15" customHeight="1" x14ac:dyDescent="0.25">
      <c r="A53" s="233"/>
      <c r="B53" s="304"/>
      <c r="C53" s="304"/>
      <c r="D53" s="304"/>
      <c r="E53" s="228"/>
      <c r="F53" s="229"/>
      <c r="G53" s="230"/>
      <c r="H53" s="233"/>
      <c r="I53" s="234"/>
    </row>
    <row r="54" spans="1:9" s="28" customFormat="1" ht="24" customHeight="1" x14ac:dyDescent="0.25">
      <c r="A54" s="233"/>
      <c r="B54" s="304"/>
      <c r="C54" s="304"/>
      <c r="D54" s="304"/>
      <c r="E54" s="228"/>
      <c r="F54" s="229"/>
      <c r="G54" s="230"/>
      <c r="H54" s="233"/>
      <c r="I54" s="234"/>
    </row>
    <row r="55" spans="1:9" s="28" customFormat="1" ht="53.25" customHeight="1" x14ac:dyDescent="0.25">
      <c r="A55" s="237" t="s">
        <v>887</v>
      </c>
      <c r="B55" s="238"/>
      <c r="C55" s="238"/>
      <c r="D55" s="239"/>
      <c r="E55" s="243"/>
      <c r="F55" s="244"/>
      <c r="G55" s="245"/>
      <c r="H55" s="249"/>
      <c r="I55" s="250"/>
    </row>
    <row r="56" spans="1:9" s="28" customFormat="1" ht="41.25" customHeight="1" x14ac:dyDescent="0.25">
      <c r="A56" s="240"/>
      <c r="B56" s="241"/>
      <c r="C56" s="241"/>
      <c r="D56" s="242"/>
      <c r="E56" s="246"/>
      <c r="F56" s="247"/>
      <c r="G56" s="248"/>
      <c r="H56" s="251"/>
      <c r="I56" s="252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53"/>
      <c r="B58" s="254"/>
      <c r="C58" s="254"/>
      <c r="D58" s="255"/>
      <c r="E58" s="254"/>
      <c r="F58" s="254"/>
      <c r="G58" s="254"/>
      <c r="H58" s="285" t="s">
        <v>954</v>
      </c>
      <c r="I58" s="286"/>
    </row>
    <row r="59" spans="1:9" s="28" customFormat="1" ht="78" customHeight="1" x14ac:dyDescent="0.25">
      <c r="A59" s="287"/>
      <c r="B59" s="288"/>
      <c r="C59" s="288"/>
      <c r="D59" s="289"/>
      <c r="E59" s="236"/>
      <c r="F59" s="236"/>
      <c r="G59" s="236"/>
      <c r="H59" s="302"/>
      <c r="I59" s="303"/>
    </row>
    <row r="60" spans="1:9" s="28" customFormat="1" ht="67.5" customHeight="1" x14ac:dyDescent="0.25">
      <c r="A60" s="287"/>
      <c r="B60" s="288"/>
      <c r="C60" s="288"/>
      <c r="D60" s="289"/>
      <c r="E60" s="284"/>
      <c r="F60" s="284"/>
      <c r="G60" s="284"/>
      <c r="H60" s="256"/>
      <c r="I60" s="257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5" t="s">
        <v>955</v>
      </c>
      <c r="B62" s="216"/>
      <c r="C62" s="216"/>
      <c r="D62" s="216"/>
      <c r="E62" s="216"/>
      <c r="F62" s="216"/>
      <c r="G62" s="216"/>
      <c r="H62" s="216"/>
      <c r="I62" s="290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291" t="s">
        <v>956</v>
      </c>
      <c r="B64" s="292"/>
      <c r="C64" s="292"/>
      <c r="D64" s="293"/>
      <c r="E64" s="296" t="s">
        <v>957</v>
      </c>
      <c r="F64" s="292"/>
      <c r="G64" s="292"/>
      <c r="H64" s="292"/>
      <c r="I64" s="297"/>
    </row>
    <row r="65" spans="1:9" s="28" customFormat="1" ht="54" customHeight="1" x14ac:dyDescent="0.25">
      <c r="A65" s="294"/>
      <c r="B65" s="280"/>
      <c r="C65" s="280"/>
      <c r="D65" s="295"/>
      <c r="E65" s="298"/>
      <c r="F65" s="280"/>
      <c r="G65" s="280"/>
      <c r="H65" s="280"/>
      <c r="I65" s="281"/>
    </row>
    <row r="66" spans="1:9" s="28" customFormat="1" ht="45" customHeight="1" x14ac:dyDescent="0.25">
      <c r="A66" s="261"/>
      <c r="B66" s="262"/>
      <c r="C66" s="262"/>
      <c r="D66" s="263"/>
      <c r="E66" s="253"/>
      <c r="F66" s="254"/>
      <c r="G66" s="254"/>
      <c r="H66" s="254"/>
      <c r="I66" s="270"/>
    </row>
    <row r="67" spans="1:9" ht="87.75" customHeight="1" x14ac:dyDescent="0.3">
      <c r="A67" s="264"/>
      <c r="B67" s="265"/>
      <c r="C67" s="265"/>
      <c r="D67" s="266"/>
      <c r="E67" s="271"/>
      <c r="F67" s="236"/>
      <c r="G67" s="236"/>
      <c r="H67" s="236"/>
      <c r="I67" s="272"/>
    </row>
    <row r="68" spans="1:9" x14ac:dyDescent="0.3">
      <c r="A68" s="264"/>
      <c r="B68" s="265"/>
      <c r="C68" s="265"/>
      <c r="D68" s="266"/>
      <c r="E68" s="271"/>
      <c r="F68" s="236"/>
      <c r="G68" s="236"/>
      <c r="H68" s="236"/>
      <c r="I68" s="272"/>
    </row>
    <row r="69" spans="1:9" ht="19.5" thickBot="1" x14ac:dyDescent="0.35">
      <c r="A69" s="267"/>
      <c r="B69" s="268"/>
      <c r="C69" s="268"/>
      <c r="D69" s="269"/>
      <c r="E69" s="273"/>
      <c r="F69" s="274"/>
      <c r="G69" s="274"/>
      <c r="H69" s="274"/>
      <c r="I69" s="275"/>
    </row>
  </sheetData>
  <sheetProtection formatCells="0" formatColumns="0" formatRows="0" insertColumns="0" insertRows="0" deleteColumns="0" deleteRows="0" sort="0" autoFilter="0" pivotTables="0"/>
  <dataConsolidate/>
  <mergeCells count="99"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5:D56"/>
    <mergeCell ref="E55:G56"/>
    <mergeCell ref="H55:I56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11" priority="4">
      <formula>ISERROR(F30)</formula>
    </cfRule>
  </conditionalFormatting>
  <conditionalFormatting sqref="H60:I60">
    <cfRule type="containsErrors" dxfId="10" priority="3">
      <formula>ISERROR(H60)</formula>
    </cfRule>
  </conditionalFormatting>
  <conditionalFormatting sqref="H58:I58">
    <cfRule type="containsErrors" dxfId="9" priority="2">
      <formula>ISERROR(H58)</formula>
    </cfRule>
  </conditionalFormatting>
  <conditionalFormatting sqref="H55:I56">
    <cfRule type="containsErrors" dxfId="8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workbookViewId="0">
      <selection activeCell="D6" sqref="D6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5" t="s">
        <v>987</v>
      </c>
      <c r="B1" s="306"/>
      <c r="C1" s="306"/>
      <c r="D1" s="306"/>
      <c r="E1" s="306"/>
      <c r="F1" s="306"/>
      <c r="G1" s="306"/>
      <c r="H1" s="307"/>
    </row>
    <row r="2" spans="1:8" ht="16.5" thickBot="1" x14ac:dyDescent="0.3">
      <c r="A2" s="73" t="s">
        <v>975</v>
      </c>
      <c r="B2" s="308"/>
      <c r="C2" s="309"/>
      <c r="D2" s="309"/>
      <c r="E2" s="309"/>
      <c r="F2" s="310"/>
      <c r="G2" s="311" t="s">
        <v>976</v>
      </c>
      <c r="H2" s="312"/>
    </row>
    <row r="3" spans="1:8" ht="16.5" thickBot="1" x14ac:dyDescent="0.3">
      <c r="A3" s="74" t="s">
        <v>977</v>
      </c>
      <c r="B3" s="308"/>
      <c r="C3" s="309"/>
      <c r="D3" s="309"/>
      <c r="E3" s="309"/>
      <c r="F3" s="310"/>
      <c r="G3" s="313"/>
      <c r="H3" s="314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978</v>
      </c>
      <c r="B5" s="76" t="s">
        <v>979</v>
      </c>
      <c r="C5" s="76" t="s">
        <v>980</v>
      </c>
      <c r="D5" s="140" t="s">
        <v>949</v>
      </c>
      <c r="E5" s="134" t="s">
        <v>38</v>
      </c>
      <c r="F5" s="76" t="s">
        <v>981</v>
      </c>
      <c r="G5" s="76" t="s">
        <v>982</v>
      </c>
      <c r="H5" s="79" t="s">
        <v>983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984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985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986</v>
      </c>
      <c r="H33" s="96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66C39B-984F-45E9-A1FE-5274ACF74344}">
          <x14:formula1>
            <xm:f>proyecto!$I$1:$I$91</xm:f>
          </x14:formula1>
          <xm:sqref>D6:D29</xm:sqref>
        </x14:dataValidation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E19" sqref="E19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988</v>
      </c>
      <c r="D3" s="315"/>
      <c r="E3" s="316"/>
      <c r="F3" s="107"/>
      <c r="G3" s="107"/>
    </row>
    <row r="4" spans="1:7" s="108" customFormat="1" ht="23.25" x14ac:dyDescent="0.25">
      <c r="A4" s="102"/>
      <c r="B4" s="102"/>
      <c r="C4" s="110" t="s">
        <v>989</v>
      </c>
      <c r="D4" s="315"/>
      <c r="E4" s="316"/>
      <c r="F4" s="107"/>
      <c r="G4" s="107"/>
    </row>
    <row r="5" spans="1:7" s="108" customFormat="1" ht="23.25" x14ac:dyDescent="0.25">
      <c r="A5" s="102"/>
      <c r="B5" s="102"/>
      <c r="C5" s="109" t="s">
        <v>990</v>
      </c>
      <c r="D5" s="315"/>
      <c r="E5" s="316"/>
      <c r="F5" s="107"/>
      <c r="G5" s="107"/>
    </row>
    <row r="6" spans="1:7" s="108" customFormat="1" ht="40.5" x14ac:dyDescent="0.25">
      <c r="A6" s="102"/>
      <c r="B6" s="102"/>
      <c r="C6" s="111" t="s">
        <v>991</v>
      </c>
      <c r="D6" s="321"/>
      <c r="E6" s="322"/>
      <c r="F6" s="107"/>
      <c r="G6" s="107"/>
    </row>
    <row r="7" spans="1:7" s="108" customFormat="1" ht="23.25" x14ac:dyDescent="0.25">
      <c r="A7" s="102"/>
      <c r="B7" s="102"/>
      <c r="C7" s="109" t="s">
        <v>992</v>
      </c>
      <c r="D7" s="321"/>
      <c r="E7" s="322"/>
      <c r="F7" s="107"/>
      <c r="G7" s="107"/>
    </row>
    <row r="8" spans="1:7" s="108" customFormat="1" ht="28.5" x14ac:dyDescent="0.25">
      <c r="A8" s="102"/>
      <c r="B8" s="102"/>
      <c r="C8" s="112" t="s">
        <v>993</v>
      </c>
      <c r="D8" s="323"/>
      <c r="E8" s="324"/>
      <c r="F8" s="107"/>
      <c r="G8" s="107"/>
    </row>
    <row r="9" spans="1:7" s="108" customFormat="1" ht="23.25" x14ac:dyDescent="0.25">
      <c r="A9" s="102"/>
      <c r="B9" s="102"/>
      <c r="C9" s="109" t="s">
        <v>994</v>
      </c>
      <c r="D9" s="315"/>
      <c r="E9" s="316"/>
      <c r="F9" s="107"/>
      <c r="G9" s="107"/>
    </row>
    <row r="10" spans="1:7" s="108" customFormat="1" ht="23.25" x14ac:dyDescent="0.25">
      <c r="A10" s="102"/>
      <c r="B10" s="102"/>
      <c r="C10" s="109" t="s">
        <v>995</v>
      </c>
      <c r="D10" s="317"/>
      <c r="E10" s="318"/>
      <c r="F10" s="107"/>
      <c r="G10" s="107"/>
    </row>
    <row r="11" spans="1:7" s="108" customFormat="1" ht="26.25" x14ac:dyDescent="0.25">
      <c r="A11" s="102"/>
      <c r="B11" s="102"/>
      <c r="C11" s="109" t="s">
        <v>996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997</v>
      </c>
      <c r="D12" s="319"/>
      <c r="E12" s="320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7" priority="3">
      <formula>ISERROR(D4)</formula>
    </cfRule>
  </conditionalFormatting>
  <conditionalFormatting sqref="D5:E5">
    <cfRule type="containsErrors" dxfId="6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5" t="s">
        <v>5</v>
      </c>
      <c r="F1" s="326"/>
      <c r="G1" s="327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16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tabSelected="1"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2"/>
      <c r="F2" s="332"/>
    </row>
    <row r="4" spans="1:6" ht="18.75" x14ac:dyDescent="0.3">
      <c r="C4" s="333"/>
      <c r="D4" s="333"/>
      <c r="E4" s="333"/>
    </row>
    <row r="6" spans="1:6" ht="18" x14ac:dyDescent="0.25">
      <c r="A6" s="123" t="s">
        <v>998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999</v>
      </c>
      <c r="B9" s="334" t="s">
        <v>1000</v>
      </c>
      <c r="C9" s="334"/>
      <c r="D9" s="334"/>
      <c r="E9" s="334"/>
      <c r="F9" s="334"/>
    </row>
    <row r="10" spans="1:6" ht="18.75" x14ac:dyDescent="0.3">
      <c r="A10" s="335" t="s">
        <v>1001</v>
      </c>
      <c r="B10" s="333"/>
      <c r="C10" s="333"/>
      <c r="D10" s="333"/>
      <c r="E10" s="333"/>
      <c r="F10" s="336"/>
    </row>
    <row r="11" spans="1:6" x14ac:dyDescent="0.25">
      <c r="A11" s="337" t="s">
        <v>1002</v>
      </c>
      <c r="B11" s="338"/>
      <c r="C11" s="341" t="s">
        <v>6</v>
      </c>
      <c r="D11" s="343" t="s">
        <v>1003</v>
      </c>
      <c r="E11" s="345" t="s">
        <v>1004</v>
      </c>
      <c r="F11" s="346"/>
    </row>
    <row r="12" spans="1:6" x14ac:dyDescent="0.25">
      <c r="A12" s="339"/>
      <c r="B12" s="340"/>
      <c r="C12" s="342"/>
      <c r="D12" s="344"/>
      <c r="E12" s="347"/>
      <c r="F12" s="348"/>
    </row>
    <row r="13" spans="1:6" x14ac:dyDescent="0.25">
      <c r="A13" s="349"/>
      <c r="B13" s="349"/>
      <c r="C13" s="125"/>
      <c r="D13" s="126"/>
      <c r="E13" s="330"/>
      <c r="F13" s="331"/>
    </row>
    <row r="14" spans="1:6" x14ac:dyDescent="0.25">
      <c r="A14" s="328"/>
      <c r="B14" s="329"/>
      <c r="C14" s="125"/>
      <c r="D14" s="126"/>
      <c r="E14" s="330"/>
      <c r="F14" s="331"/>
    </row>
    <row r="15" spans="1:6" x14ac:dyDescent="0.25">
      <c r="A15" s="328"/>
      <c r="B15" s="329"/>
      <c r="C15" s="125"/>
      <c r="D15" s="126"/>
      <c r="E15" s="330"/>
      <c r="F15" s="331"/>
    </row>
    <row r="16" spans="1:6" x14ac:dyDescent="0.25">
      <c r="A16" s="328"/>
      <c r="B16" s="329"/>
      <c r="C16" s="125"/>
      <c r="D16" s="126"/>
      <c r="E16" s="330"/>
      <c r="F16" s="331"/>
    </row>
    <row r="17" spans="1:6" x14ac:dyDescent="0.25">
      <c r="A17" s="349"/>
      <c r="B17" s="349"/>
      <c r="C17" s="125"/>
      <c r="D17" s="126"/>
      <c r="E17" s="330"/>
      <c r="F17" s="331"/>
    </row>
    <row r="18" spans="1:6" x14ac:dyDescent="0.25">
      <c r="A18" s="349"/>
      <c r="B18" s="349"/>
      <c r="C18" s="125"/>
      <c r="D18" s="126"/>
      <c r="E18" s="330"/>
      <c r="F18" s="331"/>
    </row>
    <row r="19" spans="1:6" x14ac:dyDescent="0.25">
      <c r="A19" s="349"/>
      <c r="B19" s="349"/>
      <c r="C19" s="125"/>
      <c r="D19" s="126"/>
      <c r="E19" s="330"/>
      <c r="F19" s="331"/>
    </row>
    <row r="20" spans="1:6" x14ac:dyDescent="0.25">
      <c r="E20" s="127" t="s">
        <v>1005</v>
      </c>
      <c r="F20" s="128">
        <f>SUM(D13:D19)</f>
        <v>0</v>
      </c>
    </row>
    <row r="21" spans="1:6" ht="26.25" x14ac:dyDescent="0.25">
      <c r="A21" s="129" t="s">
        <v>1006</v>
      </c>
      <c r="B21" s="350" t="str">
        <f>Apalabra(F20)</f>
        <v/>
      </c>
      <c r="C21" s="350"/>
      <c r="D21" s="350"/>
      <c r="E21" s="350"/>
      <c r="F21" s="350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51"/>
      <c r="B25" s="352"/>
      <c r="C25" s="352"/>
      <c r="D25" s="352"/>
      <c r="E25" s="352"/>
      <c r="F25" s="353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4" priority="3">
      <formula>ISERROR(D4)</formula>
    </cfRule>
  </conditionalFormatting>
  <conditionalFormatting sqref="D5:E5">
    <cfRule type="containsErrors" dxfId="3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220" workbookViewId="0">
      <selection activeCell="I1" sqref="I1:I91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4" t="s">
        <v>889</v>
      </c>
      <c r="I1" t="s">
        <v>889</v>
      </c>
    </row>
    <row r="2" spans="1:10" x14ac:dyDescent="0.25">
      <c r="A2">
        <v>1130</v>
      </c>
      <c r="I2" t="s">
        <v>1008</v>
      </c>
      <c r="J2">
        <v>2100</v>
      </c>
    </row>
    <row r="3" spans="1:10" x14ac:dyDescent="0.25">
      <c r="A3">
        <v>1310</v>
      </c>
      <c r="I3" t="s">
        <v>1009</v>
      </c>
      <c r="J3">
        <v>2110</v>
      </c>
    </row>
    <row r="4" spans="1:10" x14ac:dyDescent="0.25">
      <c r="A4">
        <v>1320</v>
      </c>
      <c r="I4" t="s">
        <v>890</v>
      </c>
      <c r="J4">
        <v>2120</v>
      </c>
    </row>
    <row r="5" spans="1:10" x14ac:dyDescent="0.25">
      <c r="A5">
        <v>1340</v>
      </c>
      <c r="I5" t="s">
        <v>1010</v>
      </c>
      <c r="J5">
        <v>2130</v>
      </c>
    </row>
    <row r="6" spans="1:10" x14ac:dyDescent="0.25">
      <c r="A6">
        <v>1410</v>
      </c>
      <c r="I6" t="s">
        <v>1011</v>
      </c>
      <c r="J6">
        <v>2140</v>
      </c>
    </row>
    <row r="7" spans="1:10" x14ac:dyDescent="0.25">
      <c r="A7">
        <v>1440</v>
      </c>
      <c r="I7" t="s">
        <v>1012</v>
      </c>
      <c r="J7">
        <v>2150</v>
      </c>
    </row>
    <row r="8" spans="1:10" x14ac:dyDescent="0.25">
      <c r="A8">
        <v>1540</v>
      </c>
      <c r="I8" t="s">
        <v>1013</v>
      </c>
      <c r="J8">
        <v>2160</v>
      </c>
    </row>
    <row r="9" spans="1:10" x14ac:dyDescent="0.25">
      <c r="A9">
        <v>1550</v>
      </c>
      <c r="I9" t="s">
        <v>1014</v>
      </c>
      <c r="J9">
        <v>2180</v>
      </c>
    </row>
    <row r="10" spans="1:10" x14ac:dyDescent="0.25">
      <c r="A10">
        <v>1590</v>
      </c>
      <c r="I10" t="s">
        <v>1015</v>
      </c>
      <c r="J10">
        <v>2200</v>
      </c>
    </row>
    <row r="11" spans="1:10" x14ac:dyDescent="0.25">
      <c r="A11">
        <v>1710</v>
      </c>
      <c r="I11" t="s">
        <v>1016</v>
      </c>
      <c r="J11">
        <v>2210</v>
      </c>
    </row>
    <row r="12" spans="1:10" x14ac:dyDescent="0.25">
      <c r="A12">
        <v>2210</v>
      </c>
      <c r="I12" t="s">
        <v>1017</v>
      </c>
      <c r="J12">
        <v>2220</v>
      </c>
    </row>
    <row r="13" spans="1:10" x14ac:dyDescent="0.25">
      <c r="A13">
        <v>2610</v>
      </c>
      <c r="I13" t="s">
        <v>1018</v>
      </c>
      <c r="J13">
        <v>2230</v>
      </c>
    </row>
    <row r="14" spans="1:10" x14ac:dyDescent="0.25">
      <c r="A14" s="145">
        <v>2940</v>
      </c>
      <c r="I14" t="s">
        <v>1019</v>
      </c>
      <c r="J14">
        <v>2300</v>
      </c>
    </row>
    <row r="15" spans="1:10" x14ac:dyDescent="0.25">
      <c r="A15">
        <v>3450</v>
      </c>
      <c r="I15" t="s">
        <v>1020</v>
      </c>
      <c r="J15">
        <v>2310</v>
      </c>
    </row>
    <row r="16" spans="1:10" x14ac:dyDescent="0.25">
      <c r="A16">
        <v>3510</v>
      </c>
      <c r="I16" t="s">
        <v>1021</v>
      </c>
      <c r="J16">
        <v>2320</v>
      </c>
    </row>
    <row r="17" spans="1:10" x14ac:dyDescent="0.25">
      <c r="A17">
        <v>3530</v>
      </c>
      <c r="I17" t="s">
        <v>1022</v>
      </c>
      <c r="J17">
        <v>2330</v>
      </c>
    </row>
    <row r="18" spans="1:10" x14ac:dyDescent="0.25">
      <c r="A18">
        <v>3550</v>
      </c>
      <c r="I18" t="s">
        <v>1023</v>
      </c>
      <c r="J18">
        <v>2340</v>
      </c>
    </row>
    <row r="19" spans="1:10" x14ac:dyDescent="0.25">
      <c r="A19">
        <v>3570</v>
      </c>
      <c r="I19" t="s">
        <v>1024</v>
      </c>
      <c r="J19">
        <v>2350</v>
      </c>
    </row>
    <row r="20" spans="1:10" x14ac:dyDescent="0.25">
      <c r="A20">
        <v>3720</v>
      </c>
      <c r="I20" t="s">
        <v>1025</v>
      </c>
      <c r="J20">
        <v>2360</v>
      </c>
    </row>
    <row r="21" spans="1:10" x14ac:dyDescent="0.25">
      <c r="A21">
        <v>3750</v>
      </c>
      <c r="I21" t="s">
        <v>1026</v>
      </c>
      <c r="J21">
        <v>2370</v>
      </c>
    </row>
    <row r="22" spans="1:10" x14ac:dyDescent="0.25">
      <c r="A22">
        <v>3790</v>
      </c>
      <c r="I22" t="s">
        <v>1027</v>
      </c>
      <c r="J22">
        <v>2380</v>
      </c>
    </row>
    <row r="23" spans="1:10" x14ac:dyDescent="0.25">
      <c r="A23">
        <v>3850</v>
      </c>
      <c r="I23" t="s">
        <v>1028</v>
      </c>
      <c r="J23">
        <v>2390</v>
      </c>
    </row>
    <row r="24" spans="1:10" x14ac:dyDescent="0.25">
      <c r="A24">
        <v>3980</v>
      </c>
      <c r="I24" t="s">
        <v>1029</v>
      </c>
      <c r="J24">
        <v>2400</v>
      </c>
    </row>
    <row r="25" spans="1:10" x14ac:dyDescent="0.25">
      <c r="I25" t="s">
        <v>1030</v>
      </c>
      <c r="J25">
        <v>2410</v>
      </c>
    </row>
    <row r="26" spans="1:10" x14ac:dyDescent="0.25">
      <c r="A26" s="144" t="s">
        <v>913</v>
      </c>
      <c r="I26" t="s">
        <v>1031</v>
      </c>
      <c r="J26">
        <v>2420</v>
      </c>
    </row>
    <row r="27" spans="1:10" x14ac:dyDescent="0.25">
      <c r="A27">
        <v>1130</v>
      </c>
      <c r="I27" t="s">
        <v>1032</v>
      </c>
      <c r="J27">
        <v>2430</v>
      </c>
    </row>
    <row r="28" spans="1:10" x14ac:dyDescent="0.25">
      <c r="A28">
        <v>1210</v>
      </c>
      <c r="I28" t="s">
        <v>1033</v>
      </c>
      <c r="J28">
        <v>2440</v>
      </c>
    </row>
    <row r="29" spans="1:10" x14ac:dyDescent="0.25">
      <c r="A29">
        <v>1310</v>
      </c>
      <c r="I29" t="s">
        <v>1034</v>
      </c>
      <c r="J29">
        <v>2450</v>
      </c>
    </row>
    <row r="30" spans="1:10" x14ac:dyDescent="0.25">
      <c r="A30">
        <v>1320</v>
      </c>
      <c r="I30" t="s">
        <v>1035</v>
      </c>
      <c r="J30">
        <v>2460</v>
      </c>
    </row>
    <row r="31" spans="1:10" x14ac:dyDescent="0.25">
      <c r="A31">
        <v>1340</v>
      </c>
      <c r="I31" t="s">
        <v>891</v>
      </c>
      <c r="J31">
        <v>2470</v>
      </c>
    </row>
    <row r="32" spans="1:10" x14ac:dyDescent="0.25">
      <c r="A32">
        <v>1410</v>
      </c>
      <c r="I32" t="s">
        <v>892</v>
      </c>
      <c r="J32">
        <v>2480</v>
      </c>
    </row>
    <row r="33" spans="1:10" x14ac:dyDescent="0.25">
      <c r="A33">
        <v>1440</v>
      </c>
      <c r="I33" t="s">
        <v>1036</v>
      </c>
      <c r="J33">
        <v>2490</v>
      </c>
    </row>
    <row r="34" spans="1:10" x14ac:dyDescent="0.25">
      <c r="A34">
        <v>1530</v>
      </c>
      <c r="I34" t="s">
        <v>1037</v>
      </c>
      <c r="J34">
        <v>2500</v>
      </c>
    </row>
    <row r="35" spans="1:10" x14ac:dyDescent="0.25">
      <c r="A35">
        <v>1540</v>
      </c>
      <c r="I35" t="s">
        <v>1038</v>
      </c>
      <c r="J35">
        <v>2510</v>
      </c>
    </row>
    <row r="36" spans="1:10" x14ac:dyDescent="0.25">
      <c r="A36">
        <v>1550</v>
      </c>
      <c r="I36" t="s">
        <v>893</v>
      </c>
      <c r="J36">
        <v>2520</v>
      </c>
    </row>
    <row r="37" spans="1:10" x14ac:dyDescent="0.25">
      <c r="A37">
        <v>1590</v>
      </c>
      <c r="I37" t="s">
        <v>1039</v>
      </c>
      <c r="J37">
        <v>2530</v>
      </c>
    </row>
    <row r="38" spans="1:10" x14ac:dyDescent="0.25">
      <c r="A38">
        <v>1710</v>
      </c>
      <c r="I38" t="s">
        <v>894</v>
      </c>
      <c r="J38">
        <v>2540</v>
      </c>
    </row>
    <row r="39" spans="1:10" x14ac:dyDescent="0.25">
      <c r="A39">
        <v>2210</v>
      </c>
      <c r="I39" t="s">
        <v>1040</v>
      </c>
      <c r="J39">
        <v>2550</v>
      </c>
    </row>
    <row r="40" spans="1:10" x14ac:dyDescent="0.25">
      <c r="A40">
        <v>2610</v>
      </c>
      <c r="I40" t="s">
        <v>895</v>
      </c>
      <c r="J40">
        <v>2560</v>
      </c>
    </row>
    <row r="41" spans="1:10" x14ac:dyDescent="0.25">
      <c r="A41" s="145">
        <v>2940</v>
      </c>
      <c r="I41" t="s">
        <v>1041</v>
      </c>
      <c r="J41">
        <v>2590</v>
      </c>
    </row>
    <row r="42" spans="1:10" x14ac:dyDescent="0.25">
      <c r="A42">
        <v>3360</v>
      </c>
      <c r="I42" t="s">
        <v>1042</v>
      </c>
      <c r="J42">
        <v>2600</v>
      </c>
    </row>
    <row r="43" spans="1:10" x14ac:dyDescent="0.25">
      <c r="A43">
        <v>3450</v>
      </c>
      <c r="I43" t="s">
        <v>896</v>
      </c>
      <c r="J43">
        <v>2610</v>
      </c>
    </row>
    <row r="44" spans="1:10" x14ac:dyDescent="0.25">
      <c r="A44">
        <v>3530</v>
      </c>
      <c r="I44" t="s">
        <v>1043</v>
      </c>
      <c r="J44">
        <v>2620</v>
      </c>
    </row>
    <row r="45" spans="1:10" x14ac:dyDescent="0.25">
      <c r="A45">
        <v>3550</v>
      </c>
      <c r="I45" t="s">
        <v>1044</v>
      </c>
      <c r="J45">
        <v>2700</v>
      </c>
    </row>
    <row r="46" spans="1:10" x14ac:dyDescent="0.25">
      <c r="A46">
        <v>3570</v>
      </c>
      <c r="I46" t="s">
        <v>1045</v>
      </c>
      <c r="J46">
        <v>2710</v>
      </c>
    </row>
    <row r="47" spans="1:10" x14ac:dyDescent="0.25">
      <c r="A47">
        <v>3612</v>
      </c>
      <c r="I47" t="s">
        <v>1046</v>
      </c>
      <c r="J47">
        <v>2720</v>
      </c>
    </row>
    <row r="48" spans="1:10" x14ac:dyDescent="0.25">
      <c r="A48">
        <v>3710</v>
      </c>
      <c r="I48" t="s">
        <v>1047</v>
      </c>
      <c r="J48">
        <v>2730</v>
      </c>
    </row>
    <row r="49" spans="1:10" x14ac:dyDescent="0.25">
      <c r="A49">
        <v>3720</v>
      </c>
      <c r="I49" t="s">
        <v>1048</v>
      </c>
      <c r="J49">
        <v>2740</v>
      </c>
    </row>
    <row r="50" spans="1:10" x14ac:dyDescent="0.25">
      <c r="A50">
        <v>3750</v>
      </c>
      <c r="I50" t="s">
        <v>897</v>
      </c>
      <c r="J50">
        <v>2750</v>
      </c>
    </row>
    <row r="51" spans="1:10" x14ac:dyDescent="0.25">
      <c r="A51">
        <v>3760</v>
      </c>
      <c r="I51" t="s">
        <v>898</v>
      </c>
      <c r="J51">
        <v>2800</v>
      </c>
    </row>
    <row r="52" spans="1:10" x14ac:dyDescent="0.25">
      <c r="A52">
        <v>3790</v>
      </c>
      <c r="I52" t="s">
        <v>899</v>
      </c>
      <c r="J52">
        <v>2810</v>
      </c>
    </row>
    <row r="53" spans="1:10" x14ac:dyDescent="0.25">
      <c r="A53">
        <v>3820</v>
      </c>
      <c r="I53" t="s">
        <v>1049</v>
      </c>
      <c r="J53">
        <v>2820</v>
      </c>
    </row>
    <row r="54" spans="1:10" x14ac:dyDescent="0.25">
      <c r="A54">
        <v>3850</v>
      </c>
      <c r="I54" t="s">
        <v>1050</v>
      </c>
      <c r="J54">
        <v>2830</v>
      </c>
    </row>
    <row r="55" spans="1:10" x14ac:dyDescent="0.25">
      <c r="A55">
        <v>3980</v>
      </c>
      <c r="I55" t="s">
        <v>900</v>
      </c>
      <c r="J55">
        <v>2900</v>
      </c>
    </row>
    <row r="56" spans="1:10" x14ac:dyDescent="0.25">
      <c r="I56" t="s">
        <v>901</v>
      </c>
      <c r="J56">
        <v>2910</v>
      </c>
    </row>
    <row r="57" spans="1:10" x14ac:dyDescent="0.25">
      <c r="A57" s="144" t="s">
        <v>914</v>
      </c>
      <c r="I57" t="s">
        <v>1051</v>
      </c>
      <c r="J57">
        <v>2920</v>
      </c>
    </row>
    <row r="58" spans="1:10" x14ac:dyDescent="0.25">
      <c r="A58">
        <v>1130</v>
      </c>
      <c r="I58" t="s">
        <v>902</v>
      </c>
      <c r="J58">
        <v>2930</v>
      </c>
    </row>
    <row r="59" spans="1:10" x14ac:dyDescent="0.25">
      <c r="A59">
        <v>1310</v>
      </c>
      <c r="I59" t="s">
        <v>903</v>
      </c>
      <c r="J59">
        <v>2940</v>
      </c>
    </row>
    <row r="60" spans="1:10" x14ac:dyDescent="0.25">
      <c r="A60">
        <v>1320</v>
      </c>
      <c r="I60" t="s">
        <v>904</v>
      </c>
      <c r="J60">
        <v>2950</v>
      </c>
    </row>
    <row r="61" spans="1:10" x14ac:dyDescent="0.25">
      <c r="A61">
        <v>1340</v>
      </c>
      <c r="I61" t="s">
        <v>905</v>
      </c>
      <c r="J61">
        <v>2960</v>
      </c>
    </row>
    <row r="62" spans="1:10" x14ac:dyDescent="0.25">
      <c r="A62">
        <v>1410</v>
      </c>
      <c r="I62" t="s">
        <v>1052</v>
      </c>
      <c r="J62">
        <v>2970</v>
      </c>
    </row>
    <row r="63" spans="1:10" x14ac:dyDescent="0.25">
      <c r="A63">
        <v>1440</v>
      </c>
      <c r="I63" t="s">
        <v>906</v>
      </c>
      <c r="J63">
        <v>2980</v>
      </c>
    </row>
    <row r="64" spans="1:10" x14ac:dyDescent="0.25">
      <c r="A64">
        <v>1540</v>
      </c>
      <c r="I64" t="s">
        <v>1053</v>
      </c>
      <c r="J64">
        <v>2990</v>
      </c>
    </row>
    <row r="65" spans="1:10" x14ac:dyDescent="0.25">
      <c r="A65">
        <v>1550</v>
      </c>
      <c r="I65" t="s">
        <v>1054</v>
      </c>
      <c r="J65">
        <v>3000</v>
      </c>
    </row>
    <row r="66" spans="1:10" x14ac:dyDescent="0.25">
      <c r="A66">
        <v>1590</v>
      </c>
      <c r="I66" t="s">
        <v>1055</v>
      </c>
      <c r="J66">
        <v>3100</v>
      </c>
    </row>
    <row r="67" spans="1:10" x14ac:dyDescent="0.25">
      <c r="A67">
        <v>1710</v>
      </c>
      <c r="I67" t="s">
        <v>1056</v>
      </c>
      <c r="J67">
        <v>3110</v>
      </c>
    </row>
    <row r="68" spans="1:10" x14ac:dyDescent="0.25">
      <c r="A68">
        <v>2140</v>
      </c>
      <c r="I68" t="s">
        <v>1057</v>
      </c>
      <c r="J68">
        <v>3120</v>
      </c>
    </row>
    <row r="69" spans="1:10" x14ac:dyDescent="0.25">
      <c r="A69">
        <v>2210</v>
      </c>
      <c r="I69" t="s">
        <v>907</v>
      </c>
      <c r="J69">
        <v>3130</v>
      </c>
    </row>
    <row r="70" spans="1:10" x14ac:dyDescent="0.25">
      <c r="A70">
        <v>2480</v>
      </c>
      <c r="I70" t="s">
        <v>1058</v>
      </c>
      <c r="J70">
        <v>3140</v>
      </c>
    </row>
    <row r="71" spans="1:10" x14ac:dyDescent="0.25">
      <c r="A71">
        <v>2490</v>
      </c>
      <c r="I71" t="s">
        <v>1059</v>
      </c>
      <c r="J71">
        <v>3150</v>
      </c>
    </row>
    <row r="72" spans="1:10" x14ac:dyDescent="0.25">
      <c r="A72">
        <v>2610</v>
      </c>
      <c r="I72" t="s">
        <v>1060</v>
      </c>
      <c r="J72">
        <v>3160</v>
      </c>
    </row>
    <row r="73" spans="1:10" x14ac:dyDescent="0.25">
      <c r="A73" s="145">
        <v>2940</v>
      </c>
      <c r="I73" t="s">
        <v>1061</v>
      </c>
      <c r="J73">
        <v>3170</v>
      </c>
    </row>
    <row r="74" spans="1:10" x14ac:dyDescent="0.25">
      <c r="A74">
        <v>3340</v>
      </c>
      <c r="I74" t="s">
        <v>908</v>
      </c>
      <c r="J74">
        <v>3180</v>
      </c>
    </row>
    <row r="75" spans="1:10" x14ac:dyDescent="0.25">
      <c r="A75">
        <v>3360</v>
      </c>
      <c r="I75" t="s">
        <v>1062</v>
      </c>
      <c r="J75">
        <v>3190</v>
      </c>
    </row>
    <row r="76" spans="1:10" x14ac:dyDescent="0.25">
      <c r="A76">
        <v>3450</v>
      </c>
      <c r="I76" t="s">
        <v>909</v>
      </c>
      <c r="J76">
        <v>3200</v>
      </c>
    </row>
    <row r="77" spans="1:10" x14ac:dyDescent="0.25">
      <c r="A77">
        <v>3530</v>
      </c>
      <c r="I77" t="s">
        <v>910</v>
      </c>
      <c r="J77">
        <v>3210</v>
      </c>
    </row>
    <row r="78" spans="1:10" x14ac:dyDescent="0.25">
      <c r="A78">
        <v>3550</v>
      </c>
      <c r="I78" t="s">
        <v>1063</v>
      </c>
      <c r="J78">
        <v>3220</v>
      </c>
    </row>
    <row r="79" spans="1:10" x14ac:dyDescent="0.25">
      <c r="A79">
        <v>3570</v>
      </c>
      <c r="I79" t="s">
        <v>911</v>
      </c>
      <c r="J79">
        <v>3230</v>
      </c>
    </row>
    <row r="80" spans="1:10" x14ac:dyDescent="0.25">
      <c r="A80">
        <v>3580</v>
      </c>
      <c r="I80" t="s">
        <v>912</v>
      </c>
      <c r="J80">
        <v>3240</v>
      </c>
    </row>
    <row r="81" spans="1:10" x14ac:dyDescent="0.25">
      <c r="A81">
        <v>3720</v>
      </c>
      <c r="I81" t="s">
        <v>1064</v>
      </c>
      <c r="J81">
        <v>3250</v>
      </c>
    </row>
    <row r="82" spans="1:10" x14ac:dyDescent="0.25">
      <c r="A82">
        <v>3750</v>
      </c>
      <c r="I82" t="s">
        <v>1065</v>
      </c>
      <c r="J82">
        <v>3260</v>
      </c>
    </row>
    <row r="83" spans="1:10" x14ac:dyDescent="0.25">
      <c r="A83">
        <v>3790</v>
      </c>
      <c r="I83" t="s">
        <v>1066</v>
      </c>
      <c r="J83">
        <v>3270</v>
      </c>
    </row>
    <row r="84" spans="1:10" x14ac:dyDescent="0.25">
      <c r="A84">
        <v>3850</v>
      </c>
      <c r="I84" t="s">
        <v>1067</v>
      </c>
      <c r="J84">
        <v>3280</v>
      </c>
    </row>
    <row r="85" spans="1:10" x14ac:dyDescent="0.25">
      <c r="A85">
        <v>3980</v>
      </c>
      <c r="I85" t="s">
        <v>1068</v>
      </c>
      <c r="J85">
        <v>3290</v>
      </c>
    </row>
    <row r="86" spans="1:10" x14ac:dyDescent="0.25">
      <c r="I86" t="s">
        <v>1069</v>
      </c>
      <c r="J86">
        <v>3300</v>
      </c>
    </row>
    <row r="87" spans="1:10" x14ac:dyDescent="0.25">
      <c r="A87" s="144" t="s">
        <v>890</v>
      </c>
      <c r="I87" t="s">
        <v>1070</v>
      </c>
      <c r="J87">
        <v>3310</v>
      </c>
    </row>
    <row r="88" spans="1:10" x14ac:dyDescent="0.25">
      <c r="A88">
        <v>6120</v>
      </c>
      <c r="I88" t="s">
        <v>1071</v>
      </c>
      <c r="J88">
        <v>3320</v>
      </c>
    </row>
    <row r="89" spans="1:10" x14ac:dyDescent="0.25">
      <c r="I89" t="s">
        <v>1072</v>
      </c>
      <c r="J89">
        <v>3330</v>
      </c>
    </row>
    <row r="90" spans="1:10" x14ac:dyDescent="0.25">
      <c r="A90" s="144" t="s">
        <v>915</v>
      </c>
      <c r="I90" t="s">
        <v>1073</v>
      </c>
      <c r="J90">
        <v>3340</v>
      </c>
    </row>
    <row r="91" spans="1:10" x14ac:dyDescent="0.25">
      <c r="A91">
        <v>6120</v>
      </c>
      <c r="I91" t="s">
        <v>1074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4" t="s">
        <v>916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4" t="s">
        <v>917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4" t="s">
        <v>920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4" t="s">
        <v>921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4" t="s">
        <v>922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4" t="s">
        <v>918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4" t="s">
        <v>919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4" t="s">
        <v>891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4" t="s">
        <v>892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4" t="s">
        <v>893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4" t="s">
        <v>923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4" t="s">
        <v>894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4" t="s">
        <v>924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4" t="s">
        <v>895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4" t="s">
        <v>925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4" t="s">
        <v>926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4" t="s">
        <v>896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4" t="s">
        <v>927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4" t="s">
        <v>928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4" t="s">
        <v>897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4" t="s">
        <v>898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4" t="s">
        <v>899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4" t="s">
        <v>900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4" t="s">
        <v>901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4" t="s">
        <v>902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4" t="s">
        <v>903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4" t="s">
        <v>904</v>
      </c>
    </row>
    <row r="257" spans="1:1" x14ac:dyDescent="0.25">
      <c r="A257">
        <v>3390</v>
      </c>
    </row>
    <row r="259" spans="1:1" x14ac:dyDescent="0.25">
      <c r="A259" s="144" t="s">
        <v>905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4" t="s">
        <v>906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4" t="s">
        <v>929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4" t="s">
        <v>930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4" t="s">
        <v>931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4" t="s">
        <v>907</v>
      </c>
    </row>
    <row r="303" spans="1:1" x14ac:dyDescent="0.25">
      <c r="A303">
        <v>3510</v>
      </c>
    </row>
    <row r="305" spans="1:1" x14ac:dyDescent="0.25">
      <c r="A305" s="144" t="s">
        <v>932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4" t="s">
        <v>933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4" t="s">
        <v>908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4" t="s">
        <v>909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4" t="s">
        <v>910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4" t="s">
        <v>911</v>
      </c>
    </row>
    <row r="365" spans="1:1" x14ac:dyDescent="0.25">
      <c r="A365">
        <v>4450</v>
      </c>
    </row>
    <row r="367" spans="1:1" x14ac:dyDescent="0.25">
      <c r="A367" s="144" t="s">
        <v>912</v>
      </c>
    </row>
    <row r="368" spans="1:1" x14ac:dyDescent="0.25">
      <c r="A368">
        <v>4450</v>
      </c>
    </row>
    <row r="370" spans="1:1" x14ac:dyDescent="0.25">
      <c r="A370" s="144" t="s">
        <v>934</v>
      </c>
    </row>
    <row r="371" spans="1:1" x14ac:dyDescent="0.25">
      <c r="A371">
        <v>4330</v>
      </c>
    </row>
    <row r="373" spans="1:1" x14ac:dyDescent="0.25">
      <c r="A373" s="144" t="s">
        <v>935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4" t="s">
        <v>936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4" t="s">
        <v>937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4" t="s">
        <v>938</v>
      </c>
    </row>
    <row r="393" spans="1:1" x14ac:dyDescent="0.25">
      <c r="A393">
        <v>3390</v>
      </c>
    </row>
    <row r="395" spans="1:1" x14ac:dyDescent="0.25">
      <c r="A395" s="144" t="s">
        <v>939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4" t="s">
        <v>940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5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5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4" t="s">
        <v>1007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1:I91">
    <cfRule type="duplicateValues" dxfId="1" priority="1"/>
  </conditionalFormatting>
  <conditionalFormatting sqref="I1:I91">
    <cfRule type="duplicateValues" dxfId="0" priority="2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2023-08-21T21:45:44Z</dcterms:modified>
</cp:coreProperties>
</file>