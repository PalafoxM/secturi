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gonzalez\Documents\01 TRAMITES\2026\ARCHIVOS TRABAJO\"/>
    </mc:Choice>
  </mc:AlternateContent>
  <bookViews>
    <workbookView xWindow="0" yWindow="0" windowWidth="28800" windowHeight="11805" tabRatio="899" activeTab="2"/>
  </bookViews>
  <sheets>
    <sheet name="Ejemplo de llenado" sheetId="3" r:id="rId1"/>
    <sheet name="Formato líquidas " sheetId="4" r:id="rId2"/>
    <sheet name="Formato compensado" sheetId="5" r:id="rId3"/>
    <sheet name="Formato Recalendarizacion" sheetId="7" r:id="rId4"/>
    <sheet name="PROYECTOS" sheetId="6" r:id="rId5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_xlnm.Print_Area" localSheetId="3">'Formato Recalendarizacion'!$A$1:$U$46</definedName>
    <definedName name="PROYECTO">PROYECTOS!$A$1:$C$65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  <definedName name="_xlnm.Print_Titles" localSheetId="3">'Formato Recalendarizacion'!$1:$10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0" i="7" l="1"/>
  <c r="R40" i="7"/>
  <c r="O40" i="7"/>
  <c r="N40" i="7"/>
  <c r="K40" i="7"/>
  <c r="J40" i="7"/>
  <c r="U39" i="7"/>
  <c r="U40" i="7" s="1"/>
  <c r="T39" i="7"/>
  <c r="T40" i="7" s="1"/>
  <c r="S39" i="7"/>
  <c r="R39" i="7"/>
  <c r="Q39" i="7"/>
  <c r="Q40" i="7" s="1"/>
  <c r="P39" i="7"/>
  <c r="P40" i="7" s="1"/>
  <c r="O39" i="7"/>
  <c r="N39" i="7"/>
  <c r="M39" i="7"/>
  <c r="M40" i="7" s="1"/>
  <c r="L39" i="7"/>
  <c r="L40" i="7" s="1"/>
  <c r="K39" i="7"/>
  <c r="J39" i="7"/>
  <c r="I39" i="7"/>
  <c r="I40" i="7" s="1"/>
  <c r="H39" i="7"/>
  <c r="H40" i="7" s="1"/>
  <c r="D38" i="7"/>
  <c r="C38" i="7"/>
  <c r="B38" i="7" s="1"/>
  <c r="D37" i="7"/>
  <c r="C37" i="7"/>
  <c r="B37" i="7" s="1"/>
  <c r="D36" i="7"/>
  <c r="C36" i="7"/>
  <c r="B36" i="7" s="1"/>
  <c r="D35" i="7"/>
  <c r="C35" i="7"/>
  <c r="B35" i="7" s="1"/>
  <c r="D34" i="7"/>
  <c r="C34" i="7"/>
  <c r="B34" i="7" s="1"/>
  <c r="D33" i="7"/>
  <c r="C33" i="7"/>
  <c r="B33" i="7" s="1"/>
  <c r="D32" i="7"/>
  <c r="C32" i="7"/>
  <c r="B32" i="7" s="1"/>
  <c r="D31" i="7"/>
  <c r="C31" i="7"/>
  <c r="B31" i="7" s="1"/>
  <c r="A31" i="7"/>
  <c r="D30" i="7"/>
  <c r="C30" i="7"/>
  <c r="B30" i="7" s="1"/>
  <c r="A30" i="7"/>
  <c r="D29" i="7"/>
  <c r="C29" i="7"/>
  <c r="B29" i="7" s="1"/>
  <c r="A29" i="7"/>
  <c r="D28" i="7"/>
  <c r="C28" i="7"/>
  <c r="B28" i="7" s="1"/>
  <c r="A28" i="7"/>
  <c r="D27" i="7"/>
  <c r="C27" i="7"/>
  <c r="B27" i="7" s="1"/>
  <c r="S25" i="7"/>
  <c r="R25" i="7"/>
  <c r="O25" i="7"/>
  <c r="N25" i="7"/>
  <c r="K25" i="7"/>
  <c r="J25" i="7"/>
  <c r="U24" i="7"/>
  <c r="U25" i="7" s="1"/>
  <c r="T24" i="7"/>
  <c r="T25" i="7" s="1"/>
  <c r="S24" i="7"/>
  <c r="R24" i="7"/>
  <c r="Q24" i="7"/>
  <c r="Q25" i="7" s="1"/>
  <c r="P24" i="7"/>
  <c r="P25" i="7" s="1"/>
  <c r="O24" i="7"/>
  <c r="N24" i="7"/>
  <c r="M24" i="7"/>
  <c r="M25" i="7" s="1"/>
  <c r="L24" i="7"/>
  <c r="L25" i="7" s="1"/>
  <c r="K24" i="7"/>
  <c r="J24" i="7"/>
  <c r="I24" i="7"/>
  <c r="I25" i="7" s="1"/>
  <c r="H24" i="7"/>
  <c r="H25" i="7" s="1"/>
  <c r="D24" i="7"/>
  <c r="D23" i="7"/>
  <c r="C23" i="7"/>
  <c r="B23" i="7" s="1"/>
  <c r="A23" i="7"/>
  <c r="D22" i="7"/>
  <c r="C22" i="7"/>
  <c r="B22" i="7" s="1"/>
  <c r="A22" i="7"/>
  <c r="D21" i="7"/>
  <c r="C21" i="7"/>
  <c r="B21" i="7" s="1"/>
  <c r="A21" i="7"/>
  <c r="D20" i="7"/>
  <c r="C20" i="7"/>
  <c r="B20" i="7" s="1"/>
  <c r="A20" i="7"/>
  <c r="D19" i="7"/>
  <c r="C19" i="7"/>
  <c r="B19" i="7" s="1"/>
  <c r="A19" i="7"/>
  <c r="D18" i="7"/>
  <c r="C18" i="7"/>
  <c r="B18" i="7" s="1"/>
  <c r="A18" i="7"/>
  <c r="D17" i="7"/>
  <c r="C17" i="7"/>
  <c r="B17" i="7" s="1"/>
  <c r="A17" i="7"/>
  <c r="D16" i="7"/>
  <c r="C16" i="7"/>
  <c r="B16" i="7" s="1"/>
  <c r="A16" i="7"/>
  <c r="D15" i="7"/>
  <c r="C15" i="7"/>
  <c r="B15" i="7" s="1"/>
  <c r="A15" i="7"/>
  <c r="D14" i="7"/>
  <c r="C14" i="7"/>
  <c r="B14" i="7" s="1"/>
  <c r="A14" i="7"/>
  <c r="D13" i="7"/>
  <c r="C13" i="7"/>
  <c r="B13" i="7" s="1"/>
  <c r="A13" i="7"/>
  <c r="D12" i="7"/>
  <c r="C12" i="7"/>
  <c r="B12" i="7" s="1"/>
  <c r="T7" i="7"/>
  <c r="C13" i="4" l="1"/>
  <c r="B13" i="4" s="1"/>
  <c r="C14" i="4"/>
  <c r="B14" i="4" s="1"/>
  <c r="C15" i="4"/>
  <c r="B15" i="4" s="1"/>
  <c r="C16" i="4"/>
  <c r="B16" i="4" s="1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12" i="4"/>
  <c r="B12" i="4" s="1"/>
  <c r="C28" i="5"/>
  <c r="B28" i="5" s="1"/>
  <c r="D28" i="5"/>
  <c r="C29" i="5"/>
  <c r="B29" i="5" s="1"/>
  <c r="D29" i="5"/>
  <c r="C30" i="5"/>
  <c r="B30" i="5" s="1"/>
  <c r="D30" i="5"/>
  <c r="C31" i="5"/>
  <c r="B31" i="5" s="1"/>
  <c r="D31" i="5"/>
  <c r="C32" i="5"/>
  <c r="B32" i="5" s="1"/>
  <c r="D32" i="5"/>
  <c r="C33" i="5"/>
  <c r="B33" i="5" s="1"/>
  <c r="D33" i="5"/>
  <c r="C34" i="5"/>
  <c r="B34" i="5" s="1"/>
  <c r="D34" i="5"/>
  <c r="C35" i="5"/>
  <c r="B35" i="5" s="1"/>
  <c r="D35" i="5"/>
  <c r="C36" i="5"/>
  <c r="B36" i="5" s="1"/>
  <c r="D36" i="5"/>
  <c r="C37" i="5"/>
  <c r="B37" i="5" s="1"/>
  <c r="D37" i="5"/>
  <c r="C38" i="5"/>
  <c r="B38" i="5" s="1"/>
  <c r="D38" i="5"/>
  <c r="D27" i="5"/>
  <c r="C27" i="5"/>
  <c r="B27" i="5" s="1"/>
  <c r="C13" i="5"/>
  <c r="B13" i="5" s="1"/>
  <c r="D13" i="5"/>
  <c r="C14" i="5"/>
  <c r="B14" i="5" s="1"/>
  <c r="D14" i="5"/>
  <c r="C15" i="5"/>
  <c r="B15" i="5" s="1"/>
  <c r="D15" i="5"/>
  <c r="C16" i="5"/>
  <c r="B16" i="5" s="1"/>
  <c r="D16" i="5"/>
  <c r="C17" i="5"/>
  <c r="B17" i="5" s="1"/>
  <c r="D17" i="5"/>
  <c r="C18" i="5"/>
  <c r="B18" i="5" s="1"/>
  <c r="D18" i="5"/>
  <c r="C19" i="5"/>
  <c r="B19" i="5" s="1"/>
  <c r="D19" i="5"/>
  <c r="C20" i="5"/>
  <c r="B20" i="5" s="1"/>
  <c r="D20" i="5"/>
  <c r="C21" i="5"/>
  <c r="B21" i="5" s="1"/>
  <c r="D21" i="5"/>
  <c r="C22" i="5"/>
  <c r="B22" i="5" s="1"/>
  <c r="D22" i="5"/>
  <c r="C23" i="5"/>
  <c r="B23" i="5" s="1"/>
  <c r="D23" i="5"/>
  <c r="D24" i="5"/>
  <c r="C12" i="5" l="1"/>
  <c r="B12" i="5" s="1"/>
  <c r="E14" i="4" l="1"/>
  <c r="A28" i="5" l="1"/>
  <c r="A29" i="5" s="1"/>
  <c r="A30" i="5" s="1"/>
  <c r="A31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D12" i="5"/>
  <c r="E12" i="4"/>
  <c r="E15" i="4"/>
  <c r="E16" i="4"/>
  <c r="E17" i="4"/>
  <c r="E18" i="4"/>
  <c r="E19" i="4"/>
  <c r="E20" i="4"/>
  <c r="E21" i="4"/>
  <c r="E22" i="4"/>
  <c r="E23" i="4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E13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D10" authorId="2" shapeId="0">
      <text>
        <r>
          <rPr>
            <b/>
            <sz val="9"/>
            <color indexed="81"/>
            <rFont val="Tahoma"/>
            <family val="2"/>
          </rPr>
          <t xml:space="preserve">SELECCCIONA EL PROYECTO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" authorId="2" shapeId="0">
      <text>
        <r>
          <rPr>
            <b/>
            <sz val="14"/>
            <color indexed="81"/>
            <rFont val="Calibri"/>
            <family val="2"/>
            <scheme val="minor"/>
          </rPr>
          <t>Indicar causa del no ejercicio en el mes programado,
problema que lo impidió, mes de reprogramación y si el recurso está
comprometido mediante instrumento jurídico. La justificación debe ser clara y
específica; evitar generalidades, ya que serán motivo de rechazo por la SF.</t>
        </r>
      </text>
    </comment>
  </commentList>
</comments>
</file>

<file path=xl/sharedStrings.xml><?xml version="1.0" encoding="utf-8"?>
<sst xmlns="http://schemas.openxmlformats.org/spreadsheetml/2006/main" count="325" uniqueCount="142">
  <si>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</si>
  <si>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</si>
  <si>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</si>
  <si>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</si>
  <si>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</si>
  <si>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</si>
  <si>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</si>
  <si>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</si>
  <si>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</si>
  <si>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</si>
  <si>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</si>
  <si>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</si>
  <si>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</si>
  <si>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</si>
  <si>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</si>
  <si>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</si>
  <si>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</si>
  <si>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</si>
  <si>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</si>
  <si>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</si>
  <si>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</si>
  <si>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</si>
  <si>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</si>
  <si>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</si>
  <si>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</si>
  <si>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</si>
  <si>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</si>
  <si>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</si>
  <si>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</si>
  <si>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</si>
  <si>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</si>
  <si>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</si>
  <si>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</si>
  <si>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</si>
  <si>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</si>
  <si>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</si>
  <si>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</si>
  <si>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</si>
  <si>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</si>
  <si>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</si>
  <si>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</si>
  <si>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</si>
  <si>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</si>
  <si>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</si>
  <si>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</si>
  <si>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</si>
  <si>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</si>
  <si>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</si>
  <si>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</si>
  <si>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</si>
  <si>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</si>
  <si>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</si>
  <si>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</si>
  <si>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</si>
  <si>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</si>
  <si>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</si>
  <si>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</si>
  <si>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</si>
  <si>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</si>
  <si>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211112100010000</t>
  </si>
  <si>
    <t>211112100020100</t>
  </si>
  <si>
    <t>1</t>
  </si>
  <si>
    <t>M005GA20612600</t>
  </si>
  <si>
    <t>M006GB14002600</t>
  </si>
  <si>
    <t>E027PB02922600</t>
  </si>
  <si>
    <t>E027PC02932600</t>
  </si>
  <si>
    <t>E027PC32542600</t>
  </si>
  <si>
    <t>O009GD12862600</t>
  </si>
  <si>
    <t>E027QC03402601</t>
  </si>
  <si>
    <t>E027QC03402602</t>
  </si>
  <si>
    <t>E027QC03422601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</si>
  <si>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</si>
  <si>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</si>
  <si>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</si>
  <si>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</si>
  <si>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</si>
  <si>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</si>
  <si>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</si>
  <si>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</si>
  <si>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</si>
  <si>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</si>
  <si>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</si>
  <si>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</si>
  <si>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</si>
  <si>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</si>
  <si>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</si>
  <si>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</si>
  <si>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</si>
  <si>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</si>
  <si>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</si>
  <si>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</si>
  <si>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</si>
  <si>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</si>
  <si>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</si>
  <si>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</si>
  <si>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</si>
  <si>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</si>
  <si>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</si>
  <si>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</si>
  <si>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</si>
  <si>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</si>
  <si>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211112100A10000</t>
  </si>
  <si>
    <t>CONTRASEÑA DESBLOQUEO HOJA</t>
  </si>
  <si>
    <t>M005GA20612500</t>
  </si>
  <si>
    <t>M006GB14002500</t>
  </si>
  <si>
    <t>211112100070000</t>
  </si>
  <si>
    <t>211112100060000</t>
  </si>
  <si>
    <t>211112100050000</t>
  </si>
  <si>
    <t>211112100070103</t>
  </si>
  <si>
    <t>211112100070100</t>
  </si>
  <si>
    <t>211112100070102</t>
  </si>
  <si>
    <t>211112100070300</t>
  </si>
  <si>
    <t>211112100060300</t>
  </si>
  <si>
    <t>211112100060100</t>
  </si>
  <si>
    <t>211112100070101</t>
  </si>
  <si>
    <t>211112100060200</t>
  </si>
  <si>
    <t>211112100060400</t>
  </si>
  <si>
    <t>211112100060500</t>
  </si>
  <si>
    <t>REFRENDOS</t>
  </si>
  <si>
    <t>E027QA39232501</t>
  </si>
  <si>
    <t>E027QC03402501</t>
  </si>
  <si>
    <t>E027QC03402502</t>
  </si>
  <si>
    <t>E027QC03402503</t>
  </si>
  <si>
    <t>E027QC03432501</t>
  </si>
  <si>
    <t>E027QC03432502</t>
  </si>
  <si>
    <t>E027QC03442501</t>
  </si>
  <si>
    <t>E027QC03442502</t>
  </si>
  <si>
    <t>E027QC03742501</t>
  </si>
  <si>
    <t>E027QC03752501</t>
  </si>
  <si>
    <t>E027QC03772503</t>
  </si>
  <si>
    <t>E027QC03782501</t>
  </si>
  <si>
    <t>E027QC03792502</t>
  </si>
  <si>
    <t>E027QC03802501</t>
  </si>
  <si>
    <t>E027QC03802502</t>
  </si>
  <si>
    <t>E027QC03802503</t>
  </si>
  <si>
    <t>E027QC03812501</t>
  </si>
  <si>
    <t>E027QC04182501</t>
  </si>
  <si>
    <t>E027QC32142501</t>
  </si>
  <si>
    <t xml:space="preserve">JUSTIFICACION </t>
  </si>
  <si>
    <t>E027QC03772604</t>
  </si>
  <si>
    <t>E027QC03782601</t>
  </si>
  <si>
    <t>E027QC03782602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</si>
</sst>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indexed="8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206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Fill="1" applyBorder="1" applyAlignment="1">
      <alignment horizontal="left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2" fillId="0" borderId="21" xfId="0" applyNumberFormat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27" xfId="0" applyFont="1" applyBorder="1" applyAlignment="1" applyProtection="1">
      <alignment horizontal="left" vertical="top"/>
      <protection locked="0"/>
    </xf>
    <xf numFmtId="0" fontId="31" fillId="0" borderId="0" xfId="0" applyFont="1"/>
    <xf numFmtId="0" fontId="13" fillId="0" borderId="3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</cellXfs>
  <cellStyles count="17">
    <cellStyle name="Bueno" xfId="14" builtinId="26"/>
    <cellStyle name="Euro" xfId="4"/>
    <cellStyle name="Incorrecto" xfId="15" builtinId="27"/>
    <cellStyle name="Millares" xfId="1" builtinId="3"/>
    <cellStyle name="Millares 2" xfId="2"/>
    <cellStyle name="Millares 2 2" xfId="5"/>
    <cellStyle name="Millares 2 3" xfId="6"/>
    <cellStyle name="Millares 3" xfId="7"/>
    <cellStyle name="Millares 4" xfId="8"/>
    <cellStyle name="Normal" xfId="0" builtinId="0"/>
    <cellStyle name="Normal 2" xfId="3"/>
    <cellStyle name="Normal 2 2" xfId="9"/>
    <cellStyle name="Normal 3" xfId="10"/>
    <cellStyle name="Normal 3 3" xfId="16"/>
    <cellStyle name="Normal 4" xfId="11"/>
    <cellStyle name="Notas 2" xfId="12"/>
    <cellStyle name="Notas 3" xfId="1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3381" cy="1708635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43638" y="328611"/>
          <a:ext cx="6486324" cy="1269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54" t="s">
        <v>0</v>
      </c>
      <c r="T2" s="155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68" t="s">
        <v>3</v>
      </c>
      <c r="N5" s="168"/>
      <c r="O5" s="168"/>
      <c r="P5" s="168"/>
      <c r="Q5" s="168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68"/>
      <c r="N6" s="168"/>
      <c r="O6" s="168"/>
      <c r="P6" s="168"/>
      <c r="Q6" s="168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160" t="s">
        <v>10</v>
      </c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2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169" t="s">
        <v>34</v>
      </c>
      <c r="C12" s="170"/>
      <c r="D12" s="170"/>
      <c r="E12" s="170"/>
      <c r="F12" s="170"/>
      <c r="G12" s="170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163" t="s">
        <v>46</v>
      </c>
      <c r="B31" s="164"/>
      <c r="C31" s="164"/>
      <c r="D31" s="164"/>
      <c r="E31" s="164"/>
      <c r="F31" s="164"/>
      <c r="G31" s="164"/>
      <c r="H31" s="164"/>
      <c r="I31" s="164"/>
      <c r="J31" s="164"/>
      <c r="K31" s="165"/>
      <c r="L31" s="166" t="s">
        <v>47</v>
      </c>
      <c r="M31" s="166"/>
      <c r="N31" s="166"/>
      <c r="O31" s="166"/>
      <c r="P31" s="166"/>
      <c r="Q31" s="166" t="s">
        <v>48</v>
      </c>
      <c r="R31" s="166"/>
      <c r="S31" s="166"/>
      <c r="T31" s="166"/>
      <c r="U31" s="167"/>
    </row>
    <row r="32" spans="1:23" ht="71.25" customHeight="1" x14ac:dyDescent="0.25">
      <c r="A32" s="171" t="s">
        <v>49</v>
      </c>
      <c r="B32" s="172"/>
      <c r="C32" s="172"/>
      <c r="D32" s="172"/>
      <c r="E32" s="172"/>
      <c r="F32" s="172"/>
      <c r="G32" s="172"/>
      <c r="H32" s="172"/>
      <c r="I32" s="172"/>
      <c r="J32" s="172"/>
      <c r="K32" s="173"/>
      <c r="L32" s="156"/>
      <c r="M32" s="156"/>
      <c r="N32" s="156"/>
      <c r="O32" s="156"/>
      <c r="P32" s="156"/>
      <c r="Q32" s="156"/>
      <c r="R32" s="156"/>
      <c r="S32" s="156"/>
      <c r="T32" s="156"/>
      <c r="U32" s="157"/>
    </row>
    <row r="33" spans="1:21" ht="15.75" customHeight="1" thickBot="1" x14ac:dyDescent="0.3">
      <c r="A33" s="174"/>
      <c r="B33" s="175"/>
      <c r="C33" s="175"/>
      <c r="D33" s="175"/>
      <c r="E33" s="175"/>
      <c r="F33" s="175"/>
      <c r="G33" s="175"/>
      <c r="H33" s="175"/>
      <c r="I33" s="175"/>
      <c r="J33" s="175"/>
      <c r="K33" s="176"/>
      <c r="L33" s="158"/>
      <c r="M33" s="158"/>
      <c r="N33" s="158"/>
      <c r="O33" s="158"/>
      <c r="P33" s="158"/>
      <c r="Q33" s="158"/>
      <c r="R33" s="158"/>
      <c r="S33" s="158"/>
      <c r="T33" s="158"/>
      <c r="U33" s="159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74"/>
  <sheetViews>
    <sheetView showGridLines="0" zoomScaleNormal="100" workbookViewId="0">
      <selection activeCell="E22" sqref="E2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77" t="s">
        <v>0</v>
      </c>
      <c r="T2" s="178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91" t="s">
        <v>3</v>
      </c>
      <c r="N5" s="191"/>
      <c r="O5" s="191"/>
      <c r="P5" s="191"/>
      <c r="Q5" s="191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91"/>
      <c r="N6" s="191"/>
      <c r="O6" s="191"/>
      <c r="P6" s="191"/>
      <c r="Q6" s="191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46237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92" t="s">
        <v>10</v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14</v>
      </c>
      <c r="E10" s="92" t="s">
        <v>15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95"/>
      <c r="B11" s="96" t="s">
        <v>44</v>
      </c>
      <c r="C11" s="96"/>
      <c r="D11" s="96"/>
      <c r="E11" s="96"/>
      <c r="F11" s="96"/>
      <c r="G11" s="96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  <c r="W11" s="100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IFERROR(VLOOKUP(D12,PROYECTO,2,FALSE)," ")</f>
        <v xml:space="preserve"> </v>
      </c>
      <c r="D12" s="103"/>
      <c r="E12" s="125" t="str">
        <f>IF(ISBLANK(D12), " ", "371")</f>
        <v xml:space="preserve"> </v>
      </c>
      <c r="F12" s="103"/>
      <c r="G12" s="103"/>
      <c r="H12" s="104"/>
      <c r="I12" s="102"/>
      <c r="J12" s="104"/>
      <c r="K12" s="104"/>
      <c r="L12" s="104"/>
      <c r="M12" s="102"/>
      <c r="N12" s="104"/>
      <c r="O12" s="104"/>
      <c r="P12" s="104"/>
      <c r="Q12" s="104"/>
      <c r="R12" s="104"/>
      <c r="S12" s="104"/>
      <c r="T12" s="104"/>
      <c r="U12" s="105"/>
      <c r="V12" s="99"/>
      <c r="W12" s="100"/>
    </row>
    <row r="13" spans="1:27" ht="16.5" x14ac:dyDescent="0.25">
      <c r="A13" s="124" t="str">
        <f>IF(D13&lt;&gt;"",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03"/>
      <c r="E13" s="125" t="str">
        <f>IF(ISBLANK(D13), " ", "371")</f>
        <v xml:space="preserve"> </v>
      </c>
      <c r="F13" s="103"/>
      <c r="G13" s="103"/>
      <c r="H13" s="104"/>
      <c r="I13" s="102"/>
      <c r="J13" s="104"/>
      <c r="K13" s="104"/>
      <c r="L13" s="104"/>
      <c r="M13" s="102"/>
      <c r="N13" s="104"/>
      <c r="O13" s="104"/>
      <c r="P13" s="104"/>
      <c r="Q13" s="104"/>
      <c r="R13" s="104"/>
      <c r="S13" s="104"/>
      <c r="T13" s="104"/>
      <c r="U13" s="105"/>
      <c r="V13" s="99"/>
      <c r="W13" s="100"/>
    </row>
    <row r="14" spans="1:27" ht="16.5" x14ac:dyDescent="0.25">
      <c r="A14" s="124" t="str">
        <f t="shared" ref="A14:A23" si="2">IF(D14&lt;&gt;"",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03"/>
      <c r="E14" s="125" t="str">
        <f t="shared" ref="E14:E23" si="3">IF(ISBLANK(D14), " ", "371")</f>
        <v xml:space="preserve"> </v>
      </c>
      <c r="F14" s="103"/>
      <c r="G14" s="103"/>
      <c r="H14" s="104"/>
      <c r="I14" s="102"/>
      <c r="J14" s="104"/>
      <c r="K14" s="104"/>
      <c r="L14" s="104"/>
      <c r="M14" s="102"/>
      <c r="N14" s="104"/>
      <c r="O14" s="104"/>
      <c r="P14" s="104"/>
      <c r="Q14" s="104"/>
      <c r="R14" s="104"/>
      <c r="S14" s="104"/>
      <c r="T14" s="104"/>
      <c r="U14" s="105"/>
      <c r="V14" s="99"/>
      <c r="W14" s="100"/>
    </row>
    <row r="15" spans="1:27" ht="16.5" x14ac:dyDescent="0.25">
      <c r="A15" s="124" t="str">
        <f t="shared" si="2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03"/>
      <c r="E15" s="125" t="str">
        <f t="shared" si="3"/>
        <v xml:space="preserve"> </v>
      </c>
      <c r="F15" s="103"/>
      <c r="G15" s="103"/>
      <c r="H15" s="104"/>
      <c r="I15" s="102"/>
      <c r="J15" s="104"/>
      <c r="K15" s="104"/>
      <c r="L15" s="104"/>
      <c r="M15" s="102"/>
      <c r="N15" s="104"/>
      <c r="O15" s="104"/>
      <c r="P15" s="104"/>
      <c r="Q15" s="104"/>
      <c r="R15" s="104"/>
      <c r="S15" s="104"/>
      <c r="T15" s="104"/>
      <c r="U15" s="105"/>
      <c r="V15" s="99"/>
      <c r="W15" s="100"/>
    </row>
    <row r="16" spans="1:27" ht="16.5" x14ac:dyDescent="0.25">
      <c r="A16" s="124" t="str">
        <f t="shared" si="2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03"/>
      <c r="E16" s="125" t="str">
        <f t="shared" si="3"/>
        <v xml:space="preserve"> </v>
      </c>
      <c r="F16" s="103"/>
      <c r="G16" s="103"/>
      <c r="H16" s="104"/>
      <c r="I16" s="102"/>
      <c r="J16" s="104"/>
      <c r="K16" s="104"/>
      <c r="L16" s="104"/>
      <c r="M16" s="102"/>
      <c r="N16" s="104"/>
      <c r="O16" s="104"/>
      <c r="P16" s="104"/>
      <c r="Q16" s="104"/>
      <c r="R16" s="104"/>
      <c r="S16" s="104"/>
      <c r="T16" s="104"/>
      <c r="U16" s="105"/>
      <c r="V16" s="99"/>
      <c r="W16" s="100"/>
    </row>
    <row r="17" spans="1:23" ht="16.5" x14ac:dyDescent="0.25">
      <c r="A17" s="124" t="str">
        <f t="shared" si="2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03"/>
      <c r="E17" s="125" t="str">
        <f t="shared" si="3"/>
        <v xml:space="preserve"> </v>
      </c>
      <c r="F17" s="103"/>
      <c r="G17" s="103"/>
      <c r="H17" s="104"/>
      <c r="I17" s="102"/>
      <c r="J17" s="104"/>
      <c r="K17" s="104"/>
      <c r="L17" s="104"/>
      <c r="M17" s="102"/>
      <c r="N17" s="104"/>
      <c r="O17" s="104"/>
      <c r="P17" s="104"/>
      <c r="Q17" s="104"/>
      <c r="R17" s="104"/>
      <c r="S17" s="104"/>
      <c r="T17" s="104"/>
      <c r="U17" s="105"/>
      <c r="V17" s="99"/>
      <c r="W17" s="100"/>
    </row>
    <row r="18" spans="1:23" ht="16.5" x14ac:dyDescent="0.25">
      <c r="A18" s="124" t="str">
        <f t="shared" si="2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03"/>
      <c r="E18" s="125" t="str">
        <f t="shared" si="3"/>
        <v xml:space="preserve"> </v>
      </c>
      <c r="F18" s="103"/>
      <c r="G18" s="103"/>
      <c r="H18" s="104"/>
      <c r="I18" s="102"/>
      <c r="J18" s="104"/>
      <c r="K18" s="104"/>
      <c r="L18" s="104"/>
      <c r="M18" s="102"/>
      <c r="N18" s="104"/>
      <c r="O18" s="104"/>
      <c r="P18" s="104"/>
      <c r="Q18" s="104"/>
      <c r="R18" s="104"/>
      <c r="S18" s="104"/>
      <c r="T18" s="104"/>
      <c r="U18" s="105"/>
      <c r="V18" s="99"/>
      <c r="W18" s="100"/>
    </row>
    <row r="19" spans="1:23" ht="16.5" x14ac:dyDescent="0.25">
      <c r="A19" s="124" t="str">
        <f t="shared" si="2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03"/>
      <c r="E19" s="125" t="str">
        <f t="shared" si="3"/>
        <v xml:space="preserve"> </v>
      </c>
      <c r="F19" s="103"/>
      <c r="G19" s="103"/>
      <c r="H19" s="104"/>
      <c r="I19" s="102"/>
      <c r="J19" s="104"/>
      <c r="K19" s="104"/>
      <c r="L19" s="104"/>
      <c r="M19" s="102"/>
      <c r="N19" s="104"/>
      <c r="O19" s="104"/>
      <c r="P19" s="104"/>
      <c r="Q19" s="104"/>
      <c r="R19" s="104"/>
      <c r="S19" s="104"/>
      <c r="T19" s="104"/>
      <c r="U19" s="105"/>
      <c r="V19" s="99"/>
      <c r="W19" s="100"/>
    </row>
    <row r="20" spans="1:23" ht="16.5" x14ac:dyDescent="0.25">
      <c r="A20" s="124" t="str">
        <f t="shared" si="2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03"/>
      <c r="E20" s="125" t="str">
        <f t="shared" si="3"/>
        <v xml:space="preserve"> </v>
      </c>
      <c r="F20" s="103"/>
      <c r="G20" s="103"/>
      <c r="H20" s="104"/>
      <c r="I20" s="102"/>
      <c r="J20" s="104"/>
      <c r="K20" s="104"/>
      <c r="L20" s="104"/>
      <c r="M20" s="102"/>
      <c r="N20" s="104"/>
      <c r="O20" s="104"/>
      <c r="P20" s="104"/>
      <c r="Q20" s="104"/>
      <c r="R20" s="104"/>
      <c r="S20" s="104"/>
      <c r="T20" s="104"/>
      <c r="U20" s="105"/>
      <c r="V20" s="99"/>
      <c r="W20" s="100"/>
    </row>
    <row r="21" spans="1:23" ht="16.5" x14ac:dyDescent="0.25">
      <c r="A21" s="124" t="str">
        <f t="shared" si="2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03"/>
      <c r="E21" s="125" t="str">
        <f t="shared" si="3"/>
        <v xml:space="preserve"> </v>
      </c>
      <c r="F21" s="103"/>
      <c r="G21" s="103"/>
      <c r="H21" s="104"/>
      <c r="I21" s="102"/>
      <c r="J21" s="104"/>
      <c r="K21" s="104"/>
      <c r="L21" s="104"/>
      <c r="M21" s="102"/>
      <c r="N21" s="104"/>
      <c r="O21" s="104"/>
      <c r="P21" s="104"/>
      <c r="Q21" s="104"/>
      <c r="R21" s="104"/>
      <c r="S21" s="104"/>
      <c r="T21" s="104"/>
      <c r="U21" s="105"/>
      <c r="V21" s="99"/>
      <c r="W21" s="100"/>
    </row>
    <row r="22" spans="1:23" ht="16.5" x14ac:dyDescent="0.25">
      <c r="A22" s="124" t="str">
        <f t="shared" si="2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03"/>
      <c r="E22" s="125" t="str">
        <f t="shared" si="3"/>
        <v xml:space="preserve"> </v>
      </c>
      <c r="F22" s="103"/>
      <c r="G22" s="103"/>
      <c r="H22" s="104"/>
      <c r="I22" s="102"/>
      <c r="J22" s="104"/>
      <c r="K22" s="104"/>
      <c r="L22" s="104"/>
      <c r="M22" s="102"/>
      <c r="N22" s="104"/>
      <c r="O22" s="104"/>
      <c r="P22" s="104"/>
      <c r="Q22" s="104"/>
      <c r="R22" s="104"/>
      <c r="S22" s="104"/>
      <c r="T22" s="104"/>
      <c r="U22" s="105"/>
      <c r="V22" s="99"/>
      <c r="W22" s="100"/>
    </row>
    <row r="23" spans="1:23" ht="16.5" x14ac:dyDescent="0.25">
      <c r="A23" s="124" t="str">
        <f t="shared" si="2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03"/>
      <c r="E23" s="125" t="str">
        <f t="shared" si="3"/>
        <v xml:space="preserve"> </v>
      </c>
      <c r="F23" s="103"/>
      <c r="G23" s="103"/>
      <c r="H23" s="104"/>
      <c r="I23" s="102"/>
      <c r="J23" s="104"/>
      <c r="K23" s="104"/>
      <c r="L23" s="104"/>
      <c r="M23" s="102"/>
      <c r="N23" s="104"/>
      <c r="O23" s="104"/>
      <c r="P23" s="104"/>
      <c r="Q23" s="104"/>
      <c r="R23" s="104"/>
      <c r="S23" s="104"/>
      <c r="T23" s="104"/>
      <c r="U23" s="105"/>
      <c r="V23" s="99"/>
      <c r="W23" s="100"/>
    </row>
    <row r="24" spans="1:23" ht="16.5" x14ac:dyDescent="0.25">
      <c r="A24" s="101"/>
      <c r="B24" s="106" t="s">
        <v>51</v>
      </c>
      <c r="C24" s="106"/>
      <c r="D24" s="106"/>
      <c r="E24" s="106"/>
      <c r="F24" s="106"/>
      <c r="G24" s="106"/>
      <c r="H24" s="107">
        <f t="shared" ref="H24:U24" si="4">SUM(H12:H23)</f>
        <v>0</v>
      </c>
      <c r="I24" s="107">
        <f t="shared" si="4"/>
        <v>0</v>
      </c>
      <c r="J24" s="107">
        <f t="shared" si="4"/>
        <v>0</v>
      </c>
      <c r="K24" s="107">
        <f t="shared" si="4"/>
        <v>0</v>
      </c>
      <c r="L24" s="107">
        <f t="shared" si="4"/>
        <v>0</v>
      </c>
      <c r="M24" s="107">
        <f t="shared" si="4"/>
        <v>0</v>
      </c>
      <c r="N24" s="107">
        <f t="shared" si="4"/>
        <v>0</v>
      </c>
      <c r="O24" s="107">
        <f t="shared" si="4"/>
        <v>0</v>
      </c>
      <c r="P24" s="107">
        <f t="shared" si="4"/>
        <v>0</v>
      </c>
      <c r="Q24" s="107">
        <f t="shared" si="4"/>
        <v>0</v>
      </c>
      <c r="R24" s="107">
        <f t="shared" si="4"/>
        <v>0</v>
      </c>
      <c r="S24" s="107">
        <f t="shared" si="4"/>
        <v>0</v>
      </c>
      <c r="T24" s="107">
        <f t="shared" si="4"/>
        <v>0</v>
      </c>
      <c r="U24" s="107">
        <f t="shared" si="4"/>
        <v>0</v>
      </c>
      <c r="V24" s="99"/>
      <c r="W24" s="100"/>
    </row>
    <row r="25" spans="1:23" ht="17.25" thickBot="1" x14ac:dyDescent="0.3">
      <c r="A25" s="101"/>
      <c r="B25" s="108" t="s">
        <v>45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W25" s="100"/>
    </row>
    <row r="26" spans="1:23" ht="18" thickTop="1" thickBot="1" x14ac:dyDescent="0.3">
      <c r="A26" s="110"/>
      <c r="B26" s="76"/>
      <c r="C26" s="76"/>
      <c r="D26" s="76"/>
      <c r="E26" s="76"/>
      <c r="F26" s="76"/>
      <c r="G26" s="76"/>
      <c r="H26" s="111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112"/>
    </row>
    <row r="27" spans="1:23" ht="15.75" customHeight="1" x14ac:dyDescent="0.25">
      <c r="A27" s="197"/>
      <c r="B27" s="198"/>
      <c r="C27" s="198"/>
      <c r="D27" s="198"/>
      <c r="E27" s="198"/>
      <c r="F27" s="198"/>
      <c r="G27" s="198"/>
      <c r="H27" s="198"/>
      <c r="I27" s="198"/>
      <c r="J27" s="198"/>
      <c r="K27" s="199"/>
      <c r="L27" s="195" t="s">
        <v>47</v>
      </c>
      <c r="M27" s="195"/>
      <c r="N27" s="195"/>
      <c r="O27" s="195"/>
      <c r="P27" s="195"/>
      <c r="Q27" s="195" t="s">
        <v>48</v>
      </c>
      <c r="R27" s="195"/>
      <c r="S27" s="195"/>
      <c r="T27" s="195"/>
      <c r="U27" s="196"/>
    </row>
    <row r="28" spans="1:23" ht="71.25" customHeight="1" x14ac:dyDescent="0.25">
      <c r="A28" s="200" t="s">
        <v>49</v>
      </c>
      <c r="B28" s="201"/>
      <c r="C28" s="201"/>
      <c r="D28" s="201"/>
      <c r="E28" s="201"/>
      <c r="F28" s="201"/>
      <c r="G28" s="201"/>
      <c r="H28" s="201"/>
      <c r="I28" s="201"/>
      <c r="J28" s="201"/>
      <c r="K28" s="202"/>
      <c r="L28" s="179" t="s">
        <v>53</v>
      </c>
      <c r="M28" s="180"/>
      <c r="N28" s="180"/>
      <c r="O28" s="180"/>
      <c r="P28" s="181"/>
      <c r="Q28" s="182" t="s">
        <v>55</v>
      </c>
      <c r="R28" s="183"/>
      <c r="S28" s="183"/>
      <c r="T28" s="183"/>
      <c r="U28" s="184"/>
    </row>
    <row r="29" spans="1:23" ht="15.75" customHeight="1" x14ac:dyDescent="0.2">
      <c r="A29" s="203"/>
      <c r="B29" s="204"/>
      <c r="C29" s="204"/>
      <c r="D29" s="204"/>
      <c r="E29" s="204"/>
      <c r="F29" s="204"/>
      <c r="G29" s="204"/>
      <c r="H29" s="204"/>
      <c r="I29" s="204"/>
      <c r="J29" s="204"/>
      <c r="K29" s="205"/>
      <c r="L29" s="185" t="s">
        <v>54</v>
      </c>
      <c r="M29" s="186"/>
      <c r="N29" s="186"/>
      <c r="O29" s="186"/>
      <c r="P29" s="187"/>
      <c r="Q29" s="188" t="s">
        <v>52</v>
      </c>
      <c r="R29" s="189"/>
      <c r="S29" s="189"/>
      <c r="T29" s="189"/>
      <c r="U29" s="190"/>
    </row>
    <row r="30" spans="1:23" ht="15" customHeight="1" x14ac:dyDescent="0.25">
      <c r="A30" s="113"/>
    </row>
    <row r="31" spans="1:23" x14ac:dyDescent="0.25">
      <c r="A31" s="113"/>
      <c r="H31" s="99"/>
      <c r="P31" s="114"/>
      <c r="Q31" s="114"/>
      <c r="R31" s="114"/>
      <c r="S31" s="114"/>
      <c r="T31" s="114"/>
    </row>
    <row r="32" spans="1:23" x14ac:dyDescent="0.25">
      <c r="A32" s="113"/>
      <c r="B32" s="115"/>
      <c r="C32" s="115"/>
      <c r="D32" s="115"/>
      <c r="E32" s="115"/>
      <c r="F32" s="115"/>
      <c r="G32" s="115"/>
      <c r="P32" s="116"/>
      <c r="Q32" s="116"/>
      <c r="R32" s="116"/>
      <c r="S32" s="116"/>
      <c r="T32" s="116"/>
    </row>
    <row r="33" spans="1:9" ht="16.5" x14ac:dyDescent="0.25">
      <c r="A33" s="113"/>
      <c r="B33" s="115"/>
      <c r="C33" s="115"/>
      <c r="D33" s="115"/>
      <c r="E33" s="115"/>
      <c r="F33" s="115"/>
      <c r="G33" s="115"/>
      <c r="H33" s="117"/>
      <c r="I33" s="115"/>
    </row>
    <row r="34" spans="1:9" ht="16.5" x14ac:dyDescent="0.25">
      <c r="A34" s="113"/>
      <c r="B34" s="115"/>
      <c r="C34" s="115"/>
      <c r="D34" s="115"/>
      <c r="E34" s="115"/>
      <c r="F34" s="115"/>
      <c r="G34" s="115"/>
      <c r="H34" s="117"/>
      <c r="I34" s="115"/>
    </row>
    <row r="35" spans="1:9" ht="16.5" x14ac:dyDescent="0.25">
      <c r="A35" s="113"/>
      <c r="B35" s="115"/>
      <c r="C35" s="115"/>
      <c r="D35" s="115"/>
      <c r="E35" s="115"/>
      <c r="F35" s="115"/>
      <c r="G35" s="115"/>
      <c r="H35" s="117"/>
      <c r="I35" s="115"/>
    </row>
    <row r="36" spans="1:9" ht="16.5" x14ac:dyDescent="0.25">
      <c r="A36" s="113"/>
      <c r="B36" s="115"/>
      <c r="C36" s="115"/>
      <c r="D36" s="115"/>
      <c r="E36" s="115"/>
      <c r="F36" s="115"/>
      <c r="G36" s="115"/>
      <c r="H36" s="117"/>
      <c r="I36" s="115"/>
    </row>
    <row r="37" spans="1:9" ht="16.5" x14ac:dyDescent="0.25">
      <c r="A37" s="113"/>
      <c r="B37" s="115"/>
      <c r="C37" s="115"/>
      <c r="D37" s="115"/>
      <c r="E37" s="115"/>
      <c r="F37" s="115"/>
      <c r="G37" s="115"/>
      <c r="H37" s="117"/>
      <c r="I37" s="115"/>
    </row>
    <row r="38" spans="1:9" ht="16.5" x14ac:dyDescent="0.25">
      <c r="A38" s="113"/>
      <c r="B38" s="115"/>
      <c r="C38" s="115"/>
      <c r="D38" s="115"/>
      <c r="E38" s="115"/>
      <c r="F38" s="115"/>
      <c r="G38" s="115"/>
      <c r="H38" s="117"/>
      <c r="I38" s="115"/>
    </row>
    <row r="39" spans="1:9" ht="16.5" x14ac:dyDescent="0.25">
      <c r="A39" s="113"/>
      <c r="B39" s="115"/>
      <c r="C39" s="115"/>
      <c r="D39" s="115"/>
      <c r="E39" s="115"/>
      <c r="F39" s="115"/>
      <c r="G39" s="115"/>
      <c r="H39" s="117"/>
      <c r="I39" s="115"/>
    </row>
    <row r="40" spans="1:9" x14ac:dyDescent="0.25">
      <c r="A40" s="113"/>
      <c r="B40" s="115"/>
      <c r="C40" s="115"/>
      <c r="D40" s="115"/>
      <c r="E40" s="115"/>
      <c r="F40" s="115"/>
      <c r="G40" s="115"/>
      <c r="H40" s="113"/>
    </row>
    <row r="41" spans="1:9" x14ac:dyDescent="0.25">
      <c r="A41" s="113"/>
      <c r="B41" s="115"/>
      <c r="C41" s="115"/>
      <c r="D41" s="115"/>
      <c r="E41" s="115"/>
      <c r="F41" s="115"/>
      <c r="G41" s="115"/>
      <c r="H41" s="113"/>
    </row>
    <row r="42" spans="1:9" x14ac:dyDescent="0.25">
      <c r="A42" s="113"/>
      <c r="B42" s="115"/>
      <c r="C42" s="115"/>
      <c r="D42" s="115"/>
      <c r="E42" s="115"/>
      <c r="F42" s="115"/>
      <c r="G42" s="115"/>
      <c r="H42" s="113"/>
    </row>
    <row r="43" spans="1:9" x14ac:dyDescent="0.25">
      <c r="A43" s="113"/>
      <c r="B43" s="115"/>
      <c r="C43" s="115"/>
      <c r="D43" s="115"/>
      <c r="E43" s="115"/>
      <c r="F43" s="115"/>
      <c r="G43" s="115"/>
      <c r="H43" s="113"/>
    </row>
    <row r="44" spans="1:9" x14ac:dyDescent="0.25">
      <c r="A44" s="113"/>
      <c r="B44" s="115"/>
      <c r="C44" s="115"/>
      <c r="D44" s="115"/>
      <c r="E44" s="115"/>
      <c r="F44" s="115"/>
      <c r="G44" s="115"/>
      <c r="H44" s="99"/>
    </row>
    <row r="45" spans="1:9" x14ac:dyDescent="0.25">
      <c r="A45" s="113"/>
      <c r="B45" s="118"/>
      <c r="C45" s="118"/>
      <c r="D45" s="118"/>
      <c r="E45" s="118"/>
      <c r="F45" s="118"/>
      <c r="G45" s="118"/>
      <c r="H45" s="99"/>
    </row>
    <row r="46" spans="1:9" x14ac:dyDescent="0.25">
      <c r="A46" s="113"/>
      <c r="B46" s="119"/>
      <c r="C46" s="119"/>
      <c r="D46" s="119"/>
      <c r="E46" s="119"/>
      <c r="F46" s="119"/>
      <c r="G46" s="119"/>
    </row>
    <row r="47" spans="1:9" x14ac:dyDescent="0.25">
      <c r="A47" s="113"/>
      <c r="B47" s="120"/>
      <c r="C47" s="120"/>
      <c r="D47" s="120"/>
      <c r="E47" s="120"/>
      <c r="F47" s="120"/>
      <c r="G47" s="120"/>
    </row>
    <row r="48" spans="1:9" x14ac:dyDescent="0.25">
      <c r="A48" s="113"/>
      <c r="B48" s="121"/>
      <c r="C48" s="121"/>
      <c r="D48" s="121"/>
      <c r="E48" s="121"/>
      <c r="F48" s="121"/>
      <c r="G48" s="121"/>
    </row>
    <row r="49" spans="1:7" x14ac:dyDescent="0.25">
      <c r="A49" s="113"/>
      <c r="B49" s="115"/>
      <c r="C49" s="115"/>
      <c r="D49" s="115"/>
      <c r="E49" s="115"/>
      <c r="F49" s="115"/>
      <c r="G49" s="115"/>
    </row>
    <row r="50" spans="1:7" x14ac:dyDescent="0.25">
      <c r="A50" s="113"/>
      <c r="B50" s="115"/>
      <c r="C50" s="115"/>
      <c r="D50" s="115"/>
      <c r="E50" s="115"/>
      <c r="F50" s="115"/>
      <c r="G50" s="115"/>
    </row>
    <row r="51" spans="1:7" x14ac:dyDescent="0.25">
      <c r="A51" s="113"/>
      <c r="B51" s="115"/>
      <c r="C51" s="115"/>
      <c r="D51" s="115"/>
      <c r="E51" s="115"/>
      <c r="F51" s="115"/>
      <c r="G51" s="115"/>
    </row>
    <row r="52" spans="1:7" x14ac:dyDescent="0.25">
      <c r="A52" s="113"/>
      <c r="B52" s="115"/>
      <c r="C52" s="115"/>
      <c r="D52" s="115"/>
      <c r="E52" s="115"/>
      <c r="F52" s="115"/>
      <c r="G52" s="115"/>
    </row>
    <row r="53" spans="1:7" x14ac:dyDescent="0.25">
      <c r="A53" s="113"/>
      <c r="B53" s="115"/>
      <c r="C53" s="115"/>
      <c r="D53" s="115"/>
      <c r="E53" s="115"/>
      <c r="F53" s="115"/>
      <c r="G53" s="115"/>
    </row>
    <row r="54" spans="1:7" x14ac:dyDescent="0.25">
      <c r="A54" s="113"/>
      <c r="B54" s="115"/>
      <c r="C54" s="115"/>
      <c r="D54" s="115"/>
      <c r="E54" s="115"/>
      <c r="F54" s="115"/>
      <c r="G54" s="115"/>
    </row>
    <row r="55" spans="1:7" x14ac:dyDescent="0.25">
      <c r="A55" s="113"/>
      <c r="B55" s="115"/>
      <c r="C55" s="115"/>
      <c r="D55" s="115"/>
      <c r="E55" s="115"/>
      <c r="F55" s="115"/>
      <c r="G55" s="115"/>
    </row>
    <row r="56" spans="1:7" x14ac:dyDescent="0.25">
      <c r="A56" s="113"/>
      <c r="B56" s="115"/>
      <c r="C56" s="115"/>
      <c r="D56" s="115"/>
      <c r="E56" s="115"/>
      <c r="F56" s="115"/>
      <c r="G56" s="115"/>
    </row>
    <row r="57" spans="1:7" x14ac:dyDescent="0.25">
      <c r="A57" s="113"/>
      <c r="B57" s="115"/>
      <c r="C57" s="115"/>
      <c r="D57" s="115"/>
      <c r="E57" s="115"/>
      <c r="F57" s="115"/>
      <c r="G57" s="115"/>
    </row>
    <row r="58" spans="1:7" x14ac:dyDescent="0.25">
      <c r="A58" s="113"/>
      <c r="B58" s="115"/>
      <c r="C58" s="115"/>
      <c r="D58" s="115"/>
      <c r="E58" s="115"/>
      <c r="F58" s="115"/>
      <c r="G58" s="115"/>
    </row>
    <row r="59" spans="1:7" x14ac:dyDescent="0.25">
      <c r="A59" s="113"/>
      <c r="B59" s="115"/>
      <c r="C59" s="115"/>
      <c r="D59" s="115"/>
      <c r="E59" s="115"/>
      <c r="F59" s="115"/>
      <c r="G59" s="115"/>
    </row>
    <row r="60" spans="1:7" x14ac:dyDescent="0.25">
      <c r="A60" s="113"/>
      <c r="B60" s="115"/>
      <c r="C60" s="115"/>
      <c r="D60" s="115"/>
      <c r="E60" s="115"/>
      <c r="F60" s="115"/>
      <c r="G60" s="115"/>
    </row>
    <row r="61" spans="1:7" x14ac:dyDescent="0.25">
      <c r="A61" s="113"/>
    </row>
    <row r="62" spans="1:7" x14ac:dyDescent="0.25">
      <c r="A62" s="113"/>
    </row>
    <row r="63" spans="1:7" x14ac:dyDescent="0.25">
      <c r="A63" s="113"/>
    </row>
    <row r="64" spans="1:7" x14ac:dyDescent="0.25">
      <c r="A64" s="113"/>
    </row>
    <row r="65" spans="1:1" x14ac:dyDescent="0.25">
      <c r="A65" s="113"/>
    </row>
    <row r="66" spans="1:1" x14ac:dyDescent="0.25">
      <c r="A66" s="113"/>
    </row>
    <row r="67" spans="1:1" x14ac:dyDescent="0.25">
      <c r="A67" s="113"/>
    </row>
    <row r="68" spans="1:1" x14ac:dyDescent="0.25">
      <c r="A68" s="113"/>
    </row>
    <row r="69" spans="1:1" x14ac:dyDescent="0.25">
      <c r="A69" s="113"/>
    </row>
    <row r="70" spans="1:1" x14ac:dyDescent="0.25">
      <c r="A70" s="113"/>
    </row>
    <row r="71" spans="1:1" x14ac:dyDescent="0.25">
      <c r="A71" s="113"/>
    </row>
    <row r="72" spans="1:1" x14ac:dyDescent="0.25">
      <c r="A72" s="113"/>
    </row>
    <row r="73" spans="1:1" x14ac:dyDescent="0.25">
      <c r="A73" s="113"/>
    </row>
    <row r="74" spans="1:1" x14ac:dyDescent="0.25">
      <c r="A74" s="113"/>
    </row>
  </sheetData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PROYECTOS!$A$1:$A$75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89"/>
  <sheetViews>
    <sheetView showGridLines="0" tabSelected="1" zoomScale="80" zoomScaleNormal="80" workbookViewId="0">
      <selection activeCell="D17" sqref="D17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77" t="s">
        <v>0</v>
      </c>
      <c r="T2" s="178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91" t="s">
        <v>3</v>
      </c>
      <c r="N5" s="191"/>
      <c r="O5" s="191"/>
      <c r="P5" s="191"/>
      <c r="Q5" s="191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91"/>
      <c r="N6" s="191"/>
      <c r="O6" s="191"/>
      <c r="P6" s="191"/>
      <c r="Q6" s="191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46237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92" t="s">
        <v>10</v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9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25" t="str">
        <f t="shared" ref="D13:D23" si="2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99"/>
    </row>
    <row r="14" spans="1:27" ht="16.5" x14ac:dyDescent="0.25">
      <c r="A14" s="124" t="str">
        <f t="shared" ref="A14:A23" si="3">IF(E14&lt;&gt;"",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25" t="str">
        <f t="shared" si="2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99"/>
    </row>
    <row r="15" spans="1:27" ht="16.5" x14ac:dyDescent="0.25">
      <c r="A15" s="124" t="str">
        <f t="shared" si="3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25" t="str">
        <f t="shared" si="2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99"/>
    </row>
    <row r="16" spans="1:27" ht="16.5" x14ac:dyDescent="0.25">
      <c r="A16" s="124" t="str">
        <f t="shared" si="3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25" t="str">
        <f t="shared" si="2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99"/>
    </row>
    <row r="17" spans="1:23" ht="16.5" x14ac:dyDescent="0.25">
      <c r="A17" s="124" t="str">
        <f t="shared" si="3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25" t="str">
        <f t="shared" si="2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99"/>
    </row>
    <row r="18" spans="1:23" ht="16.5" x14ac:dyDescent="0.25">
      <c r="A18" s="124" t="str">
        <f t="shared" si="3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25" t="str">
        <f t="shared" si="2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99"/>
    </row>
    <row r="19" spans="1:23" ht="16.5" x14ac:dyDescent="0.25">
      <c r="A19" s="124" t="str">
        <f t="shared" si="3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25" t="str">
        <f t="shared" si="2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99"/>
    </row>
    <row r="20" spans="1:23" ht="16.5" x14ac:dyDescent="0.25">
      <c r="A20" s="124" t="str">
        <f t="shared" si="3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25" t="str">
        <f t="shared" si="2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99"/>
    </row>
    <row r="21" spans="1:23" ht="16.5" x14ac:dyDescent="0.25">
      <c r="A21" s="124" t="str">
        <f t="shared" si="3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25" t="str">
        <f t="shared" si="2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99"/>
    </row>
    <row r="22" spans="1:23" ht="16.5" x14ac:dyDescent="0.25">
      <c r="A22" s="124" t="str">
        <f t="shared" si="3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25" t="str">
        <f t="shared" si="2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99"/>
    </row>
    <row r="23" spans="1:23" ht="16.5" x14ac:dyDescent="0.25">
      <c r="A23" s="124" t="str">
        <f t="shared" si="3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25" t="str">
        <f t="shared" si="2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99"/>
    </row>
    <row r="24" spans="1:23" ht="16.5" x14ac:dyDescent="0.25">
      <c r="A24" s="130"/>
      <c r="B24" s="131" t="s">
        <v>50</v>
      </c>
      <c r="C24" s="125"/>
      <c r="D24" s="125" t="str">
        <f t="shared" ref="D24" si="4">IF(ISBLANK(E24), " ", "371")</f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5">SUM(I12:I23)</f>
        <v>0</v>
      </c>
      <c r="J24" s="133">
        <f t="shared" si="5"/>
        <v>0</v>
      </c>
      <c r="K24" s="133">
        <f t="shared" si="5"/>
        <v>0</v>
      </c>
      <c r="L24" s="133">
        <f t="shared" si="5"/>
        <v>0</v>
      </c>
      <c r="M24" s="133">
        <f t="shared" si="5"/>
        <v>0</v>
      </c>
      <c r="N24" s="133">
        <f t="shared" si="5"/>
        <v>0</v>
      </c>
      <c r="O24" s="133">
        <f t="shared" si="5"/>
        <v>0</v>
      </c>
      <c r="P24" s="133">
        <f t="shared" si="5"/>
        <v>0</v>
      </c>
      <c r="Q24" s="133">
        <f t="shared" si="5"/>
        <v>0</v>
      </c>
      <c r="R24" s="133">
        <f t="shared" si="5"/>
        <v>0</v>
      </c>
      <c r="S24" s="133">
        <f t="shared" si="5"/>
        <v>0</v>
      </c>
      <c r="T24" s="133">
        <f t="shared" si="5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6">I24</f>
        <v>0</v>
      </c>
      <c r="J25" s="109">
        <f t="shared" si="6"/>
        <v>0</v>
      </c>
      <c r="K25" s="109">
        <f t="shared" si="6"/>
        <v>0</v>
      </c>
      <c r="L25" s="109">
        <f t="shared" si="6"/>
        <v>0</v>
      </c>
      <c r="M25" s="109">
        <f t="shared" si="6"/>
        <v>0</v>
      </c>
      <c r="N25" s="109">
        <f t="shared" si="6"/>
        <v>0</v>
      </c>
      <c r="O25" s="109">
        <f t="shared" si="6"/>
        <v>0</v>
      </c>
      <c r="P25" s="109">
        <f t="shared" si="6"/>
        <v>0</v>
      </c>
      <c r="Q25" s="109">
        <f t="shared" si="6"/>
        <v>0</v>
      </c>
      <c r="R25" s="109">
        <f t="shared" si="6"/>
        <v>0</v>
      </c>
      <c r="S25" s="109">
        <f t="shared" si="6"/>
        <v>0</v>
      </c>
      <c r="T25" s="109">
        <f t="shared" si="6"/>
        <v>0</v>
      </c>
      <c r="U25" s="109">
        <f t="shared" si="6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61</v>
      </c>
      <c r="B27" s="123" t="str">
        <f>IFERROR(RIGHT(C27,10),"")</f>
        <v xml:space="preserve"> </v>
      </c>
      <c r="C27" s="123" t="str">
        <f t="shared" ref="C27:C38" si="7"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8">IFERROR(RIGHT(C28,10),"")</f>
        <v xml:space="preserve"> </v>
      </c>
      <c r="C28" s="123" t="str">
        <f t="shared" si="7"/>
        <v xml:space="preserve"> </v>
      </c>
      <c r="D28" s="125" t="str">
        <f t="shared" ref="D28:D38" si="9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10">IF(E29&lt;&gt;"", A28+1, " ")</f>
        <v xml:space="preserve"> </v>
      </c>
      <c r="B29" s="123" t="str">
        <f t="shared" si="8"/>
        <v xml:space="preserve"> </v>
      </c>
      <c r="C29" s="123" t="str">
        <f t="shared" si="7"/>
        <v xml:space="preserve"> </v>
      </c>
      <c r="D29" s="125" t="str">
        <f t="shared" si="9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10"/>
        <v xml:space="preserve"> </v>
      </c>
      <c r="B30" s="123" t="str">
        <f t="shared" si="8"/>
        <v xml:space="preserve"> </v>
      </c>
      <c r="C30" s="123" t="str">
        <f t="shared" si="7"/>
        <v xml:space="preserve"> </v>
      </c>
      <c r="D30" s="125" t="str">
        <f t="shared" si="9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10"/>
        <v xml:space="preserve"> </v>
      </c>
      <c r="B31" s="123" t="str">
        <f t="shared" si="8"/>
        <v xml:space="preserve"> </v>
      </c>
      <c r="C31" s="123" t="str">
        <f t="shared" si="7"/>
        <v xml:space="preserve"> </v>
      </c>
      <c r="D31" s="125" t="str">
        <f t="shared" si="9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8"/>
        <v xml:space="preserve"> </v>
      </c>
      <c r="C32" s="123" t="str">
        <f t="shared" si="7"/>
        <v xml:space="preserve"> </v>
      </c>
      <c r="D32" s="125" t="str">
        <f t="shared" si="9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8"/>
        <v xml:space="preserve"> </v>
      </c>
      <c r="C33" s="123" t="str">
        <f t="shared" si="7"/>
        <v xml:space="preserve"> </v>
      </c>
      <c r="D33" s="125" t="str">
        <f t="shared" si="9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8"/>
        <v xml:space="preserve"> </v>
      </c>
      <c r="C34" s="123" t="str">
        <f t="shared" si="7"/>
        <v xml:space="preserve"> </v>
      </c>
      <c r="D34" s="125" t="str">
        <f t="shared" si="9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8"/>
        <v xml:space="preserve"> </v>
      </c>
      <c r="C35" s="123" t="str">
        <f t="shared" si="7"/>
        <v xml:space="preserve"> </v>
      </c>
      <c r="D35" s="125" t="str">
        <f t="shared" si="9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8"/>
        <v xml:space="preserve"> </v>
      </c>
      <c r="C36" s="123" t="str">
        <f t="shared" si="7"/>
        <v xml:space="preserve"> </v>
      </c>
      <c r="D36" s="125" t="str">
        <f t="shared" si="9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8"/>
        <v xml:space="preserve"> </v>
      </c>
      <c r="C37" s="123" t="str">
        <f t="shared" si="7"/>
        <v xml:space="preserve"> </v>
      </c>
      <c r="D37" s="125" t="str">
        <f t="shared" si="9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8"/>
        <v xml:space="preserve"> </v>
      </c>
      <c r="C38" s="123" t="str">
        <f t="shared" si="7"/>
        <v xml:space="preserve"> </v>
      </c>
      <c r="D38" s="125" t="str">
        <f t="shared" si="9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1">SUM(H27:H38)</f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2">I39</f>
        <v>0</v>
      </c>
      <c r="J40" s="109">
        <f t="shared" si="12"/>
        <v>0</v>
      </c>
      <c r="K40" s="109">
        <f t="shared" si="12"/>
        <v>0</v>
      </c>
      <c r="L40" s="109">
        <f t="shared" si="12"/>
        <v>0</v>
      </c>
      <c r="M40" s="109">
        <f t="shared" si="12"/>
        <v>0</v>
      </c>
      <c r="N40" s="109">
        <f t="shared" si="12"/>
        <v>0</v>
      </c>
      <c r="O40" s="109">
        <f t="shared" si="12"/>
        <v>0</v>
      </c>
      <c r="P40" s="109">
        <f t="shared" si="12"/>
        <v>0</v>
      </c>
      <c r="Q40" s="109">
        <f t="shared" si="12"/>
        <v>0</v>
      </c>
      <c r="R40" s="109">
        <f t="shared" si="12"/>
        <v>0</v>
      </c>
      <c r="S40" s="109">
        <f t="shared" si="12"/>
        <v>0</v>
      </c>
      <c r="T40" s="109">
        <f t="shared" si="12"/>
        <v>0</v>
      </c>
      <c r="U40" s="109">
        <f t="shared" si="12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35"/>
      <c r="B42" s="136"/>
      <c r="C42" s="136"/>
      <c r="D42" s="136"/>
      <c r="E42" s="136"/>
      <c r="F42" s="136"/>
      <c r="G42" s="136"/>
      <c r="H42" s="136"/>
      <c r="I42" s="136"/>
      <c r="J42" s="136"/>
      <c r="K42" s="137"/>
      <c r="L42" s="195" t="s">
        <v>47</v>
      </c>
      <c r="M42" s="195"/>
      <c r="N42" s="195"/>
      <c r="O42" s="195"/>
      <c r="P42" s="195"/>
      <c r="Q42" s="195" t="s">
        <v>48</v>
      </c>
      <c r="R42" s="195"/>
      <c r="S42" s="195"/>
      <c r="T42" s="195"/>
      <c r="U42" s="196"/>
    </row>
    <row r="43" spans="1:23" ht="71.25" customHeight="1" x14ac:dyDescent="0.25">
      <c r="A43" s="143" t="s">
        <v>49</v>
      </c>
      <c r="B43" s="138"/>
      <c r="C43" s="138"/>
      <c r="D43" s="138"/>
      <c r="E43" s="138"/>
      <c r="F43" s="138"/>
      <c r="G43" s="138"/>
      <c r="H43" s="138"/>
      <c r="I43" s="138"/>
      <c r="J43" s="138"/>
      <c r="K43" s="139"/>
      <c r="L43" s="179" t="s">
        <v>53</v>
      </c>
      <c r="M43" s="180"/>
      <c r="N43" s="180"/>
      <c r="O43" s="180"/>
      <c r="P43" s="181"/>
      <c r="Q43" s="182" t="s">
        <v>55</v>
      </c>
      <c r="R43" s="183"/>
      <c r="S43" s="183"/>
      <c r="T43" s="183"/>
      <c r="U43" s="184"/>
    </row>
    <row r="44" spans="1:23" ht="15.75" customHeight="1" thickBot="1" x14ac:dyDescent="0.25">
      <c r="A44" s="140"/>
      <c r="B44" s="141"/>
      <c r="C44" s="141"/>
      <c r="D44" s="141"/>
      <c r="E44" s="141"/>
      <c r="F44" s="141"/>
      <c r="G44" s="141"/>
      <c r="H44" s="141"/>
      <c r="I44" s="141"/>
      <c r="J44" s="141"/>
      <c r="K44" s="142"/>
      <c r="L44" s="185" t="s">
        <v>54</v>
      </c>
      <c r="M44" s="186"/>
      <c r="N44" s="186"/>
      <c r="O44" s="186"/>
      <c r="P44" s="187"/>
      <c r="Q44" s="188" t="s">
        <v>52</v>
      </c>
      <c r="R44" s="189"/>
      <c r="S44" s="189"/>
      <c r="T44" s="189"/>
      <c r="U44" s="190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HTs970mEhFFNdvffk7F1fXVnGgVMz+FSymvbH67FylUMuJF9Sal6uZf0yHAzsOqVnML6oFNHF6Kj4LTXXG48tQ==" saltValue="zjz1RsY6zkLwY/B8rs2exA==" spinCount="100000" sheet="1" objects="1" scenarios="1"/>
  <mergeCells count="9">
    <mergeCell ref="L43:P43"/>
    <mergeCell ref="Q43:U43"/>
    <mergeCell ref="L44:P44"/>
    <mergeCell ref="Q44:U44"/>
    <mergeCell ref="S2:T2"/>
    <mergeCell ref="M5:Q6"/>
    <mergeCell ref="I9:T9"/>
    <mergeCell ref="L42:P42"/>
    <mergeCell ref="Q42:U42"/>
  </mergeCells>
  <dataValidations count="1">
    <dataValidation type="list" allowBlank="1" showInputMessage="1" showErrorMessage="1" sqref="E27:E38">
      <formula1>$A$1:$A$58</formula1>
    </dataValidation>
  </dataValidation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PROYECTOS!$A$1:$A$75</xm:f>
          </x14:formula1>
          <xm:sqref>E24</xm:sqref>
        </x14:dataValidation>
        <x14:dataValidation type="list" allowBlank="1" showInputMessage="1" showErrorMessage="1">
          <x14:formula1>
            <xm:f>PROYECTOS!$A$1:$A$60</xm:f>
          </x14:formula1>
          <xm:sqref>E12:E23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1:AA89"/>
  <sheetViews>
    <sheetView showGridLines="0" zoomScale="80" zoomScaleNormal="80" workbookViewId="0">
      <selection activeCell="G32" sqref="G3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2" width="36.42578125" style="77" customWidth="1"/>
    <col min="23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77" t="s">
        <v>0</v>
      </c>
      <c r="T2" s="178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91" t="s">
        <v>3</v>
      </c>
      <c r="N5" s="191"/>
      <c r="O5" s="191"/>
      <c r="P5" s="191"/>
      <c r="Q5" s="191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91"/>
      <c r="N6" s="191"/>
      <c r="O6" s="191"/>
      <c r="P6" s="191"/>
      <c r="Q6" s="191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46237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92" t="s">
        <v>10</v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89"/>
      <c r="V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145" t="s">
        <v>18</v>
      </c>
      <c r="I10" s="145" t="s">
        <v>19</v>
      </c>
      <c r="J10" s="145" t="s">
        <v>20</v>
      </c>
      <c r="K10" s="145" t="s">
        <v>21</v>
      </c>
      <c r="L10" s="145" t="s">
        <v>22</v>
      </c>
      <c r="M10" s="145" t="s">
        <v>23</v>
      </c>
      <c r="N10" s="145" t="s">
        <v>24</v>
      </c>
      <c r="O10" s="145" t="s">
        <v>25</v>
      </c>
      <c r="P10" s="145" t="s">
        <v>26</v>
      </c>
      <c r="Q10" s="145" t="s">
        <v>27</v>
      </c>
      <c r="R10" s="145" t="s">
        <v>28</v>
      </c>
      <c r="S10" s="145" t="s">
        <v>29</v>
      </c>
      <c r="T10" s="145" t="s">
        <v>30</v>
      </c>
      <c r="U10" s="94" t="s">
        <v>31</v>
      </c>
      <c r="V10" s="94" t="s">
        <v>138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7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25" t="str">
        <f t="shared" ref="D13:D24" si="2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</row>
    <row r="14" spans="1:27" ht="16.5" x14ac:dyDescent="0.25">
      <c r="A14" s="124" t="str">
        <f t="shared" ref="A14:A23" si="3">IF(E14&lt;&gt;"",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25" t="str">
        <f t="shared" si="2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</row>
    <row r="15" spans="1:27" ht="16.5" x14ac:dyDescent="0.25">
      <c r="A15" s="124" t="str">
        <f t="shared" si="3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25" t="str">
        <f t="shared" si="2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129"/>
    </row>
    <row r="16" spans="1:27" ht="16.5" x14ac:dyDescent="0.25">
      <c r="A16" s="124" t="str">
        <f t="shared" si="3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25" t="str">
        <f t="shared" si="2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129"/>
    </row>
    <row r="17" spans="1:23" ht="16.5" x14ac:dyDescent="0.25">
      <c r="A17" s="124" t="str">
        <f t="shared" si="3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25" t="str">
        <f t="shared" si="2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</row>
    <row r="18" spans="1:23" ht="16.5" x14ac:dyDescent="0.25">
      <c r="A18" s="124" t="str">
        <f t="shared" si="3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25" t="str">
        <f t="shared" si="2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</row>
    <row r="19" spans="1:23" ht="16.5" x14ac:dyDescent="0.25">
      <c r="A19" s="124" t="str">
        <f t="shared" si="3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25" t="str">
        <f t="shared" si="2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</row>
    <row r="20" spans="1:23" ht="16.5" x14ac:dyDescent="0.25">
      <c r="A20" s="124" t="str">
        <f t="shared" si="3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25" t="str">
        <f t="shared" si="2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</row>
    <row r="21" spans="1:23" ht="16.5" x14ac:dyDescent="0.25">
      <c r="A21" s="124" t="str">
        <f t="shared" si="3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25" t="str">
        <f t="shared" si="2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</row>
    <row r="22" spans="1:23" ht="16.5" x14ac:dyDescent="0.25">
      <c r="A22" s="124" t="str">
        <f t="shared" si="3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25" t="str">
        <f t="shared" si="2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</row>
    <row r="23" spans="1:23" ht="16.5" x14ac:dyDescent="0.25">
      <c r="A23" s="124" t="str">
        <f t="shared" si="3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25" t="str">
        <f t="shared" si="2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</row>
    <row r="24" spans="1:23" ht="16.5" x14ac:dyDescent="0.25">
      <c r="A24" s="130"/>
      <c r="B24" s="131" t="s">
        <v>50</v>
      </c>
      <c r="C24" s="125"/>
      <c r="D24" s="125" t="str">
        <f t="shared" si="2"/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4">SUM(I12:I23)</f>
        <v>0</v>
      </c>
      <c r="J24" s="133">
        <f t="shared" si="4"/>
        <v>0</v>
      </c>
      <c r="K24" s="133">
        <f t="shared" si="4"/>
        <v>0</v>
      </c>
      <c r="L24" s="133">
        <f t="shared" si="4"/>
        <v>0</v>
      </c>
      <c r="M24" s="133">
        <f t="shared" si="4"/>
        <v>0</v>
      </c>
      <c r="N24" s="133">
        <f t="shared" si="4"/>
        <v>0</v>
      </c>
      <c r="O24" s="133">
        <f t="shared" si="4"/>
        <v>0</v>
      </c>
      <c r="P24" s="133">
        <f t="shared" si="4"/>
        <v>0</v>
      </c>
      <c r="Q24" s="133">
        <f t="shared" si="4"/>
        <v>0</v>
      </c>
      <c r="R24" s="133">
        <f t="shared" si="4"/>
        <v>0</v>
      </c>
      <c r="S24" s="133">
        <f t="shared" si="4"/>
        <v>0</v>
      </c>
      <c r="T24" s="133">
        <f t="shared" si="4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61</v>
      </c>
      <c r="B27" s="123" t="str">
        <f>IFERROR(RIGHT(C27,10),"")</f>
        <v xml:space="preserve"> </v>
      </c>
      <c r="C27" s="123" t="str">
        <f t="shared" ref="C27:C38" si="6"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7">IFERROR(RIGHT(C28,10),"")</f>
        <v xml:space="preserve"> </v>
      </c>
      <c r="C28" s="123" t="str">
        <f t="shared" si="6"/>
        <v xml:space="preserve"> </v>
      </c>
      <c r="D28" s="125" t="str">
        <f t="shared" ref="D28:D38" si="8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9">IF(E29&lt;&gt;"", A28+1, " ")</f>
        <v xml:space="preserve"> </v>
      </c>
      <c r="B29" s="123" t="str">
        <f t="shared" si="7"/>
        <v xml:space="preserve"> </v>
      </c>
      <c r="C29" s="123" t="str">
        <f t="shared" si="6"/>
        <v xml:space="preserve"> </v>
      </c>
      <c r="D29" s="125" t="str">
        <f t="shared" si="8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9"/>
        <v xml:space="preserve"> </v>
      </c>
      <c r="B30" s="123" t="str">
        <f t="shared" si="7"/>
        <v xml:space="preserve"> </v>
      </c>
      <c r="C30" s="123" t="str">
        <f t="shared" si="6"/>
        <v xml:space="preserve"> </v>
      </c>
      <c r="D30" s="125" t="str">
        <f t="shared" si="8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9"/>
        <v xml:space="preserve"> </v>
      </c>
      <c r="B31" s="123" t="str">
        <f t="shared" si="7"/>
        <v xml:space="preserve"> </v>
      </c>
      <c r="C31" s="123" t="str">
        <f t="shared" si="6"/>
        <v xml:space="preserve"> </v>
      </c>
      <c r="D31" s="125" t="str">
        <f t="shared" si="8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7"/>
        <v xml:space="preserve"> </v>
      </c>
      <c r="C32" s="123" t="str">
        <f t="shared" si="6"/>
        <v xml:space="preserve"> </v>
      </c>
      <c r="D32" s="125" t="str">
        <f t="shared" si="8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7"/>
        <v xml:space="preserve"> </v>
      </c>
      <c r="C33" s="123" t="str">
        <f t="shared" si="6"/>
        <v xml:space="preserve"> </v>
      </c>
      <c r="D33" s="125" t="str">
        <f t="shared" si="8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7"/>
        <v xml:space="preserve"> </v>
      </c>
      <c r="C34" s="123" t="str">
        <f t="shared" si="6"/>
        <v xml:space="preserve"> </v>
      </c>
      <c r="D34" s="125" t="str">
        <f t="shared" si="8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7"/>
        <v xml:space="preserve"> </v>
      </c>
      <c r="C35" s="123" t="str">
        <f t="shared" si="6"/>
        <v xml:space="preserve"> </v>
      </c>
      <c r="D35" s="125" t="str">
        <f t="shared" si="8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7"/>
        <v xml:space="preserve"> </v>
      </c>
      <c r="C36" s="123" t="str">
        <f t="shared" si="6"/>
        <v xml:space="preserve"> </v>
      </c>
      <c r="D36" s="125" t="str">
        <f t="shared" si="8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7"/>
        <v xml:space="preserve"> </v>
      </c>
      <c r="C37" s="123" t="str">
        <f t="shared" si="6"/>
        <v xml:space="preserve"> </v>
      </c>
      <c r="D37" s="125" t="str">
        <f t="shared" si="8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7"/>
        <v xml:space="preserve"> </v>
      </c>
      <c r="C38" s="123" t="str">
        <f t="shared" si="6"/>
        <v xml:space="preserve"> </v>
      </c>
      <c r="D38" s="125" t="str">
        <f t="shared" si="8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0">SUM(H27:H38)</f>
        <v>0</v>
      </c>
      <c r="I39" s="107">
        <f t="shared" si="10"/>
        <v>0</v>
      </c>
      <c r="J39" s="107">
        <f t="shared" si="10"/>
        <v>0</v>
      </c>
      <c r="K39" s="107">
        <f t="shared" si="10"/>
        <v>0</v>
      </c>
      <c r="L39" s="107">
        <f t="shared" si="10"/>
        <v>0</v>
      </c>
      <c r="M39" s="107">
        <f t="shared" si="10"/>
        <v>0</v>
      </c>
      <c r="N39" s="107">
        <f t="shared" si="10"/>
        <v>0</v>
      </c>
      <c r="O39" s="107">
        <f t="shared" si="10"/>
        <v>0</v>
      </c>
      <c r="P39" s="107">
        <f t="shared" si="10"/>
        <v>0</v>
      </c>
      <c r="Q39" s="107">
        <f t="shared" si="10"/>
        <v>0</v>
      </c>
      <c r="R39" s="107">
        <f t="shared" si="10"/>
        <v>0</v>
      </c>
      <c r="S39" s="107">
        <f t="shared" si="10"/>
        <v>0</v>
      </c>
      <c r="T39" s="107">
        <f t="shared" si="10"/>
        <v>0</v>
      </c>
      <c r="U39" s="107">
        <f t="shared" si="10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1">I39</f>
        <v>0</v>
      </c>
      <c r="J40" s="109">
        <f t="shared" si="11"/>
        <v>0</v>
      </c>
      <c r="K40" s="109">
        <f t="shared" si="11"/>
        <v>0</v>
      </c>
      <c r="L40" s="109">
        <f t="shared" si="11"/>
        <v>0</v>
      </c>
      <c r="M40" s="109">
        <f t="shared" si="11"/>
        <v>0</v>
      </c>
      <c r="N40" s="109">
        <f t="shared" si="11"/>
        <v>0</v>
      </c>
      <c r="O40" s="109">
        <f t="shared" si="11"/>
        <v>0</v>
      </c>
      <c r="P40" s="109">
        <f t="shared" si="11"/>
        <v>0</v>
      </c>
      <c r="Q40" s="109">
        <f t="shared" si="11"/>
        <v>0</v>
      </c>
      <c r="R40" s="109">
        <f t="shared" si="11"/>
        <v>0</v>
      </c>
      <c r="S40" s="109">
        <f t="shared" si="11"/>
        <v>0</v>
      </c>
      <c r="T40" s="109">
        <f t="shared" si="11"/>
        <v>0</v>
      </c>
      <c r="U40" s="109">
        <f t="shared" si="11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46"/>
      <c r="B42" s="147"/>
      <c r="C42" s="147"/>
      <c r="D42" s="147"/>
      <c r="E42" s="147"/>
      <c r="F42" s="147"/>
      <c r="G42" s="147"/>
      <c r="H42" s="147"/>
      <c r="I42" s="147"/>
      <c r="J42" s="147"/>
      <c r="K42" s="148"/>
      <c r="L42" s="195" t="s">
        <v>47</v>
      </c>
      <c r="M42" s="195"/>
      <c r="N42" s="195"/>
      <c r="O42" s="195"/>
      <c r="P42" s="195"/>
      <c r="Q42" s="195" t="s">
        <v>48</v>
      </c>
      <c r="R42" s="195"/>
      <c r="S42" s="195"/>
      <c r="T42" s="195"/>
      <c r="U42" s="196"/>
    </row>
    <row r="43" spans="1:23" ht="71.25" customHeight="1" x14ac:dyDescent="0.25">
      <c r="A43" s="143" t="s">
        <v>49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50"/>
      <c r="L43" s="179" t="s">
        <v>53</v>
      </c>
      <c r="M43" s="180"/>
      <c r="N43" s="180"/>
      <c r="O43" s="180"/>
      <c r="P43" s="181"/>
      <c r="Q43" s="182" t="s">
        <v>55</v>
      </c>
      <c r="R43" s="183"/>
      <c r="S43" s="183"/>
      <c r="T43" s="183"/>
      <c r="U43" s="184"/>
    </row>
    <row r="44" spans="1:23" ht="15.75" customHeight="1" thickBot="1" x14ac:dyDescent="0.25">
      <c r="A44" s="151"/>
      <c r="B44" s="152"/>
      <c r="C44" s="152"/>
      <c r="D44" s="152"/>
      <c r="E44" s="152"/>
      <c r="F44" s="152"/>
      <c r="G44" s="152"/>
      <c r="H44" s="152"/>
      <c r="I44" s="152"/>
      <c r="J44" s="152"/>
      <c r="K44" s="153"/>
      <c r="L44" s="185" t="s">
        <v>54</v>
      </c>
      <c r="M44" s="186"/>
      <c r="N44" s="186"/>
      <c r="O44" s="186"/>
      <c r="P44" s="187"/>
      <c r="Q44" s="188" t="s">
        <v>52</v>
      </c>
      <c r="R44" s="189"/>
      <c r="S44" s="189"/>
      <c r="T44" s="189"/>
      <c r="U44" s="190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qK1qcwL0PL+/Xq7kLtDK120DfNzntDo5i5WSe79GHgDecBPMh9poJoK09XAId0W3s4q4PPBN6Hs493VKT8IxDg==" saltValue="jWE+vKnTHmR+GldQ4cv3Og==" spinCount="100000" sheet="1" objects="1" scenarios="1"/>
  <mergeCells count="9">
    <mergeCell ref="L44:P44"/>
    <mergeCell ref="Q44:U44"/>
    <mergeCell ref="S2:T2"/>
    <mergeCell ref="M5:Q6"/>
    <mergeCell ref="I9:T9"/>
    <mergeCell ref="L42:P42"/>
    <mergeCell ref="Q42:U42"/>
    <mergeCell ref="L43:P43"/>
    <mergeCell ref="Q43:U43"/>
  </mergeCells>
  <dataValidations count="1">
    <dataValidation type="list" allowBlank="1" showInputMessage="1" showErrorMessage="1" sqref="E27:E38">
      <formula1>$A$1:$A$58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PROYECTOS!$A$1:$A$60</xm:f>
          </x14:formula1>
          <xm:sqref>E12:E23</xm:sqref>
        </x14:dataValidation>
        <x14:dataValidation type="list" allowBlank="1" showInputMessage="1" showErrorMessage="1">
          <x14:formula1>
            <xm:f>PROYECTOS!$A$1:$A$75</xm:f>
          </x14:formula1>
          <xm:sqref>E24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65"/>
  <sheetViews>
    <sheetView topLeftCell="A43" workbookViewId="0">
      <selection activeCell="C53" sqref="C53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43.5703125" bestFit="1" customWidth="1"/>
  </cols>
  <sheetData>
    <row r="1" spans="1:6" x14ac:dyDescent="0.25">
      <c r="A1" t="s">
        <v>56</v>
      </c>
      <c r="B1" t="s">
        <v>57</v>
      </c>
      <c r="C1" t="s">
        <v>58</v>
      </c>
      <c r="F1" s="144" t="s">
        <v>102</v>
      </c>
    </row>
    <row r="2" spans="1:6" x14ac:dyDescent="0.25">
      <c r="A2" s="75" t="s">
        <v>64</v>
      </c>
      <c r="B2" s="75" t="s">
        <v>105</v>
      </c>
      <c r="F2" s="144"/>
    </row>
    <row r="3" spans="1:6" x14ac:dyDescent="0.25">
      <c r="A3" s="75" t="s">
        <v>65</v>
      </c>
      <c r="B3" s="75" t="s">
        <v>106</v>
      </c>
    </row>
    <row r="4" spans="1:6" x14ac:dyDescent="0.25">
      <c r="A4" s="75" t="s">
        <v>66</v>
      </c>
      <c r="B4" s="75" t="s">
        <v>107</v>
      </c>
    </row>
    <row r="5" spans="1:6" x14ac:dyDescent="0.25">
      <c r="A5" s="75" t="s">
        <v>103</v>
      </c>
      <c r="B5" s="75" t="s">
        <v>59</v>
      </c>
    </row>
    <row r="6" spans="1:6" x14ac:dyDescent="0.25">
      <c r="A6" s="75" t="s">
        <v>62</v>
      </c>
      <c r="B6" s="75" t="s">
        <v>59</v>
      </c>
    </row>
    <row r="7" spans="1:6" x14ac:dyDescent="0.25">
      <c r="A7" s="75" t="s">
        <v>104</v>
      </c>
      <c r="B7" s="75" t="s">
        <v>60</v>
      </c>
    </row>
    <row r="8" spans="1:6" x14ac:dyDescent="0.25">
      <c r="A8" s="75" t="s">
        <v>63</v>
      </c>
      <c r="B8" s="75" t="s">
        <v>60</v>
      </c>
    </row>
    <row r="9" spans="1:6" x14ac:dyDescent="0.25">
      <c r="A9" s="75" t="s">
        <v>67</v>
      </c>
      <c r="B9" s="75" t="s">
        <v>101</v>
      </c>
    </row>
    <row r="10" spans="1:6" x14ac:dyDescent="0.25">
      <c r="A10" s="75" t="s">
        <v>68</v>
      </c>
      <c r="B10" s="75" t="s">
        <v>107</v>
      </c>
    </row>
    <row r="11" spans="1:6" x14ac:dyDescent="0.25">
      <c r="A11" s="75" t="s">
        <v>69</v>
      </c>
      <c r="B11" s="75" t="s">
        <v>107</v>
      </c>
    </row>
    <row r="12" spans="1:6" x14ac:dyDescent="0.25">
      <c r="A12" s="75" t="s">
        <v>70</v>
      </c>
      <c r="B12" s="75" t="s">
        <v>105</v>
      </c>
    </row>
    <row r="13" spans="1:6" x14ac:dyDescent="0.25">
      <c r="A13" s="75" t="s">
        <v>71</v>
      </c>
      <c r="B13" s="75" t="s">
        <v>108</v>
      </c>
    </row>
    <row r="14" spans="1:6" x14ac:dyDescent="0.25">
      <c r="A14" s="75" t="s">
        <v>72</v>
      </c>
      <c r="B14" s="75" t="s">
        <v>109</v>
      </c>
    </row>
    <row r="15" spans="1:6" x14ac:dyDescent="0.25">
      <c r="A15" s="75" t="s">
        <v>73</v>
      </c>
      <c r="B15" s="75" t="s">
        <v>110</v>
      </c>
    </row>
    <row r="16" spans="1:6" x14ac:dyDescent="0.25">
      <c r="A16" s="75" t="s">
        <v>74</v>
      </c>
      <c r="B16" s="75" t="s">
        <v>111</v>
      </c>
    </row>
    <row r="17" spans="1:2" x14ac:dyDescent="0.25">
      <c r="A17" s="75" t="s">
        <v>75</v>
      </c>
      <c r="B17" s="75" t="s">
        <v>111</v>
      </c>
    </row>
    <row r="18" spans="1:2" x14ac:dyDescent="0.25">
      <c r="A18" s="75" t="s">
        <v>76</v>
      </c>
      <c r="B18" s="75" t="s">
        <v>111</v>
      </c>
    </row>
    <row r="19" spans="1:2" x14ac:dyDescent="0.25">
      <c r="A19" s="75" t="s">
        <v>77</v>
      </c>
      <c r="B19" s="75" t="s">
        <v>111</v>
      </c>
    </row>
    <row r="20" spans="1:2" x14ac:dyDescent="0.25">
      <c r="A20" s="75" t="s">
        <v>78</v>
      </c>
      <c r="B20" s="75" t="s">
        <v>111</v>
      </c>
    </row>
    <row r="21" spans="1:2" x14ac:dyDescent="0.25">
      <c r="A21" s="75" t="s">
        <v>79</v>
      </c>
      <c r="B21" s="75" t="s">
        <v>112</v>
      </c>
    </row>
    <row r="22" spans="1:2" x14ac:dyDescent="0.25">
      <c r="A22" s="75" t="s">
        <v>80</v>
      </c>
      <c r="B22" s="75" t="s">
        <v>112</v>
      </c>
    </row>
    <row r="23" spans="1:2" x14ac:dyDescent="0.25">
      <c r="A23" s="75" t="s">
        <v>81</v>
      </c>
      <c r="B23" s="75" t="s">
        <v>113</v>
      </c>
    </row>
    <row r="24" spans="1:2" x14ac:dyDescent="0.25">
      <c r="A24" s="75" t="s">
        <v>82</v>
      </c>
      <c r="B24" s="75" t="s">
        <v>113</v>
      </c>
    </row>
    <row r="25" spans="1:2" x14ac:dyDescent="0.25">
      <c r="A25" s="75" t="s">
        <v>83</v>
      </c>
      <c r="B25" s="75" t="s">
        <v>114</v>
      </c>
    </row>
    <row r="26" spans="1:2" x14ac:dyDescent="0.25">
      <c r="A26" s="75" t="s">
        <v>84</v>
      </c>
      <c r="B26" s="75" t="s">
        <v>110</v>
      </c>
    </row>
    <row r="27" spans="1:2" x14ac:dyDescent="0.25">
      <c r="A27" s="75" t="s">
        <v>85</v>
      </c>
      <c r="B27" s="75" t="s">
        <v>110</v>
      </c>
    </row>
    <row r="28" spans="1:2" x14ac:dyDescent="0.25">
      <c r="A28" s="75" t="s">
        <v>86</v>
      </c>
      <c r="B28" s="75" t="s">
        <v>110</v>
      </c>
    </row>
    <row r="29" spans="1:2" x14ac:dyDescent="0.25">
      <c r="A29" s="75" t="s">
        <v>87</v>
      </c>
      <c r="B29" s="75" t="s">
        <v>110</v>
      </c>
    </row>
    <row r="30" spans="1:2" x14ac:dyDescent="0.25">
      <c r="A30" s="75" t="s">
        <v>88</v>
      </c>
      <c r="B30" s="75" t="s">
        <v>110</v>
      </c>
    </row>
    <row r="31" spans="1:2" x14ac:dyDescent="0.25">
      <c r="A31" s="75" t="s">
        <v>139</v>
      </c>
      <c r="B31" s="75" t="s">
        <v>110</v>
      </c>
    </row>
    <row r="32" spans="1:2" x14ac:dyDescent="0.25">
      <c r="A32" s="75" t="s">
        <v>140</v>
      </c>
      <c r="B32" s="75" t="s">
        <v>112</v>
      </c>
    </row>
    <row r="33" spans="1:2" x14ac:dyDescent="0.25">
      <c r="A33" s="75" t="s">
        <v>141</v>
      </c>
      <c r="B33" s="75" t="s">
        <v>112</v>
      </c>
    </row>
    <row r="34" spans="1:2" x14ac:dyDescent="0.25">
      <c r="A34" s="75" t="s">
        <v>89</v>
      </c>
      <c r="B34" s="75" t="s">
        <v>115</v>
      </c>
    </row>
    <row r="35" spans="1:2" x14ac:dyDescent="0.25">
      <c r="A35" s="75" t="s">
        <v>90</v>
      </c>
      <c r="B35" s="75" t="s">
        <v>115</v>
      </c>
    </row>
    <row r="36" spans="1:2" x14ac:dyDescent="0.25">
      <c r="A36" s="75" t="s">
        <v>91</v>
      </c>
      <c r="B36" s="75" t="s">
        <v>116</v>
      </c>
    </row>
    <row r="37" spans="1:2" x14ac:dyDescent="0.25">
      <c r="A37" s="75" t="s">
        <v>92</v>
      </c>
      <c r="B37" s="75" t="s">
        <v>116</v>
      </c>
    </row>
    <row r="38" spans="1:2" x14ac:dyDescent="0.25">
      <c r="A38" s="75" t="s">
        <v>93</v>
      </c>
      <c r="B38" s="75" t="s">
        <v>116</v>
      </c>
    </row>
    <row r="39" spans="1:2" x14ac:dyDescent="0.25">
      <c r="A39" s="75" t="s">
        <v>94</v>
      </c>
      <c r="B39" s="75" t="s">
        <v>117</v>
      </c>
    </row>
    <row r="40" spans="1:2" x14ac:dyDescent="0.25">
      <c r="A40" s="75" t="s">
        <v>95</v>
      </c>
      <c r="B40" s="75" t="s">
        <v>109</v>
      </c>
    </row>
    <row r="41" spans="1:2" x14ac:dyDescent="0.25">
      <c r="A41" s="75" t="s">
        <v>96</v>
      </c>
      <c r="B41" s="75" t="s">
        <v>110</v>
      </c>
    </row>
    <row r="42" spans="1:2" x14ac:dyDescent="0.25">
      <c r="A42" s="75" t="s">
        <v>97</v>
      </c>
      <c r="B42" s="75" t="s">
        <v>110</v>
      </c>
    </row>
    <row r="43" spans="1:2" x14ac:dyDescent="0.25">
      <c r="A43" s="75" t="s">
        <v>98</v>
      </c>
      <c r="B43" s="75" t="s">
        <v>110</v>
      </c>
    </row>
    <row r="44" spans="1:2" x14ac:dyDescent="0.25">
      <c r="A44" s="75" t="s">
        <v>99</v>
      </c>
      <c r="B44" s="75" t="s">
        <v>107</v>
      </c>
    </row>
    <row r="45" spans="1:2" x14ac:dyDescent="0.25">
      <c r="A45" s="75" t="s">
        <v>100</v>
      </c>
      <c r="B45" s="75" t="s">
        <v>107</v>
      </c>
    </row>
    <row r="46" spans="1:2" x14ac:dyDescent="0.25">
      <c r="A46" s="75" t="s">
        <v>118</v>
      </c>
      <c r="B46" s="75"/>
    </row>
    <row r="47" spans="1:2" x14ac:dyDescent="0.25">
      <c r="A47" t="s">
        <v>119</v>
      </c>
      <c r="B47" s="75" t="s">
        <v>111</v>
      </c>
    </row>
    <row r="48" spans="1:2" x14ac:dyDescent="0.25">
      <c r="A48" t="s">
        <v>120</v>
      </c>
      <c r="B48" s="75" t="s">
        <v>107</v>
      </c>
    </row>
    <row r="49" spans="1:2" x14ac:dyDescent="0.25">
      <c r="A49" t="s">
        <v>121</v>
      </c>
      <c r="B49" s="75" t="s">
        <v>107</v>
      </c>
    </row>
    <row r="50" spans="1:2" x14ac:dyDescent="0.25">
      <c r="A50" t="s">
        <v>122</v>
      </c>
      <c r="B50" s="75" t="s">
        <v>107</v>
      </c>
    </row>
    <row r="51" spans="1:2" x14ac:dyDescent="0.25">
      <c r="A51" t="s">
        <v>123</v>
      </c>
      <c r="B51" s="75" t="s">
        <v>108</v>
      </c>
    </row>
    <row r="52" spans="1:2" x14ac:dyDescent="0.25">
      <c r="A52" t="s">
        <v>124</v>
      </c>
      <c r="B52" s="75" t="s">
        <v>108</v>
      </c>
    </row>
    <row r="53" spans="1:2" x14ac:dyDescent="0.25">
      <c r="A53" t="s">
        <v>125</v>
      </c>
      <c r="B53" s="75" t="s">
        <v>109</v>
      </c>
    </row>
    <row r="54" spans="1:2" x14ac:dyDescent="0.25">
      <c r="A54" t="s">
        <v>126</v>
      </c>
      <c r="B54" s="75" t="s">
        <v>109</v>
      </c>
    </row>
    <row r="55" spans="1:2" x14ac:dyDescent="0.25">
      <c r="A55" t="s">
        <v>127</v>
      </c>
      <c r="B55" s="75" t="s">
        <v>113</v>
      </c>
    </row>
    <row r="56" spans="1:2" x14ac:dyDescent="0.25">
      <c r="A56" t="s">
        <v>128</v>
      </c>
      <c r="B56" s="75" t="s">
        <v>114</v>
      </c>
    </row>
    <row r="57" spans="1:2" x14ac:dyDescent="0.25">
      <c r="A57" t="s">
        <v>129</v>
      </c>
      <c r="B57" s="75" t="s">
        <v>110</v>
      </c>
    </row>
    <row r="58" spans="1:2" x14ac:dyDescent="0.25">
      <c r="A58" t="s">
        <v>130</v>
      </c>
      <c r="B58" s="75" t="s">
        <v>112</v>
      </c>
    </row>
    <row r="59" spans="1:2" x14ac:dyDescent="0.25">
      <c r="A59" t="s">
        <v>131</v>
      </c>
      <c r="B59" s="75" t="s">
        <v>115</v>
      </c>
    </row>
    <row r="60" spans="1:2" x14ac:dyDescent="0.25">
      <c r="A60" t="s">
        <v>132</v>
      </c>
      <c r="B60" s="75" t="s">
        <v>116</v>
      </c>
    </row>
    <row r="61" spans="1:2" x14ac:dyDescent="0.25">
      <c r="A61" t="s">
        <v>133</v>
      </c>
      <c r="B61" t="s">
        <v>116</v>
      </c>
    </row>
    <row r="62" spans="1:2" x14ac:dyDescent="0.25">
      <c r="A62" t="s">
        <v>134</v>
      </c>
      <c r="B62" t="s">
        <v>116</v>
      </c>
    </row>
    <row r="63" spans="1:2" x14ac:dyDescent="0.25">
      <c r="A63" t="s">
        <v>135</v>
      </c>
      <c r="B63" t="s">
        <v>117</v>
      </c>
    </row>
    <row r="64" spans="1:2" x14ac:dyDescent="0.25">
      <c r="A64" t="s">
        <v>136</v>
      </c>
      <c r="B64" t="s">
        <v>109</v>
      </c>
    </row>
    <row r="65" spans="1:2" x14ac:dyDescent="0.25">
      <c r="A65" t="s">
        <v>137</v>
      </c>
      <c r="B65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</vt:i4>
      </vt:variant>
    </vt:vector>
  </HeadingPairs>
  <TitlesOfParts>
    <vt:vector size="14" baseType="lpstr">
      <vt:lpstr>Ejemplo de llenado</vt:lpstr>
      <vt:lpstr>Formato líquidas </vt:lpstr>
      <vt:lpstr>Formato compensado</vt:lpstr>
      <vt:lpstr>Formato Recalendarizacion</vt:lpstr>
      <vt:lpstr>PROYECTOS</vt:lpstr>
      <vt:lpstr>'Ejemplo de llenado'!Área_de_impresión</vt:lpstr>
      <vt:lpstr>'Formato compensado'!Área_de_impresión</vt:lpstr>
      <vt:lpstr>'Formato líquidas '!Área_de_impresión</vt:lpstr>
      <vt:lpstr>'Formato Recalendarizacion'!Área_de_impresión</vt:lpstr>
      <vt:lpstr>PROYECTO</vt:lpstr>
      <vt:lpstr>'Ejemplo de llenado'!Títulos_a_imprimir</vt:lpstr>
      <vt:lpstr>'Formato compensado'!Títulos_a_imprimir</vt:lpstr>
      <vt:lpstr>'Formato líquidas '!Títulos_a_imprimir</vt:lpstr>
      <vt:lpstr>'Formato Recalendarizacion'!Títulos_a_imprimir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negonzalez</cp:lastModifiedBy>
  <cp:revision/>
  <cp:lastPrinted>2026-04-08T20:47:10Z</cp:lastPrinted>
  <dcterms:created xsi:type="dcterms:W3CDTF">2014-02-10T17:21:33Z</dcterms:created>
  <dcterms:modified xsi:type="dcterms:W3CDTF">2026-08-03T20:22:11Z</dcterms:modified>
  <cp:category/>
  <cp:contentStatus/>
</cp:coreProperties>
</file>