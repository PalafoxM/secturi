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gonzalez\Documents\ARCHIVOS TRABAJO 2024\"/>
    </mc:Choice>
  </mc:AlternateContent>
  <bookViews>
    <workbookView xWindow="0" yWindow="0" windowWidth="28365" windowHeight="10800" firstSheet="1" activeTab="1"/>
  </bookViews>
  <sheets>
    <sheet name="Cuentas" sheetId="2" state="hidden" r:id="rId1"/>
    <sheet name="Formato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D18" i="1"/>
  <c r="D14" i="1"/>
</calcChain>
</file>

<file path=xl/sharedStrings.xml><?xml version="1.0" encoding="utf-8"?>
<sst xmlns="http://schemas.openxmlformats.org/spreadsheetml/2006/main" count="256" uniqueCount="197">
  <si>
    <t>Fecha</t>
  </si>
  <si>
    <t>Seleccionar sólo un tipo de operación
Traspaso Bancario ó Registro Contable</t>
  </si>
  <si>
    <t>Operación 1</t>
  </si>
  <si>
    <t>Operación 2</t>
  </si>
  <si>
    <t>Operación 3</t>
  </si>
  <si>
    <t>Cuenta Origen</t>
  </si>
  <si>
    <t>Cuenta bancaria</t>
  </si>
  <si>
    <t>Cuenta Destino</t>
  </si>
  <si>
    <t>Monto</t>
  </si>
  <si>
    <t>Justificación de la operación solicitada</t>
  </si>
  <si>
    <t>Solicitante</t>
  </si>
  <si>
    <t>Titular de la cuenta</t>
  </si>
  <si>
    <t>Consulta de CLABE y Tarjeta de Débito</t>
  </si>
  <si>
    <t>5185913 - GOBIERNO DEL ESTADO DE GUANAJUATO SFIYA SECRETARIA DE TURISMO</t>
  </si>
  <si>
    <t>R.F.C. GEG850101FQ2</t>
  </si>
  <si>
    <t>Vista</t>
  </si>
  <si>
    <t>No. de Cuenta</t>
  </si>
  <si>
    <t>CLABE</t>
  </si>
  <si>
    <t>Tarjeta de Debito</t>
  </si>
  <si>
    <t>Divisa</t>
  </si>
  <si>
    <t>Cuenta Conecta BanBajio - 1</t>
  </si>
  <si>
    <t>51859130201</t>
  </si>
  <si>
    <t>30210518591302000</t>
  </si>
  <si>
    <t>-</t>
  </si>
  <si>
    <t>Peso</t>
  </si>
  <si>
    <t>Cuentas Agrupadas</t>
  </si>
  <si>
    <t>RFC</t>
  </si>
  <si>
    <t>NUMERO DE CLIENTE</t>
  </si>
  <si>
    <t>NOMBRE</t>
  </si>
  <si>
    <t>AAAM841126IK0</t>
  </si>
  <si>
    <t>ADAME ALCARAZ MIRIAM CECILIA</t>
  </si>
  <si>
    <t>Basica - 1</t>
  </si>
  <si>
    <t>170369891701</t>
  </si>
  <si>
    <t>30210900008969100</t>
  </si>
  <si>
    <t>4210030027896370</t>
  </si>
  <si>
    <t>AABJ601014IY3</t>
  </si>
  <si>
    <t>ALVAREZ BRUNEL JUAN JOSE</t>
  </si>
  <si>
    <t>286872671701</t>
  </si>
  <si>
    <t>30210900022301600</t>
  </si>
  <si>
    <t>4210030028915410</t>
  </si>
  <si>
    <t>AUGE860613IQ1</t>
  </si>
  <si>
    <t>ABURTO GARDUÑO EDUARDO</t>
  </si>
  <si>
    <t>253807911701</t>
  </si>
  <si>
    <t>30210900018431000</t>
  </si>
  <si>
    <t>4210030024313630</t>
  </si>
  <si>
    <t>CACM750301JV6</t>
  </si>
  <si>
    <t>CAMPOS CRUZ MARISELA</t>
  </si>
  <si>
    <t>241181011701</t>
  </si>
  <si>
    <t>30210900016971900</t>
  </si>
  <si>
    <t>CADC721005QZ5</t>
  </si>
  <si>
    <t>CAMPOS DELGADO CLAUDIA LORENA</t>
  </si>
  <si>
    <t>364737341701</t>
  </si>
  <si>
    <t>30210900031395600</t>
  </si>
  <si>
    <t>4210030040421840</t>
  </si>
  <si>
    <t>CASJ840116ESA</t>
  </si>
  <si>
    <t>CABREJOS SAMAME JORGE LUIS</t>
  </si>
  <si>
    <t>154180721701</t>
  </si>
  <si>
    <t>30210900007182300</t>
  </si>
  <si>
    <t>4210030047857030</t>
  </si>
  <si>
    <t>EOLJ900126SL2</t>
  </si>
  <si>
    <t>ESCOBAR LOPEZ JABHET</t>
  </si>
  <si>
    <t>310862591701</t>
  </si>
  <si>
    <t>30210900025124000</t>
  </si>
  <si>
    <t>4210030048226800</t>
  </si>
  <si>
    <t>GAGM930217CS0</t>
  </si>
  <si>
    <t>GRANADOS GALVAN MILTON HUGO</t>
  </si>
  <si>
    <t>391023141701</t>
  </si>
  <si>
    <t>30210900034512300</t>
  </si>
  <si>
    <t>4210030044317340</t>
  </si>
  <si>
    <t>GAMD970806DGA</t>
  </si>
  <si>
    <t>GALLARDO MARTINEZ DIANA LAURA</t>
  </si>
  <si>
    <t>412484771701</t>
  </si>
  <si>
    <t>30210900037022100</t>
  </si>
  <si>
    <t>4210030047577890</t>
  </si>
  <si>
    <t>HULF841231FU9</t>
  </si>
  <si>
    <t>HUETT LOPEZ FRIDA XIMENA</t>
  </si>
  <si>
    <t>312623711701</t>
  </si>
  <si>
    <t>30210900025326900</t>
  </si>
  <si>
    <t>JAMA831006GE1</t>
  </si>
  <si>
    <t>JASSO MEDINA ADRIANA LORENA</t>
  </si>
  <si>
    <t>198423271701</t>
  </si>
  <si>
    <t>30210900012088000</t>
  </si>
  <si>
    <t>4210030016889360</t>
  </si>
  <si>
    <t>JIMY8710224NA</t>
  </si>
  <si>
    <t>JIMENEZ MEJIA YUNUEN STEPHANIE</t>
  </si>
  <si>
    <t>302428531701</t>
  </si>
  <si>
    <t>30210900024138700</t>
  </si>
  <si>
    <t>4210030031241410</t>
  </si>
  <si>
    <t>MAAB740619GV3</t>
  </si>
  <si>
    <t>MARTINEZ AGUADO BRENDA BIBIANA</t>
  </si>
  <si>
    <t>120327281701</t>
  </si>
  <si>
    <t>30210900003462700</t>
  </si>
  <si>
    <t>4210030022588060</t>
  </si>
  <si>
    <t>MEAM821127GH7</t>
  </si>
  <si>
    <t>MELGAR AZANZA JOSE MARIA</t>
  </si>
  <si>
    <t>120331141701</t>
  </si>
  <si>
    <t>30210900003463100</t>
  </si>
  <si>
    <t>4210030008918120</t>
  </si>
  <si>
    <t>MOGA881010MN0</t>
  </si>
  <si>
    <t>MOYA GONZALEZ ABRAHAM</t>
  </si>
  <si>
    <t>310862341701</t>
  </si>
  <si>
    <t>30210900025123900</t>
  </si>
  <si>
    <t>4210030032477000</t>
  </si>
  <si>
    <t>MOGR8801031Y7</t>
  </si>
  <si>
    <t>MORENO GODINEZ RODOLFO JONATHAN MARTIN</t>
  </si>
  <si>
    <t>413255071701</t>
  </si>
  <si>
    <t>30210900037114700</t>
  </si>
  <si>
    <t>4210030047578030</t>
  </si>
  <si>
    <t>PIRI7302275Y1</t>
  </si>
  <si>
    <t>PIMENTEL REDONDO ILAYALI</t>
  </si>
  <si>
    <t>258710471701</t>
  </si>
  <si>
    <t>30210900019004200</t>
  </si>
  <si>
    <t>4210030024990710</t>
  </si>
  <si>
    <t>RACA7902059N1</t>
  </si>
  <si>
    <t>RAMOS CHAVIRA ANA MARIA</t>
  </si>
  <si>
    <t>290653981701</t>
  </si>
  <si>
    <t>30210900022754500</t>
  </si>
  <si>
    <t>4210030029483800</t>
  </si>
  <si>
    <t>RADH900430U29</t>
  </si>
  <si>
    <t>RAMIREZ DUARTE HUGO</t>
  </si>
  <si>
    <t>357737791701</t>
  </si>
  <si>
    <t>30210900030558300</t>
  </si>
  <si>
    <t>4210030039353750</t>
  </si>
  <si>
    <t>ROLG7111181F1</t>
  </si>
  <si>
    <t>ROBLES LEON MARIA GUADALUPE</t>
  </si>
  <si>
    <t>366063901701</t>
  </si>
  <si>
    <t>30225900031562600</t>
  </si>
  <si>
    <t>4210030040398590</t>
  </si>
  <si>
    <t>TOSD8305183I6</t>
  </si>
  <si>
    <t>TOVAR SANCHEZ DANIELA</t>
  </si>
  <si>
    <t>253473601701</t>
  </si>
  <si>
    <t>30210900018392800</t>
  </si>
  <si>
    <t>4210030024277180</t>
  </si>
  <si>
    <t>VACE701222PA6</t>
  </si>
  <si>
    <t>VALLEJO CORTES MARIA EULALIA DEL CONSUELO</t>
  </si>
  <si>
    <t>241067911701</t>
  </si>
  <si>
    <t>30210900016958100</t>
  </si>
  <si>
    <t>4210030023820290</t>
  </si>
  <si>
    <t>VAPF6005237NA</t>
  </si>
  <si>
    <t>VALVERDE POLIN FRANCISCO JAVIER</t>
  </si>
  <si>
    <t>289845571701</t>
  </si>
  <si>
    <t>30210900022658400</t>
  </si>
  <si>
    <t>4210030031140070</t>
  </si>
  <si>
    <t>TRASPASO</t>
  </si>
  <si>
    <t>Consulta corte bancario</t>
  </si>
  <si>
    <t>Periodo</t>
  </si>
  <si>
    <t>Solicitud de Operaciones Financieras</t>
  </si>
  <si>
    <t>DIRECTORIO</t>
  </si>
  <si>
    <t>EDUARDO ABURTO GARDUÑO</t>
  </si>
  <si>
    <t>RENEE ACOSTA PRIETO</t>
  </si>
  <si>
    <t>MIRIAM CECILIA ADAME ALCARAZ</t>
  </si>
  <si>
    <t>JORGE AGUILAR NAVARRETE</t>
  </si>
  <si>
    <t>IRAZEMA DEL ROCÍO ÁLVAREZ PÉREZ</t>
  </si>
  <si>
    <t>ROCÍO ANTONIO NAVA</t>
  </si>
  <si>
    <t>JUNIOR ISMAEL BALDERAS CAMARILLO</t>
  </si>
  <si>
    <t>SERGIO KARLO BELTRÁN LARA</t>
  </si>
  <si>
    <t>JORGE LUIS CABREJOS SAMAMÉ</t>
  </si>
  <si>
    <t>DULCE MARÍA TERESITA CABRERA SOLANO</t>
  </si>
  <si>
    <t>DULCE ESTELA CAMPOS ÁLVAREZ</t>
  </si>
  <si>
    <t>MARISELA CAMPOS CRUZ</t>
  </si>
  <si>
    <t>CLAUDIA LORENA CAMPOS DELGADO</t>
  </si>
  <si>
    <t>PATRICIA CORTÉS VIVANCO</t>
  </si>
  <si>
    <t>ALMA PAOLA ENRIQUEZ GONZÁLEZ</t>
  </si>
  <si>
    <t>JABHET ESCOBAR LÓPEZ</t>
  </si>
  <si>
    <t>DIANA LAURA GALLARDO MARTÍNEZ</t>
  </si>
  <si>
    <t>ARMANDO EMMANUEL GASCA GARCÍA</t>
  </si>
  <si>
    <t>JOSETTE GONZÁLEZ LEZO</t>
  </si>
  <si>
    <t>MILTON HUGO GRANADOS GALVÁN</t>
  </si>
  <si>
    <t>FRIDA XIMENA HUETT LOPEZ</t>
  </si>
  <si>
    <t>ADRIANA LORENA JASSO MEDINA</t>
  </si>
  <si>
    <t>YUNUEN STEPHANIE JIMÉNEZ MEJÍA</t>
  </si>
  <si>
    <t>ESTEFANÍA LÓPEZ ARREOLA</t>
  </si>
  <si>
    <t>ANGÉLICA LÓPEZ LÓPEZ</t>
  </si>
  <si>
    <t>DIEGO ROBERTO MAGDALENO PULIDO</t>
  </si>
  <si>
    <t>BRENDA BIBIANA MARTÍNEZ AGUADO</t>
  </si>
  <si>
    <t>ELIZABETH MARTÍNEZ ESCOBAR</t>
  </si>
  <si>
    <t>DULCE PAMELA MARTÍNEZ SILVA</t>
  </si>
  <si>
    <t>JOSÉ MARÍA MELGAR AZANZA</t>
  </si>
  <si>
    <t>ARTURO DE JESÚS MENDOZA TORRES</t>
  </si>
  <si>
    <t>RODOLFO JONATHAN MARTÍN MORENO GODÍNEZ</t>
  </si>
  <si>
    <t>ABRAHAM MOYA GONZÁLEZ</t>
  </si>
  <si>
    <t>ILAYALI PIMENTEL REDONDO</t>
  </si>
  <si>
    <t>KARLA GUADALUPE PORRAS PEREDO</t>
  </si>
  <si>
    <t>HUGO RAMÍREZ DUARTE</t>
  </si>
  <si>
    <t>LESLIE ANDREA RAMÍREZ MENDOZA</t>
  </si>
  <si>
    <t>ANA MARÍA RAMOS CHAVIRA</t>
  </si>
  <si>
    <t>MARÍA GUADALUPE ROBLES LEÓN</t>
  </si>
  <si>
    <t>GLORIA RODRÍGUEZ ZÁRATE</t>
  </si>
  <si>
    <t>JORGE ROJAS RODRÍGUEZ</t>
  </si>
  <si>
    <t>LAURA SANTIBAÑEZ RODRÍGUEZ</t>
  </si>
  <si>
    <t>TERESITA DE JESÚS TAVARES GAYTÁN</t>
  </si>
  <si>
    <t>DANIELA TOVAR SÁNCHEZ</t>
  </si>
  <si>
    <t>MARTHA PATRICIA URRUTIA CORTÉS</t>
  </si>
  <si>
    <t>MARÍA EULALIA DEL CONSUELO VALLEJO CORTÉS</t>
  </si>
  <si>
    <t>FRANCISCO JAVIER VALVERDE POLIN</t>
  </si>
  <si>
    <t>ESTRELLA ROBERTA VÁZQUEZ ROSALES</t>
  </si>
  <si>
    <t>Traspasos, consulta cortes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</si>
</sst>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72 Condensed"/>
      <family val="2"/>
    </font>
    <font>
      <b/>
      <sz val="12"/>
      <color theme="3" tint="-0.499984740745262"/>
      <name val="72 Condensed"/>
      <family val="2"/>
    </font>
    <font>
      <b/>
      <sz val="11"/>
      <name val="72 Condensed"/>
      <family val="2"/>
    </font>
    <font>
      <sz val="11"/>
      <color theme="1"/>
      <name val="72 Condensed"/>
      <family val="2"/>
    </font>
    <font>
      <b/>
      <sz val="11"/>
      <color theme="3" tint="-0.499984740745262"/>
      <name val="72 Condensed"/>
      <family val="2"/>
    </font>
    <font>
      <sz val="12"/>
      <color theme="3" tint="-0.499984740745262"/>
      <name val="72 Condensed"/>
      <family val="2"/>
    </font>
    <font>
      <b/>
      <sz val="11"/>
      <color theme="1"/>
      <name val="72 Condensed"/>
      <family val="2"/>
    </font>
    <font>
      <sz val="12"/>
      <color theme="1"/>
      <name val="72 Condensed"/>
      <family val="2"/>
    </font>
    <font>
      <b/>
      <sz val="14"/>
      <color theme="0"/>
      <name val="72 Condensed"/>
      <family val="2"/>
    </font>
    <font>
      <b/>
      <sz val="14"/>
      <name val="72 Condensed"/>
      <family val="2"/>
    </font>
    <font>
      <b/>
      <sz val="16"/>
      <name val="72 Condensed"/>
      <family val="2"/>
    </font>
    <font>
      <b/>
      <sz val="10"/>
      <color theme="0"/>
      <name val="72 Condensed"/>
      <family val="2"/>
    </font>
    <font>
      <sz val="10"/>
      <color theme="1"/>
      <name val="72 Condensed"/>
      <family val="2"/>
    </font>
    <font>
      <b/>
      <sz val="17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3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5" fillId="3" borderId="0" xfId="0" applyFont="1" applyFill="1"/>
    <xf numFmtId="0" fontId="7" fillId="3" borderId="0" xfId="0" applyFont="1" applyFill="1" applyAlignment="1">
      <alignment vertical="center"/>
    </xf>
    <xf numFmtId="0" fontId="8" fillId="2" borderId="0" xfId="0" applyFont="1" applyFill="1"/>
    <xf numFmtId="14" fontId="9" fillId="3" borderId="4" xfId="0" applyNumberFormat="1" applyFont="1" applyFill="1" applyBorder="1" applyAlignment="1" applyProtection="1">
      <alignment horizontal="center"/>
      <protection locked="0"/>
    </xf>
    <xf numFmtId="0" fontId="9" fillId="3" borderId="4" xfId="0" applyFont="1" applyFill="1" applyBorder="1" applyAlignment="1" applyProtection="1">
      <alignment horizontal="center"/>
      <protection locked="0"/>
    </xf>
    <xf numFmtId="0" fontId="12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0" xfId="0" applyFont="1" applyFill="1" applyAlignment="1">
      <alignment vertical="center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3" fillId="4" borderId="4" xfId="0" applyFont="1" applyFill="1" applyBorder="1" applyAlignment="1">
      <alignment horizontal="left" vertical="center" wrapText="1"/>
    </xf>
    <xf numFmtId="0" fontId="13" fillId="4" borderId="14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43" fontId="0" fillId="0" borderId="0" xfId="1" applyFont="1" applyAlignment="1"/>
    <xf numFmtId="0" fontId="0" fillId="0" borderId="0" xfId="0" applyAlignment="1">
      <alignment horizontal="left"/>
    </xf>
    <xf numFmtId="0" fontId="16" fillId="0" borderId="0" xfId="0" applyFont="1" applyAlignment="1">
      <alignment horizontal="left" vertical="center"/>
    </xf>
    <xf numFmtId="0" fontId="0" fillId="5" borderId="0" xfId="0" applyFill="1" applyAlignment="1">
      <alignment horizontal="left"/>
    </xf>
    <xf numFmtId="43" fontId="0" fillId="5" borderId="0" xfId="1" applyFont="1" applyFill="1" applyAlignment="1"/>
    <xf numFmtId="0" fontId="0" fillId="5" borderId="0" xfId="0" applyFill="1"/>
    <xf numFmtId="0" fontId="17" fillId="6" borderId="0" xfId="0" applyFont="1" applyFill="1" applyAlignment="1">
      <alignment horizontal="left" vertical="center"/>
    </xf>
    <xf numFmtId="49" fontId="17" fillId="6" borderId="0" xfId="1" applyNumberFormat="1" applyFont="1" applyFill="1" applyAlignment="1">
      <alignment horizontal="left" vertical="center"/>
    </xf>
    <xf numFmtId="0" fontId="16" fillId="7" borderId="0" xfId="0" applyFont="1" applyFill="1" applyAlignment="1">
      <alignment horizontal="left" vertical="center"/>
    </xf>
    <xf numFmtId="49" fontId="16" fillId="7" borderId="0" xfId="1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49" fontId="0" fillId="0" borderId="0" xfId="1" applyNumberFormat="1" applyFont="1" applyAlignment="1"/>
    <xf numFmtId="43" fontId="0" fillId="0" borderId="0" xfId="1" applyFont="1"/>
    <xf numFmtId="0" fontId="0" fillId="0" borderId="0" xfId="1" applyNumberFormat="1" applyFont="1" applyAlignment="1">
      <alignment horizontal="left"/>
    </xf>
    <xf numFmtId="0" fontId="8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3" borderId="6" xfId="0" applyFont="1" applyFill="1" applyBorder="1" applyAlignment="1" applyProtection="1">
      <alignment horizontal="left" vertical="center"/>
      <protection locked="0"/>
    </xf>
    <xf numFmtId="0" fontId="7" fillId="3" borderId="7" xfId="0" applyFont="1" applyFill="1" applyBorder="1" applyAlignment="1" applyProtection="1">
      <alignment horizontal="left" vertical="center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9" xfId="0" applyFont="1" applyFill="1" applyBorder="1" applyAlignment="1" applyProtection="1">
      <alignment horizontal="left" vertical="center"/>
      <protection locked="0"/>
    </xf>
    <xf numFmtId="0" fontId="10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4" fillId="3" borderId="13" xfId="0" applyFont="1" applyFill="1" applyBorder="1" applyAlignment="1" applyProtection="1">
      <alignment horizontal="center" vertical="center"/>
      <protection locked="0"/>
    </xf>
    <xf numFmtId="0" fontId="14" fillId="3" borderId="11" xfId="0" applyNumberFormat="1" applyFont="1" applyFill="1" applyBorder="1" applyAlignment="1" applyProtection="1">
      <alignment horizontal="center" vertical="center"/>
      <protection hidden="1"/>
    </xf>
    <xf numFmtId="0" fontId="14" fillId="3" borderId="12" xfId="0" applyNumberFormat="1" applyFont="1" applyFill="1" applyBorder="1" applyAlignment="1" applyProtection="1">
      <alignment horizontal="center" vertical="center"/>
      <protection hidden="1"/>
    </xf>
    <xf numFmtId="0" fontId="14" fillId="3" borderId="11" xfId="0" applyFont="1" applyFill="1" applyBorder="1" applyAlignment="1" applyProtection="1">
      <alignment horizontal="center" vertical="center"/>
      <protection hidden="1"/>
    </xf>
    <xf numFmtId="0" fontId="14" fillId="3" borderId="12" xfId="0" applyFont="1" applyFill="1" applyBorder="1" applyAlignment="1" applyProtection="1">
      <alignment horizontal="center" vertical="center"/>
      <protection hidden="1"/>
    </xf>
    <xf numFmtId="8" fontId="14" fillId="3" borderId="11" xfId="0" applyNumberFormat="1" applyFont="1" applyFill="1" applyBorder="1" applyAlignment="1" applyProtection="1">
      <alignment horizontal="center" vertical="center"/>
      <protection locked="0"/>
    </xf>
    <xf numFmtId="8" fontId="14" fillId="3" borderId="12" xfId="0" applyNumberFormat="1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 textRotation="90" wrapText="1"/>
    </xf>
    <xf numFmtId="0" fontId="13" fillId="4" borderId="9" xfId="0" applyFont="1" applyFill="1" applyBorder="1" applyAlignment="1">
      <alignment horizontal="center" vertical="center" textRotation="90" wrapText="1"/>
    </xf>
    <xf numFmtId="0" fontId="14" fillId="3" borderId="11" xfId="0" applyFont="1" applyFill="1" applyBorder="1" applyAlignment="1" applyProtection="1">
      <alignment horizontal="justify" vertical="center"/>
      <protection locked="0"/>
    </xf>
    <xf numFmtId="0" fontId="14" fillId="3" borderId="12" xfId="0" applyFont="1" applyFill="1" applyBorder="1" applyAlignment="1" applyProtection="1">
      <alignment horizontal="justify" vertical="center"/>
      <protection locked="0"/>
    </xf>
    <xf numFmtId="0" fontId="14" fillId="3" borderId="13" xfId="0" applyFont="1" applyFill="1" applyBorder="1" applyAlignment="1" applyProtection="1">
      <alignment horizontal="justify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  <protection locked="0"/>
    </xf>
    <xf numFmtId="0" fontId="14" fillId="3" borderId="17" xfId="0" applyFont="1" applyFill="1" applyBorder="1" applyAlignment="1" applyProtection="1">
      <alignment horizontal="center" vertical="center" wrapText="1"/>
      <protection locked="0"/>
    </xf>
    <xf numFmtId="0" fontId="14" fillId="3" borderId="18" xfId="0" applyFont="1" applyFill="1" applyBorder="1" applyAlignment="1" applyProtection="1">
      <alignment horizontal="center" vertical="center" wrapText="1"/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14" fillId="3" borderId="16" xfId="0" applyFont="1" applyFill="1" applyBorder="1" applyAlignment="1" applyProtection="1">
      <alignment horizontal="center" vertical="center"/>
      <protection locked="0"/>
    </xf>
    <xf numFmtId="0" fontId="14" fillId="3" borderId="17" xfId="0" applyFont="1" applyFill="1" applyBorder="1" applyAlignment="1" applyProtection="1">
      <alignment horizontal="center" vertical="center"/>
      <protection locked="0"/>
    </xf>
    <xf numFmtId="0" fontId="14" fillId="3" borderId="18" xfId="0" applyFont="1" applyFill="1" applyBorder="1" applyAlignment="1" applyProtection="1">
      <alignment horizontal="center" vertical="center"/>
      <protection locked="0"/>
    </xf>
    <xf numFmtId="0" fontId="14" fillId="3" borderId="19" xfId="0" applyFont="1" applyFill="1" applyBorder="1" applyAlignment="1" applyProtection="1">
      <alignment horizontal="center" vertical="center"/>
      <protection locked="0"/>
    </xf>
    <xf numFmtId="0" fontId="13" fillId="4" borderId="10" xfId="0" applyFont="1" applyFill="1" applyBorder="1" applyAlignment="1">
      <alignment horizontal="left" vertical="center" wrapText="1"/>
    </xf>
    <xf numFmtId="0" fontId="13" fillId="4" borderId="15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>
      <selection activeCell="E12" sqref="E12"/>
    </sheetView>
  </sheetViews>
  <sheetFormatPr baseColWidth="10" defaultRowHeight="15" x14ac:dyDescent="0.25"/>
  <cols>
    <col min="1" max="1" width="20.5703125" customWidth="1"/>
    <col min="3" max="3" width="45.28515625" bestFit="1" customWidth="1"/>
    <col min="5" max="5" width="14.7109375" bestFit="1" customWidth="1"/>
    <col min="6" max="6" width="20.5703125" bestFit="1" customWidth="1"/>
    <col min="7" max="7" width="19.42578125" bestFit="1" customWidth="1"/>
  </cols>
  <sheetData>
    <row r="1" spans="1:8" ht="21.75" x14ac:dyDescent="0.25">
      <c r="A1" s="17" t="s">
        <v>12</v>
      </c>
      <c r="B1" s="18"/>
      <c r="C1" s="18"/>
      <c r="D1" s="18"/>
    </row>
    <row r="2" spans="1:8" x14ac:dyDescent="0.25">
      <c r="A2" s="19"/>
      <c r="B2" s="18"/>
      <c r="C2" s="18"/>
      <c r="D2" s="18"/>
    </row>
    <row r="3" spans="1:8" x14ac:dyDescent="0.25">
      <c r="A3" s="19"/>
      <c r="B3" s="18"/>
      <c r="C3" s="18"/>
      <c r="D3" s="18"/>
    </row>
    <row r="4" spans="1:8" x14ac:dyDescent="0.25">
      <c r="A4" s="20" t="s">
        <v>13</v>
      </c>
      <c r="B4" s="18"/>
      <c r="C4" s="18"/>
      <c r="D4" s="18"/>
    </row>
    <row r="5" spans="1:8" x14ac:dyDescent="0.25">
      <c r="A5" s="20" t="s">
        <v>14</v>
      </c>
      <c r="B5" s="18"/>
      <c r="C5" s="18"/>
      <c r="D5" s="18"/>
    </row>
    <row r="6" spans="1:8" x14ac:dyDescent="0.25">
      <c r="A6" s="19"/>
      <c r="B6" s="18"/>
      <c r="C6" s="18"/>
      <c r="D6" s="18"/>
    </row>
    <row r="7" spans="1:8" x14ac:dyDescent="0.25">
      <c r="A7" s="19"/>
      <c r="B7" s="18"/>
      <c r="C7" s="18"/>
      <c r="D7" s="18"/>
    </row>
    <row r="8" spans="1:8" x14ac:dyDescent="0.25">
      <c r="A8" s="21"/>
      <c r="B8" s="22"/>
      <c r="C8" s="22"/>
      <c r="D8" s="22"/>
      <c r="E8" s="23"/>
    </row>
    <row r="9" spans="1:8" x14ac:dyDescent="0.25">
      <c r="A9" s="24" t="s">
        <v>15</v>
      </c>
      <c r="B9" s="25" t="s">
        <v>16</v>
      </c>
      <c r="C9" s="25" t="s">
        <v>17</v>
      </c>
      <c r="D9" s="25" t="s">
        <v>18</v>
      </c>
      <c r="E9" s="24" t="s">
        <v>19</v>
      </c>
    </row>
    <row r="10" spans="1:8" x14ac:dyDescent="0.25">
      <c r="A10" s="26" t="s">
        <v>20</v>
      </c>
      <c r="B10" s="27" t="s">
        <v>21</v>
      </c>
      <c r="C10" s="27" t="s">
        <v>22</v>
      </c>
      <c r="D10" s="27" t="s">
        <v>23</v>
      </c>
      <c r="E10" s="28" t="s">
        <v>24</v>
      </c>
    </row>
    <row r="11" spans="1:8" x14ac:dyDescent="0.25">
      <c r="A11" s="19"/>
      <c r="B11" s="18"/>
      <c r="C11" s="18"/>
      <c r="D11" s="18"/>
    </row>
    <row r="12" spans="1:8" ht="21.75" x14ac:dyDescent="0.25">
      <c r="A12" s="17" t="s">
        <v>25</v>
      </c>
      <c r="B12" s="18"/>
      <c r="C12" s="18"/>
      <c r="D12" s="18"/>
    </row>
    <row r="13" spans="1:8" x14ac:dyDescent="0.25">
      <c r="A13" t="s">
        <v>26</v>
      </c>
      <c r="B13" s="19" t="s">
        <v>27</v>
      </c>
      <c r="C13" s="29" t="s">
        <v>28</v>
      </c>
      <c r="D13" s="24" t="s">
        <v>15</v>
      </c>
      <c r="E13" s="25" t="s">
        <v>16</v>
      </c>
      <c r="F13" s="25" t="s">
        <v>17</v>
      </c>
      <c r="G13" s="25" t="s">
        <v>18</v>
      </c>
      <c r="H13" s="24" t="s">
        <v>19</v>
      </c>
    </row>
    <row r="14" spans="1:8" x14ac:dyDescent="0.25">
      <c r="A14" s="20" t="s">
        <v>29</v>
      </c>
      <c r="B14" s="20">
        <v>17036989</v>
      </c>
      <c r="C14" s="31" t="s">
        <v>30</v>
      </c>
      <c r="D14" s="26" t="s">
        <v>31</v>
      </c>
      <c r="E14" s="27" t="s">
        <v>32</v>
      </c>
      <c r="F14" s="27" t="s">
        <v>33</v>
      </c>
      <c r="G14" s="27" t="s">
        <v>34</v>
      </c>
      <c r="H14" s="28" t="s">
        <v>24</v>
      </c>
    </row>
    <row r="15" spans="1:8" x14ac:dyDescent="0.25">
      <c r="A15" s="20" t="s">
        <v>35</v>
      </c>
      <c r="B15" s="20">
        <v>28687267</v>
      </c>
      <c r="C15" s="31" t="s">
        <v>36</v>
      </c>
      <c r="D15" s="26" t="s">
        <v>31</v>
      </c>
      <c r="E15" s="27" t="s">
        <v>37</v>
      </c>
      <c r="F15" s="27" t="s">
        <v>38</v>
      </c>
      <c r="G15" s="27" t="s">
        <v>39</v>
      </c>
      <c r="H15" s="28" t="s">
        <v>24</v>
      </c>
    </row>
    <row r="16" spans="1:8" x14ac:dyDescent="0.25">
      <c r="A16" s="20" t="s">
        <v>40</v>
      </c>
      <c r="B16" s="20">
        <v>25380791</v>
      </c>
      <c r="C16" s="31" t="s">
        <v>41</v>
      </c>
      <c r="D16" s="26" t="s">
        <v>31</v>
      </c>
      <c r="E16" s="27" t="s">
        <v>42</v>
      </c>
      <c r="F16" s="27" t="s">
        <v>43</v>
      </c>
      <c r="G16" s="27" t="s">
        <v>44</v>
      </c>
      <c r="H16" s="28" t="s">
        <v>24</v>
      </c>
    </row>
    <row r="17" spans="1:8" x14ac:dyDescent="0.25">
      <c r="A17" s="20" t="s">
        <v>45</v>
      </c>
      <c r="B17" s="20">
        <v>24118101</v>
      </c>
      <c r="C17" s="31" t="s">
        <v>46</v>
      </c>
      <c r="D17" s="26" t="s">
        <v>31</v>
      </c>
      <c r="E17" s="27" t="s">
        <v>47</v>
      </c>
      <c r="F17" s="27" t="s">
        <v>48</v>
      </c>
      <c r="G17" s="27" t="s">
        <v>23</v>
      </c>
      <c r="H17" s="28" t="s">
        <v>24</v>
      </c>
    </row>
    <row r="18" spans="1:8" x14ac:dyDescent="0.25">
      <c r="A18" s="20" t="s">
        <v>49</v>
      </c>
      <c r="B18" s="20">
        <v>36473734</v>
      </c>
      <c r="C18" s="31" t="s">
        <v>50</v>
      </c>
      <c r="D18" s="26" t="s">
        <v>31</v>
      </c>
      <c r="E18" s="27" t="s">
        <v>51</v>
      </c>
      <c r="F18" s="27" t="s">
        <v>52</v>
      </c>
      <c r="G18" s="27" t="s">
        <v>53</v>
      </c>
      <c r="H18" s="28" t="s">
        <v>24</v>
      </c>
    </row>
    <row r="19" spans="1:8" x14ac:dyDescent="0.25">
      <c r="A19" s="20" t="s">
        <v>54</v>
      </c>
      <c r="B19" s="20">
        <v>15418072</v>
      </c>
      <c r="C19" s="31" t="s">
        <v>55</v>
      </c>
      <c r="D19" s="26" t="s">
        <v>31</v>
      </c>
      <c r="E19" s="27" t="s">
        <v>56</v>
      </c>
      <c r="F19" s="27" t="s">
        <v>57</v>
      </c>
      <c r="G19" s="27" t="s">
        <v>58</v>
      </c>
      <c r="H19" s="28" t="s">
        <v>24</v>
      </c>
    </row>
    <row r="20" spans="1:8" x14ac:dyDescent="0.25">
      <c r="A20" s="20" t="s">
        <v>59</v>
      </c>
      <c r="B20" s="20">
        <v>31086259</v>
      </c>
      <c r="C20" s="31" t="s">
        <v>60</v>
      </c>
      <c r="D20" s="26" t="s">
        <v>31</v>
      </c>
      <c r="E20" s="27" t="s">
        <v>61</v>
      </c>
      <c r="F20" s="27" t="s">
        <v>62</v>
      </c>
      <c r="G20" s="27" t="s">
        <v>63</v>
      </c>
      <c r="H20" s="28" t="s">
        <v>24</v>
      </c>
    </row>
    <row r="21" spans="1:8" x14ac:dyDescent="0.25">
      <c r="A21" s="20" t="s">
        <v>64</v>
      </c>
      <c r="B21" s="20">
        <v>39102314</v>
      </c>
      <c r="C21" s="31" t="s">
        <v>65</v>
      </c>
      <c r="D21" s="26" t="s">
        <v>31</v>
      </c>
      <c r="E21" s="27" t="s">
        <v>66</v>
      </c>
      <c r="F21" s="27" t="s">
        <v>67</v>
      </c>
      <c r="G21" s="27" t="s">
        <v>68</v>
      </c>
      <c r="H21" s="28" t="s">
        <v>24</v>
      </c>
    </row>
    <row r="22" spans="1:8" x14ac:dyDescent="0.25">
      <c r="A22" s="20" t="s">
        <v>69</v>
      </c>
      <c r="B22" s="20">
        <v>41248477</v>
      </c>
      <c r="C22" s="31" t="s">
        <v>70</v>
      </c>
      <c r="D22" s="26" t="s">
        <v>31</v>
      </c>
      <c r="E22" s="27" t="s">
        <v>71</v>
      </c>
      <c r="F22" s="27" t="s">
        <v>72</v>
      </c>
      <c r="G22" s="27" t="s">
        <v>73</v>
      </c>
      <c r="H22" s="28" t="s">
        <v>24</v>
      </c>
    </row>
    <row r="23" spans="1:8" x14ac:dyDescent="0.25">
      <c r="A23" s="20" t="s">
        <v>74</v>
      </c>
      <c r="B23" s="20">
        <v>31262371</v>
      </c>
      <c r="C23" s="31" t="s">
        <v>75</v>
      </c>
      <c r="D23" s="26" t="s">
        <v>31</v>
      </c>
      <c r="E23" s="27" t="s">
        <v>76</v>
      </c>
      <c r="F23" s="27" t="s">
        <v>77</v>
      </c>
      <c r="G23" s="27" t="s">
        <v>23</v>
      </c>
      <c r="H23" s="28" t="s">
        <v>24</v>
      </c>
    </row>
    <row r="24" spans="1:8" x14ac:dyDescent="0.25">
      <c r="A24" s="20" t="s">
        <v>78</v>
      </c>
      <c r="B24" s="20">
        <v>19842327</v>
      </c>
      <c r="C24" s="31" t="s">
        <v>79</v>
      </c>
      <c r="D24" s="26" t="s">
        <v>31</v>
      </c>
      <c r="E24" s="27" t="s">
        <v>80</v>
      </c>
      <c r="F24" s="27" t="s">
        <v>81</v>
      </c>
      <c r="G24" s="27" t="s">
        <v>82</v>
      </c>
      <c r="H24" s="28" t="s">
        <v>24</v>
      </c>
    </row>
    <row r="25" spans="1:8" x14ac:dyDescent="0.25">
      <c r="A25" s="20" t="s">
        <v>83</v>
      </c>
      <c r="B25" s="20">
        <v>30242853</v>
      </c>
      <c r="C25" s="31" t="s">
        <v>84</v>
      </c>
      <c r="D25" s="26" t="s">
        <v>31</v>
      </c>
      <c r="E25" s="27" t="s">
        <v>85</v>
      </c>
      <c r="F25" s="27" t="s">
        <v>86</v>
      </c>
      <c r="G25" s="27" t="s">
        <v>87</v>
      </c>
      <c r="H25" s="28" t="s">
        <v>24</v>
      </c>
    </row>
    <row r="26" spans="1:8" x14ac:dyDescent="0.25">
      <c r="A26" s="20" t="s">
        <v>88</v>
      </c>
      <c r="B26" s="20">
        <v>12032728</v>
      </c>
      <c r="C26" s="31" t="s">
        <v>89</v>
      </c>
      <c r="D26" s="26" t="s">
        <v>31</v>
      </c>
      <c r="E26" s="27" t="s">
        <v>90</v>
      </c>
      <c r="F26" s="27" t="s">
        <v>91</v>
      </c>
      <c r="G26" s="27" t="s">
        <v>92</v>
      </c>
      <c r="H26" s="28" t="s">
        <v>24</v>
      </c>
    </row>
    <row r="27" spans="1:8" x14ac:dyDescent="0.25">
      <c r="A27" s="20" t="s">
        <v>93</v>
      </c>
      <c r="B27" s="20">
        <v>12033114</v>
      </c>
      <c r="C27" s="31" t="s">
        <v>94</v>
      </c>
      <c r="D27" s="26" t="s">
        <v>31</v>
      </c>
      <c r="E27" s="27" t="s">
        <v>95</v>
      </c>
      <c r="F27" s="27" t="s">
        <v>96</v>
      </c>
      <c r="G27" s="27" t="s">
        <v>97</v>
      </c>
      <c r="H27" s="28" t="s">
        <v>24</v>
      </c>
    </row>
    <row r="28" spans="1:8" x14ac:dyDescent="0.25">
      <c r="A28" s="20" t="s">
        <v>98</v>
      </c>
      <c r="B28" s="20">
        <v>31086234</v>
      </c>
      <c r="C28" s="31" t="s">
        <v>99</v>
      </c>
      <c r="D28" s="26" t="s">
        <v>31</v>
      </c>
      <c r="E28" s="27" t="s">
        <v>100</v>
      </c>
      <c r="F28" s="27" t="s">
        <v>101</v>
      </c>
      <c r="G28" s="27" t="s">
        <v>102</v>
      </c>
      <c r="H28" s="28" t="s">
        <v>24</v>
      </c>
    </row>
    <row r="29" spans="1:8" x14ac:dyDescent="0.25">
      <c r="A29" s="20" t="s">
        <v>103</v>
      </c>
      <c r="B29" s="20">
        <v>41325507</v>
      </c>
      <c r="C29" s="31" t="s">
        <v>104</v>
      </c>
      <c r="D29" s="26" t="s">
        <v>31</v>
      </c>
      <c r="E29" s="27" t="s">
        <v>105</v>
      </c>
      <c r="F29" s="27" t="s">
        <v>106</v>
      </c>
      <c r="G29" s="27" t="s">
        <v>107</v>
      </c>
      <c r="H29" s="28" t="s">
        <v>24</v>
      </c>
    </row>
    <row r="30" spans="1:8" x14ac:dyDescent="0.25">
      <c r="A30" s="20" t="s">
        <v>108</v>
      </c>
      <c r="B30" s="20">
        <v>25871047</v>
      </c>
      <c r="C30" s="31" t="s">
        <v>109</v>
      </c>
      <c r="D30" s="26" t="s">
        <v>31</v>
      </c>
      <c r="E30" s="27" t="s">
        <v>110</v>
      </c>
      <c r="F30" s="27" t="s">
        <v>111</v>
      </c>
      <c r="G30" s="27" t="s">
        <v>112</v>
      </c>
      <c r="H30" s="28" t="s">
        <v>24</v>
      </c>
    </row>
    <row r="31" spans="1:8" x14ac:dyDescent="0.25">
      <c r="A31" s="20" t="s">
        <v>113</v>
      </c>
      <c r="B31" s="20">
        <v>29065398</v>
      </c>
      <c r="C31" s="31" t="s">
        <v>114</v>
      </c>
      <c r="D31" s="26" t="s">
        <v>31</v>
      </c>
      <c r="E31" s="27" t="s">
        <v>115</v>
      </c>
      <c r="F31" s="27" t="s">
        <v>116</v>
      </c>
      <c r="G31" s="27" t="s">
        <v>117</v>
      </c>
      <c r="H31" s="28" t="s">
        <v>24</v>
      </c>
    </row>
    <row r="32" spans="1:8" x14ac:dyDescent="0.25">
      <c r="A32" s="20" t="s">
        <v>118</v>
      </c>
      <c r="B32" s="20">
        <v>35773779</v>
      </c>
      <c r="C32" s="31" t="s">
        <v>119</v>
      </c>
      <c r="D32" s="26" t="s">
        <v>31</v>
      </c>
      <c r="E32" s="27" t="s">
        <v>120</v>
      </c>
      <c r="F32" s="27" t="s">
        <v>121</v>
      </c>
      <c r="G32" s="27" t="s">
        <v>122</v>
      </c>
      <c r="H32" s="28" t="s">
        <v>24</v>
      </c>
    </row>
    <row r="33" spans="1:8" x14ac:dyDescent="0.25">
      <c r="A33" s="20" t="s">
        <v>123</v>
      </c>
      <c r="B33" s="20">
        <v>36606390</v>
      </c>
      <c r="C33" s="31" t="s">
        <v>124</v>
      </c>
      <c r="D33" s="26" t="s">
        <v>31</v>
      </c>
      <c r="E33" s="27" t="s">
        <v>125</v>
      </c>
      <c r="F33" s="27" t="s">
        <v>126</v>
      </c>
      <c r="G33" s="27" t="s">
        <v>127</v>
      </c>
      <c r="H33" s="28" t="s">
        <v>24</v>
      </c>
    </row>
    <row r="34" spans="1:8" x14ac:dyDescent="0.25">
      <c r="A34" s="20" t="s">
        <v>128</v>
      </c>
      <c r="B34" s="20">
        <v>25347360</v>
      </c>
      <c r="C34" s="31" t="s">
        <v>129</v>
      </c>
      <c r="D34" s="26" t="s">
        <v>31</v>
      </c>
      <c r="E34" s="27" t="s">
        <v>130</v>
      </c>
      <c r="F34" s="27" t="s">
        <v>131</v>
      </c>
      <c r="G34" s="27" t="s">
        <v>132</v>
      </c>
      <c r="H34" s="28" t="s">
        <v>24</v>
      </c>
    </row>
    <row r="35" spans="1:8" x14ac:dyDescent="0.25">
      <c r="A35" s="20" t="s">
        <v>133</v>
      </c>
      <c r="B35" s="20">
        <v>24106791</v>
      </c>
      <c r="C35" s="31" t="s">
        <v>134</v>
      </c>
      <c r="D35" s="26" t="s">
        <v>31</v>
      </c>
      <c r="E35" s="27" t="s">
        <v>135</v>
      </c>
      <c r="F35" s="27" t="s">
        <v>136</v>
      </c>
      <c r="G35" s="27" t="s">
        <v>137</v>
      </c>
      <c r="H35" s="28" t="s">
        <v>24</v>
      </c>
    </row>
    <row r="36" spans="1:8" x14ac:dyDescent="0.25">
      <c r="A36" s="20" t="s">
        <v>138</v>
      </c>
      <c r="B36" s="20">
        <v>28984557</v>
      </c>
      <c r="C36" s="31" t="s">
        <v>139</v>
      </c>
      <c r="D36" s="26" t="s">
        <v>31</v>
      </c>
      <c r="E36" s="27" t="s">
        <v>140</v>
      </c>
      <c r="F36" s="27" t="s">
        <v>141</v>
      </c>
      <c r="G36" s="27" t="s">
        <v>142</v>
      </c>
      <c r="H36" s="28" t="s">
        <v>24</v>
      </c>
    </row>
    <row r="37" spans="1:8" x14ac:dyDescent="0.25">
      <c r="B37" s="20"/>
      <c r="C37" s="18"/>
      <c r="D37" s="30"/>
      <c r="E37" s="30"/>
    </row>
    <row r="41" spans="1:8" x14ac:dyDescent="0.25">
      <c r="A41" t="s">
        <v>147</v>
      </c>
    </row>
    <row r="42" spans="1:8" x14ac:dyDescent="0.25">
      <c r="A42" t="s">
        <v>148</v>
      </c>
    </row>
    <row r="43" spans="1:8" x14ac:dyDescent="0.25">
      <c r="A43" t="s">
        <v>149</v>
      </c>
    </row>
    <row r="44" spans="1:8" x14ac:dyDescent="0.25">
      <c r="A44" t="s">
        <v>150</v>
      </c>
    </row>
    <row r="45" spans="1:8" x14ac:dyDescent="0.25">
      <c r="A45" t="s">
        <v>151</v>
      </c>
    </row>
    <row r="46" spans="1:8" x14ac:dyDescent="0.25">
      <c r="A46" t="s">
        <v>152</v>
      </c>
    </row>
    <row r="47" spans="1:8" x14ac:dyDescent="0.25">
      <c r="A47" t="s">
        <v>153</v>
      </c>
    </row>
    <row r="48" spans="1:8" x14ac:dyDescent="0.25">
      <c r="A48" t="s">
        <v>154</v>
      </c>
    </row>
    <row r="49" spans="1:1" x14ac:dyDescent="0.25">
      <c r="A49" t="s">
        <v>155</v>
      </c>
    </row>
    <row r="50" spans="1:1" x14ac:dyDescent="0.25">
      <c r="A50" t="s">
        <v>156</v>
      </c>
    </row>
    <row r="51" spans="1:1" x14ac:dyDescent="0.25">
      <c r="A51" t="s">
        <v>157</v>
      </c>
    </row>
    <row r="52" spans="1:1" x14ac:dyDescent="0.25">
      <c r="A52" t="s">
        <v>158</v>
      </c>
    </row>
    <row r="53" spans="1:1" x14ac:dyDescent="0.25">
      <c r="A53" t="s">
        <v>159</v>
      </c>
    </row>
    <row r="54" spans="1:1" x14ac:dyDescent="0.25">
      <c r="A54" t="s">
        <v>160</v>
      </c>
    </row>
    <row r="55" spans="1:1" x14ac:dyDescent="0.25">
      <c r="A55" t="s">
        <v>161</v>
      </c>
    </row>
    <row r="56" spans="1:1" x14ac:dyDescent="0.25">
      <c r="A56" t="s">
        <v>162</v>
      </c>
    </row>
    <row r="57" spans="1:1" x14ac:dyDescent="0.25">
      <c r="A57" t="s">
        <v>163</v>
      </c>
    </row>
    <row r="58" spans="1:1" x14ac:dyDescent="0.25">
      <c r="A58" t="s">
        <v>164</v>
      </c>
    </row>
    <row r="59" spans="1:1" x14ac:dyDescent="0.25">
      <c r="A59" t="s">
        <v>165</v>
      </c>
    </row>
    <row r="60" spans="1:1" x14ac:dyDescent="0.25">
      <c r="A60" t="s">
        <v>166</v>
      </c>
    </row>
    <row r="61" spans="1:1" x14ac:dyDescent="0.25">
      <c r="A61" t="s">
        <v>167</v>
      </c>
    </row>
    <row r="62" spans="1:1" x14ac:dyDescent="0.25">
      <c r="A62" t="s">
        <v>168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171</v>
      </c>
    </row>
    <row r="66" spans="1:1" x14ac:dyDescent="0.25">
      <c r="A66" t="s">
        <v>172</v>
      </c>
    </row>
    <row r="67" spans="1:1" x14ac:dyDescent="0.25">
      <c r="A67" t="s">
        <v>173</v>
      </c>
    </row>
    <row r="68" spans="1:1" x14ac:dyDescent="0.25">
      <c r="A68" t="s">
        <v>174</v>
      </c>
    </row>
    <row r="69" spans="1:1" x14ac:dyDescent="0.25">
      <c r="A69" t="s">
        <v>175</v>
      </c>
    </row>
    <row r="70" spans="1:1" x14ac:dyDescent="0.25">
      <c r="A70" t="s">
        <v>176</v>
      </c>
    </row>
    <row r="71" spans="1:1" x14ac:dyDescent="0.25">
      <c r="A71" t="s">
        <v>177</v>
      </c>
    </row>
    <row r="72" spans="1:1" x14ac:dyDescent="0.25">
      <c r="A72" t="s">
        <v>178</v>
      </c>
    </row>
    <row r="73" spans="1:1" x14ac:dyDescent="0.25">
      <c r="A73" t="s">
        <v>179</v>
      </c>
    </row>
    <row r="74" spans="1:1" x14ac:dyDescent="0.25">
      <c r="A74" t="s">
        <v>180</v>
      </c>
    </row>
    <row r="75" spans="1:1" x14ac:dyDescent="0.25">
      <c r="A75" t="s">
        <v>181</v>
      </c>
    </row>
    <row r="76" spans="1:1" x14ac:dyDescent="0.25">
      <c r="A76" t="s">
        <v>182</v>
      </c>
    </row>
    <row r="77" spans="1:1" x14ac:dyDescent="0.25">
      <c r="A77" t="s">
        <v>183</v>
      </c>
    </row>
    <row r="78" spans="1:1" x14ac:dyDescent="0.25">
      <c r="A78" t="s">
        <v>184</v>
      </c>
    </row>
    <row r="79" spans="1:1" x14ac:dyDescent="0.25">
      <c r="A79" t="s">
        <v>185</v>
      </c>
    </row>
    <row r="80" spans="1:1" x14ac:dyDescent="0.25">
      <c r="A80" t="s">
        <v>186</v>
      </c>
    </row>
    <row r="81" spans="1:1" x14ac:dyDescent="0.25">
      <c r="A81" t="s">
        <v>187</v>
      </c>
    </row>
    <row r="82" spans="1:1" x14ac:dyDescent="0.25">
      <c r="A82" t="s">
        <v>188</v>
      </c>
    </row>
    <row r="83" spans="1:1" x14ac:dyDescent="0.25">
      <c r="A83" t="s">
        <v>189</v>
      </c>
    </row>
    <row r="84" spans="1:1" x14ac:dyDescent="0.25">
      <c r="A84" t="s">
        <v>190</v>
      </c>
    </row>
    <row r="85" spans="1:1" x14ac:dyDescent="0.25">
      <c r="A85" t="s">
        <v>191</v>
      </c>
    </row>
    <row r="86" spans="1:1" x14ac:dyDescent="0.25">
      <c r="A86" t="s">
        <v>192</v>
      </c>
    </row>
    <row r="87" spans="1:1" x14ac:dyDescent="0.25">
      <c r="A87" t="s">
        <v>193</v>
      </c>
    </row>
    <row r="88" spans="1:1" x14ac:dyDescent="0.25">
      <c r="A88" t="s">
        <v>194</v>
      </c>
    </row>
    <row r="89" spans="1:1" x14ac:dyDescent="0.25">
      <c r="A89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topLeftCell="A4" zoomScaleNormal="100" workbookViewId="0">
      <selection activeCell="D22" sqref="D22:E23"/>
    </sheetView>
  </sheetViews>
  <sheetFormatPr baseColWidth="10" defaultRowHeight="15" x14ac:dyDescent="0.25"/>
  <cols>
    <col min="2" max="2" width="15.28515625" customWidth="1"/>
    <col min="5" max="5" width="21.5703125" customWidth="1"/>
    <col min="6" max="6" width="1.5703125" customWidth="1"/>
    <col min="8" max="8" width="11.42578125" customWidth="1"/>
    <col min="9" max="9" width="0.42578125" customWidth="1"/>
    <col min="11" max="11" width="13.5703125" customWidth="1"/>
    <col min="12" max="12" width="2" customWidth="1"/>
    <col min="14" max="14" width="2.85546875" customWidth="1"/>
    <col min="15" max="15" width="12.7109375" bestFit="1" customWidth="1"/>
  </cols>
  <sheetData>
    <row r="1" spans="1:15" ht="22.5" x14ac:dyDescent="0.3">
      <c r="A1" s="33" t="s">
        <v>146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5.75" x14ac:dyDescent="0.25">
      <c r="A2" s="1"/>
      <c r="B2" s="1"/>
      <c r="C2" s="1"/>
      <c r="D2" s="1"/>
      <c r="E2" s="1"/>
      <c r="F2" s="1"/>
      <c r="G2" s="1"/>
      <c r="H2" s="2"/>
      <c r="I2" s="1"/>
      <c r="J2" s="2"/>
      <c r="K2" s="2"/>
      <c r="L2" s="3"/>
      <c r="M2" s="4"/>
      <c r="N2" s="4"/>
      <c r="O2" s="4"/>
    </row>
    <row r="3" spans="1:15" ht="15.75" x14ac:dyDescent="0.25">
      <c r="A3" s="34" t="s">
        <v>10</v>
      </c>
      <c r="B3" s="34"/>
      <c r="C3" s="5"/>
      <c r="D3" s="35" t="s">
        <v>191</v>
      </c>
      <c r="E3" s="36"/>
      <c r="F3" s="36"/>
      <c r="G3" s="36"/>
      <c r="H3" s="36"/>
      <c r="I3" s="36"/>
      <c r="J3" s="36"/>
      <c r="K3" s="37"/>
      <c r="L3" s="3"/>
      <c r="M3" s="6" t="s">
        <v>0</v>
      </c>
      <c r="N3" s="4"/>
      <c r="O3" s="7">
        <v>45321</v>
      </c>
    </row>
    <row r="4" spans="1:15" x14ac:dyDescent="0.25">
      <c r="A4" s="34"/>
      <c r="B4" s="34"/>
      <c r="C4" s="5"/>
      <c r="D4" s="38"/>
      <c r="E4" s="39"/>
      <c r="F4" s="39"/>
      <c r="G4" s="39"/>
      <c r="H4" s="39"/>
      <c r="I4" s="39"/>
      <c r="J4" s="39"/>
      <c r="K4" s="40"/>
      <c r="L4" s="3"/>
      <c r="M4" s="4"/>
      <c r="N4" s="4"/>
      <c r="O4" s="4"/>
    </row>
    <row r="5" spans="1:15" ht="15.75" x14ac:dyDescent="0.25">
      <c r="A5" s="34"/>
      <c r="B5" s="34"/>
      <c r="C5" s="5"/>
      <c r="D5" s="41"/>
      <c r="E5" s="42"/>
      <c r="F5" s="42"/>
      <c r="G5" s="42"/>
      <c r="H5" s="42"/>
      <c r="I5" s="42"/>
      <c r="J5" s="42"/>
      <c r="K5" s="43"/>
      <c r="L5" s="3"/>
      <c r="M5" s="6"/>
      <c r="N5" s="4"/>
      <c r="O5" s="8"/>
    </row>
    <row r="6" spans="1:15" ht="15.75" x14ac:dyDescent="0.25">
      <c r="A6" s="1"/>
      <c r="B6" s="1"/>
      <c r="C6" s="1"/>
      <c r="D6" s="1"/>
      <c r="E6" s="1"/>
      <c r="F6" s="1"/>
      <c r="G6" s="1"/>
      <c r="H6" s="2"/>
      <c r="I6" s="1"/>
      <c r="J6" s="2"/>
      <c r="K6" s="2"/>
      <c r="L6" s="3"/>
      <c r="M6" s="4"/>
      <c r="N6" s="4"/>
      <c r="O6" s="4"/>
    </row>
    <row r="7" spans="1:15" ht="18" x14ac:dyDescent="0.25">
      <c r="A7" s="44" t="s">
        <v>1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</row>
    <row r="8" spans="1:15" ht="15.75" x14ac:dyDescent="0.25">
      <c r="A8" s="1"/>
      <c r="B8" s="1"/>
      <c r="C8" s="1"/>
      <c r="D8" s="1"/>
      <c r="E8" s="1"/>
      <c r="F8" s="1"/>
      <c r="G8" s="1"/>
      <c r="H8" s="2"/>
      <c r="I8" s="1"/>
      <c r="J8" s="2"/>
      <c r="K8" s="2"/>
      <c r="L8" s="3"/>
      <c r="M8" s="4"/>
      <c r="N8" s="4"/>
      <c r="O8" s="4"/>
    </row>
    <row r="9" spans="1:15" ht="18" x14ac:dyDescent="0.25">
      <c r="A9" s="45" t="s">
        <v>196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</row>
    <row r="10" spans="1:15" ht="19.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x14ac:dyDescent="0.25">
      <c r="A11" s="32" t="s">
        <v>2</v>
      </c>
      <c r="B11" s="32"/>
      <c r="C11" s="4"/>
      <c r="D11" s="32" t="s">
        <v>143</v>
      </c>
      <c r="E11" s="32"/>
      <c r="F11" s="10"/>
      <c r="G11" s="32" t="s">
        <v>3</v>
      </c>
      <c r="H11" s="32"/>
      <c r="I11" s="10"/>
      <c r="J11" s="32" t="s">
        <v>144</v>
      </c>
      <c r="K11" s="32"/>
      <c r="L11" s="4"/>
      <c r="M11" s="32" t="s">
        <v>4</v>
      </c>
      <c r="N11" s="32"/>
      <c r="O11" s="32"/>
    </row>
    <row r="12" spans="1:15" ht="19.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5.5" x14ac:dyDescent="0.25">
      <c r="A13" s="46" t="s">
        <v>5</v>
      </c>
      <c r="B13" s="15" t="s">
        <v>11</v>
      </c>
      <c r="C13" s="4"/>
      <c r="D13" s="47"/>
      <c r="E13" s="48"/>
      <c r="F13" s="13"/>
      <c r="G13" s="46" t="s">
        <v>5</v>
      </c>
      <c r="H13" s="15" t="s">
        <v>11</v>
      </c>
      <c r="I13" s="13"/>
      <c r="J13" s="47"/>
      <c r="K13" s="48"/>
      <c r="L13" s="4"/>
      <c r="M13" s="47"/>
      <c r="N13" s="49"/>
      <c r="O13" s="48"/>
    </row>
    <row r="14" spans="1:15" ht="25.5" customHeight="1" x14ac:dyDescent="0.25">
      <c r="A14" s="46"/>
      <c r="B14" s="15" t="s">
        <v>6</v>
      </c>
      <c r="C14" s="4"/>
      <c r="D14" s="50" t="str">
        <f>IFERROR(VLOOKUP(D13,Cuentas!C13:H36,3,FALSE)," ")</f>
        <v xml:space="preserve"> </v>
      </c>
      <c r="E14" s="51"/>
      <c r="F14" s="13"/>
      <c r="G14" s="46"/>
      <c r="H14" s="15" t="s">
        <v>6</v>
      </c>
      <c r="I14" s="13"/>
      <c r="J14" s="52" t="str">
        <f>IFERROR(VLOOKUP(J13,Cuentas!C13:H36,3,FALSE)," ")</f>
        <v xml:space="preserve"> </v>
      </c>
      <c r="K14" s="53"/>
      <c r="L14" s="4"/>
      <c r="M14" s="47"/>
      <c r="N14" s="49"/>
      <c r="O14" s="48"/>
    </row>
    <row r="15" spans="1:15" ht="22.5" customHeight="1" x14ac:dyDescent="0.25">
      <c r="A15" s="46"/>
      <c r="B15" s="15" t="s">
        <v>8</v>
      </c>
      <c r="C15" s="4"/>
      <c r="D15" s="54"/>
      <c r="E15" s="55"/>
      <c r="F15" s="13"/>
      <c r="G15" s="46"/>
      <c r="H15" s="15" t="s">
        <v>145</v>
      </c>
      <c r="I15" s="13"/>
      <c r="J15" s="47"/>
      <c r="K15" s="48"/>
      <c r="L15" s="4"/>
      <c r="M15" s="11"/>
      <c r="N15" s="14"/>
      <c r="O15" s="12"/>
    </row>
    <row r="16" spans="1:15" x14ac:dyDescent="0.25">
      <c r="A16" s="46"/>
      <c r="B16" s="15"/>
      <c r="C16" s="4"/>
      <c r="D16" s="47"/>
      <c r="E16" s="48"/>
      <c r="F16" s="13"/>
      <c r="G16" s="46"/>
      <c r="H16" s="15"/>
      <c r="I16" s="13"/>
      <c r="J16" s="47"/>
      <c r="K16" s="48"/>
      <c r="L16" s="4"/>
      <c r="M16" s="47"/>
      <c r="N16" s="49"/>
      <c r="O16" s="48"/>
    </row>
    <row r="17" spans="1:15" x14ac:dyDescent="0.25">
      <c r="A17" s="56" t="s">
        <v>7</v>
      </c>
      <c r="B17" s="15" t="s">
        <v>11</v>
      </c>
      <c r="C17" s="4"/>
      <c r="D17" s="47"/>
      <c r="E17" s="48"/>
      <c r="F17" s="13"/>
      <c r="G17" s="47"/>
      <c r="H17" s="48"/>
      <c r="I17" s="13"/>
      <c r="J17" s="47"/>
      <c r="K17" s="48"/>
      <c r="L17" s="4"/>
      <c r="M17" s="47"/>
      <c r="N17" s="49"/>
      <c r="O17" s="48"/>
    </row>
    <row r="18" spans="1:15" x14ac:dyDescent="0.25">
      <c r="A18" s="46"/>
      <c r="B18" s="15" t="s">
        <v>6</v>
      </c>
      <c r="C18" s="4"/>
      <c r="D18" s="50" t="str">
        <f>IFERROR(VLOOKUP(D17,Cuentas!C13:H36,3,FALSE)," ")</f>
        <v xml:space="preserve"> </v>
      </c>
      <c r="E18" s="51"/>
      <c r="F18" s="13"/>
      <c r="G18" s="11"/>
      <c r="H18" s="12"/>
      <c r="I18" s="13"/>
      <c r="J18" s="11"/>
      <c r="K18" s="12"/>
      <c r="L18" s="4"/>
      <c r="M18" s="11"/>
      <c r="N18" s="14"/>
      <c r="O18" s="12"/>
    </row>
    <row r="19" spans="1:15" ht="22.5" customHeight="1" x14ac:dyDescent="0.25">
      <c r="A19" s="46"/>
      <c r="B19" s="15" t="s">
        <v>8</v>
      </c>
      <c r="C19" s="4"/>
      <c r="D19" s="54"/>
      <c r="E19" s="48"/>
      <c r="F19" s="13"/>
      <c r="G19" s="47"/>
      <c r="H19" s="48"/>
      <c r="I19" s="13"/>
      <c r="J19" s="47"/>
      <c r="K19" s="48"/>
      <c r="L19" s="4"/>
      <c r="M19" s="47"/>
      <c r="N19" s="49"/>
      <c r="O19" s="48"/>
    </row>
    <row r="20" spans="1:15" ht="26.25" customHeight="1" x14ac:dyDescent="0.25">
      <c r="A20" s="57"/>
      <c r="B20" s="16"/>
      <c r="C20" s="4"/>
      <c r="D20" s="47"/>
      <c r="E20" s="48"/>
      <c r="F20" s="13"/>
      <c r="G20" s="47"/>
      <c r="H20" s="48"/>
      <c r="I20" s="13"/>
      <c r="J20" s="47"/>
      <c r="K20" s="48"/>
      <c r="L20" s="4"/>
      <c r="M20" s="47"/>
      <c r="N20" s="49"/>
      <c r="O20" s="48"/>
    </row>
    <row r="21" spans="1:15" x14ac:dyDescent="0.25">
      <c r="A21" s="73"/>
      <c r="B21" s="74"/>
      <c r="C21" s="4"/>
      <c r="D21" s="47"/>
      <c r="E21" s="48"/>
      <c r="F21" s="13"/>
      <c r="G21" s="47"/>
      <c r="H21" s="48"/>
      <c r="I21" s="13"/>
      <c r="J21" s="47"/>
      <c r="K21" s="48"/>
      <c r="L21" s="4"/>
      <c r="M21" s="47"/>
      <c r="N21" s="49"/>
      <c r="O21" s="48"/>
    </row>
    <row r="22" spans="1:15" ht="127.5" customHeight="1" x14ac:dyDescent="0.25">
      <c r="A22" s="61" t="s">
        <v>9</v>
      </c>
      <c r="B22" s="62"/>
      <c r="C22" s="4"/>
      <c r="D22" s="65"/>
      <c r="E22" s="66"/>
      <c r="F22" s="13"/>
      <c r="G22" s="69"/>
      <c r="H22" s="70"/>
      <c r="I22" s="13"/>
      <c r="J22" s="47"/>
      <c r="K22" s="48"/>
      <c r="L22" s="4"/>
      <c r="M22" s="47"/>
      <c r="N22" s="49"/>
      <c r="O22" s="48"/>
    </row>
    <row r="23" spans="1:15" ht="15" customHeight="1" x14ac:dyDescent="0.25">
      <c r="A23" s="63"/>
      <c r="B23" s="64"/>
      <c r="C23" s="4"/>
      <c r="D23" s="67"/>
      <c r="E23" s="68"/>
      <c r="F23" s="13"/>
      <c r="G23" s="71"/>
      <c r="H23" s="72"/>
      <c r="I23" s="13"/>
      <c r="J23" s="58"/>
      <c r="K23" s="59"/>
      <c r="L23" s="4"/>
      <c r="M23" s="58"/>
      <c r="N23" s="60"/>
      <c r="O23" s="59"/>
    </row>
  </sheetData>
  <sheetProtection algorithmName="SHA-512" hashValue="OYYCwnq2AkAGgyKHz8rdmS3EnDnBJvWtCBVgV9OKXe9WE2e/+5DkWWt315p2ed2nhdEv1Om1YFLrBLJpo6U9GQ==" saltValue="FzdlIT1SzGdYBpCyS5tOgA==" spinCount="100000" sheet="1" objects="1" scenarios="1"/>
  <mergeCells count="49">
    <mergeCell ref="A21:B21"/>
    <mergeCell ref="D21:E21"/>
    <mergeCell ref="G21:H21"/>
    <mergeCell ref="J21:K21"/>
    <mergeCell ref="M21:O21"/>
    <mergeCell ref="J23:K23"/>
    <mergeCell ref="M23:O23"/>
    <mergeCell ref="A22:B23"/>
    <mergeCell ref="D22:E23"/>
    <mergeCell ref="G22:H23"/>
    <mergeCell ref="J22:K22"/>
    <mergeCell ref="M22:O22"/>
    <mergeCell ref="A17:A20"/>
    <mergeCell ref="D17:E17"/>
    <mergeCell ref="G17:H17"/>
    <mergeCell ref="J17:K17"/>
    <mergeCell ref="M17:O17"/>
    <mergeCell ref="D19:E19"/>
    <mergeCell ref="G19:H19"/>
    <mergeCell ref="D20:E20"/>
    <mergeCell ref="G20:H20"/>
    <mergeCell ref="J20:K20"/>
    <mergeCell ref="M20:O20"/>
    <mergeCell ref="J19:K19"/>
    <mergeCell ref="M19:O19"/>
    <mergeCell ref="D18:E18"/>
    <mergeCell ref="A13:A16"/>
    <mergeCell ref="D13:E13"/>
    <mergeCell ref="J13:K13"/>
    <mergeCell ref="M13:O13"/>
    <mergeCell ref="D14:E14"/>
    <mergeCell ref="J14:K14"/>
    <mergeCell ref="M14:O14"/>
    <mergeCell ref="D16:E16"/>
    <mergeCell ref="J16:K16"/>
    <mergeCell ref="M16:O16"/>
    <mergeCell ref="G13:G16"/>
    <mergeCell ref="J15:K15"/>
    <mergeCell ref="D15:E15"/>
    <mergeCell ref="D11:E11"/>
    <mergeCell ref="G11:H11"/>
    <mergeCell ref="J11:K11"/>
    <mergeCell ref="M11:O11"/>
    <mergeCell ref="A1:O1"/>
    <mergeCell ref="A3:B5"/>
    <mergeCell ref="D3:K5"/>
    <mergeCell ref="A7:O7"/>
    <mergeCell ref="A9:O9"/>
    <mergeCell ref="A11:B11"/>
  </mergeCells>
  <pageMargins left="0.7" right="0.7" top="0.75" bottom="0.75" header="0.3" footer="0.3"/>
  <pageSetup scale="5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Cuentas!$C$14:$C$36</xm:f>
          </x14:formula1>
          <xm:sqref>D13:E13 D17:E17 J13:K13</xm:sqref>
        </x14:dataValidation>
        <x14:dataValidation type="list" allowBlank="1" showInputMessage="1" showErrorMessage="1">
          <x14:formula1>
            <xm:f>Cuentas!$A$42:$A$89</xm:f>
          </x14:formula1>
          <xm:sqref>D3:K5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Cuentas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negonzalez</dc:creator>
  <cp:lastModifiedBy>negonzalez</cp:lastModifiedBy>
  <cp:lastPrinted>2024-01-30T18:36:15Z</cp:lastPrinted>
  <dcterms:created xsi:type="dcterms:W3CDTF">2024-01-24T16:58:21Z</dcterms:created>
  <dcterms:modified xsi:type="dcterms:W3CDTF">2024-01-31T19:04:42Z</dcterms:modified>
</cp:coreProperties>
</file>