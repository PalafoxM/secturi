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Aldo Sánchez\Documents\SECTUR\Utilitarios\Formatos, planillas, etc\SECTUR\"/>
    </mc:Choice>
  </mc:AlternateContent>
  <workbookProtection workbookAlgorithmName="SHA-512" workbookHashValue="RM+GNsLwRJYKbJsWzokxb2OE2XF6tRIUaJJL/HhgBGJgDeN/OrO4lPGHUPEo3+ZkMiUUV+jJafDEwnBDNNe/QQ==" workbookSaltValue="9YICrCoMT/l6imq+1DSsEA==" workbookSpinCount="100000" lockStructure="1"/>
  <bookViews>
    <workbookView xWindow="0" yWindow="0" windowWidth="18930" windowHeight="8115"/>
  </bookViews>
  <sheets>
    <sheet name="F-2SMV" sheetId="2" r:id="rId1"/>
  </sheets>
  <definedNames>
    <definedName name="_xlnm._FilterDatabase" localSheetId="0" hidden="1">'F-2SMV'!$R$52:$X$84</definedName>
    <definedName name="_xlnm.Print_Area" localSheetId="0">'F-2SMV'!$C$5:$L$46</definedName>
    <definedName name="DatosVh">'F-2SMV'!$R$53:$X$84</definedName>
    <definedName name="MrkVh">'F-2SMV'!$W$53:$W$84</definedName>
    <definedName name="NoCtrl">'F-2SMV'!$R$53:$R$84</definedName>
    <definedName name="Plk">'F-2SMV'!$S$53:$S$84</definedName>
    <definedName name="TipoServ">'F-2SMV'!$Q$53:$Q$54</definedName>
    <definedName name="TipoVh">'F-2SMV'!$X$53:$X$84</definedName>
    <definedName name="UsCarg">'F-2SMV'!$U$53:$U$84</definedName>
    <definedName name="UsNom">'F-2SMV'!$T$53:$T$84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2" l="1"/>
  <c r="D15" i="2"/>
  <c r="D14" i="2"/>
  <c r="D13" i="2"/>
  <c r="K10" i="2"/>
  <c r="I10" i="2"/>
  <c r="F15" i="2"/>
  <c r="F14" i="2"/>
  <c r="F13" i="2"/>
</calcChain>
</file>

<file path=xl/sharedStrings.xml><?xml version="1.0" encoding="utf-8"?>
<sst xmlns="http://schemas.openxmlformats.org/spreadsheetml/2006/main" count="256" uniqueCount="161">
  <si>
    <t>No. de Control</t>
  </si>
  <si>
    <t>No. Placas</t>
  </si>
  <si>
    <t>Kilometraje actual</t>
  </si>
  <si>
    <t>No. Reserva</t>
  </si>
  <si>
    <t>Preventivo</t>
  </si>
  <si>
    <t>Correctivo</t>
  </si>
  <si>
    <t>Para uso exclusivo de la Dirección Administrativa</t>
  </si>
  <si>
    <t>Cotizaciones</t>
  </si>
  <si>
    <t>Observaciones</t>
  </si>
  <si>
    <t>Usuario</t>
  </si>
  <si>
    <t>Nombre</t>
  </si>
  <si>
    <t>Cargo</t>
  </si>
  <si>
    <t>Área</t>
  </si>
  <si>
    <t>Marca</t>
  </si>
  <si>
    <t>Tipo</t>
  </si>
  <si>
    <t>Servicio a solicitar</t>
  </si>
  <si>
    <t>Descripción</t>
  </si>
  <si>
    <t>Proveedor 1</t>
  </si>
  <si>
    <t>No. Padrón de proveedores</t>
  </si>
  <si>
    <t>Fecha</t>
  </si>
  <si>
    <t>Proveedor 2</t>
  </si>
  <si>
    <t>Proveedor 3</t>
  </si>
  <si>
    <t>Contacto</t>
  </si>
  <si>
    <t>Fecha de recepción de solicitud</t>
  </si>
  <si>
    <t>Validación D.A.</t>
  </si>
  <si>
    <t>Revisón de historial</t>
  </si>
  <si>
    <t>Dictamen</t>
  </si>
  <si>
    <t>Evidencia</t>
  </si>
  <si>
    <t>Fotografías</t>
  </si>
  <si>
    <t>Revisión física</t>
  </si>
  <si>
    <t>Revisión de manual de mtto.</t>
  </si>
  <si>
    <t>Análisis de cotizaciones</t>
  </si>
  <si>
    <t>Diagnóstico técnico</t>
  </si>
  <si>
    <t>Revisión</t>
  </si>
  <si>
    <t>Aux. R.M.</t>
  </si>
  <si>
    <t>C.R.M.T.I.</t>
  </si>
  <si>
    <t>Rúbrica Analista</t>
  </si>
  <si>
    <t>Fecha de ingreso para támite de pago</t>
  </si>
  <si>
    <t>Rubrica Pagos</t>
  </si>
  <si>
    <t>TipoServ</t>
  </si>
  <si>
    <t>Fecha entrega de Solictud/Contrato</t>
  </si>
  <si>
    <t>Datos de Vehículo</t>
  </si>
  <si>
    <t>FORMA 2SMV</t>
  </si>
  <si>
    <t>OLIVERA ROCHA FERNANDO</t>
  </si>
  <si>
    <t>SECRETARIO DE DESARROLLO TURÍSTICO</t>
  </si>
  <si>
    <t>TOYOTA</t>
  </si>
  <si>
    <t>SEQUOIA</t>
  </si>
  <si>
    <t>VOLKSWAGEN</t>
  </si>
  <si>
    <t>VENTO STYLE TDI</t>
  </si>
  <si>
    <t>TAPIA CURIEL LILIA ANAYANSI</t>
  </si>
  <si>
    <t>HORTA GARCÍA JUAN ÁNGEL</t>
  </si>
  <si>
    <t>SECRETARIO PARTICULAR</t>
  </si>
  <si>
    <t>HILUX DOBLE CAB</t>
  </si>
  <si>
    <t>NISSAN</t>
  </si>
  <si>
    <t>TIIDA</t>
  </si>
  <si>
    <t>BERNARDINO CRUZ ILIANA ALEJANDRA</t>
  </si>
  <si>
    <t>FORD</t>
  </si>
  <si>
    <t>CHEVROLET</t>
  </si>
  <si>
    <t>DIRECTOR GENERAL DE DESARROLLO TURÍSTICO</t>
  </si>
  <si>
    <t>CRUZE</t>
  </si>
  <si>
    <t>AVEO</t>
  </si>
  <si>
    <t>CAMACHO PICHARDO MANUEL</t>
  </si>
  <si>
    <t>DIRECTOR DE DESARROLLO DE PROYECTOS</t>
  </si>
  <si>
    <t>SUBSECRETARIO DE PROMOCIÓN TURÍSTICA</t>
  </si>
  <si>
    <t>HONDA</t>
  </si>
  <si>
    <t>CIVIC LX AT</t>
  </si>
  <si>
    <t>VAZQUEZ LOPEZ RICARDO</t>
  </si>
  <si>
    <t>DIRECTOR DE PROMOCIÓN Y DIFUSIÓN</t>
  </si>
  <si>
    <t>DIRECTOR DE PRODUCTOS TURÍSTICOS</t>
  </si>
  <si>
    <t>DIRECTOR DE RELACIONES PUBLICAS</t>
  </si>
  <si>
    <t>COORDINACIÓN DE COMUNICACION SOCIAL</t>
  </si>
  <si>
    <t>C-35 3500</t>
  </si>
  <si>
    <t>VAN EXPRESS</t>
  </si>
  <si>
    <t>TRANSIT PASS MWB ac</t>
  </si>
  <si>
    <t>5ETL95</t>
  </si>
  <si>
    <t>FIAT</t>
  </si>
  <si>
    <t>HG3 DUCATO CARGO VAN</t>
  </si>
  <si>
    <t>PILOT LX</t>
  </si>
  <si>
    <t>CÁRDENAS HERNANDEZ ROBERTO WILLEBALDO</t>
  </si>
  <si>
    <t>COLLAZO VALADEZ ADRIANA</t>
  </si>
  <si>
    <t>UsCarg</t>
  </si>
  <si>
    <t>UsNom</t>
  </si>
  <si>
    <t>Plk</t>
  </si>
  <si>
    <t>TipoVh</t>
  </si>
  <si>
    <t>MrkVh</t>
  </si>
  <si>
    <t>NoCtrl</t>
  </si>
  <si>
    <t>UsArea</t>
  </si>
  <si>
    <t>DESPACHO DEL C. SECRETARIO</t>
  </si>
  <si>
    <t>DIRECCIÓN ADMINISTRATIVA</t>
  </si>
  <si>
    <t>DIRECCIÓN DE ASUNTOS JURÍDICOS</t>
  </si>
  <si>
    <t>DIRECTORA ADMINISTRATIVA</t>
  </si>
  <si>
    <t>DIRECTORA DE ASUNTOS JURÍDICOS</t>
  </si>
  <si>
    <t>DIRECCIÓN DE CULTURA TURÍSTICA</t>
  </si>
  <si>
    <t>DIRECCIÓN DE DESARROLLO DE PROYECTOS</t>
  </si>
  <si>
    <t>SUBSECRETARÍA DE PROMOCIÓN TURÍSTICA</t>
  </si>
  <si>
    <t>DIRECCIÓN DE PROMOCIÓN Y DIFUCIÓN</t>
  </si>
  <si>
    <t>DIRECCIÓN DE PRODUCTOS TURÍSTICOS</t>
  </si>
  <si>
    <t>DIRECCIÓN DE MERCADOTECNIA</t>
  </si>
  <si>
    <t>DIRECCIÓN DE RELACIONES PUBLICAS</t>
  </si>
  <si>
    <t>COORDINADOR DE COMUNICACION SOCIAL</t>
  </si>
  <si>
    <t>DIRECCIÓN GENERAL DE PLANEACIÓN</t>
  </si>
  <si>
    <t>DIR. DE PLANEACIÓN ESTRATÉGICA Y ENLACE GUBERNAMENTAL</t>
  </si>
  <si>
    <t>DIRECCIÓN DE INFORMACIÓN Y ANÁLISIS</t>
  </si>
  <si>
    <t>DIRECTOR GENERAL DE PLANEACIÓN</t>
  </si>
  <si>
    <t>Todos las celdas en amarillo deben ser llenadas, las que no se ocupen, escribir "N/A"</t>
  </si>
  <si>
    <t>Rubrica</t>
  </si>
  <si>
    <t>GUV5468</t>
  </si>
  <si>
    <t>GVH6422</t>
  </si>
  <si>
    <t>GVH6390</t>
  </si>
  <si>
    <t>GVR8636</t>
  </si>
  <si>
    <t>VELA ESCAMILLA MARICARMEN</t>
  </si>
  <si>
    <t>GP36812</t>
  </si>
  <si>
    <t>GVH1471</t>
  </si>
  <si>
    <t>GVH6391</t>
  </si>
  <si>
    <t>GVR8604</t>
  </si>
  <si>
    <t>GVS3323</t>
  </si>
  <si>
    <t>GVH6421</t>
  </si>
  <si>
    <t>GTZ9140</t>
  </si>
  <si>
    <t>MURILLO NÚÑEZ OMAR</t>
  </si>
  <si>
    <t>GVR8661</t>
  </si>
  <si>
    <t>GR06613</t>
  </si>
  <si>
    <t>GVH6427</t>
  </si>
  <si>
    <t>GVH6428</t>
  </si>
  <si>
    <t>GUS8744</t>
  </si>
  <si>
    <t>AGUILAR MATA OCTAVIO HUMBERTO</t>
  </si>
  <si>
    <t>GVH6392</t>
  </si>
  <si>
    <t>GVH6393</t>
  </si>
  <si>
    <t>MARTÍNEZ CABALLERO ROGELIO</t>
  </si>
  <si>
    <t>GR06640</t>
  </si>
  <si>
    <t>GVH1450</t>
  </si>
  <si>
    <t>ISLAS RODRÍGUEZ ADRIANA</t>
  </si>
  <si>
    <t>GVA1707</t>
  </si>
  <si>
    <t>CABREJOS SAMAME JORGE LUIS</t>
  </si>
  <si>
    <t>GVH6399</t>
  </si>
  <si>
    <t>RIVERA CORDERO CARLOS ENRIQUE</t>
  </si>
  <si>
    <t>GVH6425</t>
  </si>
  <si>
    <t>GG37851</t>
  </si>
  <si>
    <t>GUS8745</t>
  </si>
  <si>
    <t>GSX5298</t>
  </si>
  <si>
    <t>GSE5222</t>
  </si>
  <si>
    <t>GVH6400</t>
  </si>
  <si>
    <t>GUR2971</t>
  </si>
  <si>
    <t>GVH6426</t>
  </si>
  <si>
    <t>GVH6397</t>
  </si>
  <si>
    <t>COORDINADORA DE LOGÍSTICA</t>
  </si>
  <si>
    <t>DIRECTORA DE MERCADOTECNIA</t>
  </si>
  <si>
    <t>DIRECTORA DE PLANEACIÓN ESTRATÉGICA Y ENLACE GUBERNAMENTAL</t>
  </si>
  <si>
    <t>DIRECTORA DE INFORMACIÓN Y ANÁLISIS</t>
  </si>
  <si>
    <t>NP300 DOBLE CABINA TM AC</t>
  </si>
  <si>
    <t>Responsable del trámite</t>
  </si>
  <si>
    <t>GONZÁLEZ LANDEROS CLAUDIA BELÉN</t>
  </si>
  <si>
    <t>COORDINADORA DE RECURSOS HUMANOS</t>
  </si>
  <si>
    <t>VERA ZÚÑIGA CARLOS ROBERTO</t>
  </si>
  <si>
    <t>JEFE DE TECNOLOGIAS DE LA INFORMACIÓNN</t>
  </si>
  <si>
    <t>¿Se proporcionaron inicaciones?</t>
  </si>
  <si>
    <t>Rúbrica usuario</t>
  </si>
  <si>
    <t>DIR. GRAL. DE DESARROLLO TURÍSTICO</t>
  </si>
  <si>
    <t>ADAME ALCARAZ MÍRIAM CECILIA</t>
  </si>
  <si>
    <t>RAMOS VERA PAOLA</t>
  </si>
  <si>
    <t>JEFE DE GESTION EMPRESARIAL</t>
  </si>
  <si>
    <t>F-2SMV V2.3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</si>
</sst>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22"/>
      <color theme="1"/>
      <name val="Wingdings 2"/>
      <family val="1"/>
      <charset val="2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0" fillId="0" borderId="22" xfId="0" applyBorder="1" applyProtection="1"/>
    <xf numFmtId="0" fontId="0" fillId="0" borderId="23" xfId="0" applyBorder="1" applyProtection="1"/>
    <xf numFmtId="0" fontId="0" fillId="0" borderId="24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2" fillId="5" borderId="6" xfId="0" applyFont="1" applyFill="1" applyBorder="1" applyAlignment="1" applyProtection="1">
      <alignment horizontal="right"/>
    </xf>
    <xf numFmtId="0" fontId="7" fillId="0" borderId="0" xfId="0" applyFont="1" applyBorder="1" applyAlignment="1" applyProtection="1"/>
    <xf numFmtId="0" fontId="0" fillId="3" borderId="6" xfId="0" applyFill="1" applyBorder="1" applyAlignment="1" applyProtection="1">
      <alignment horizontal="right"/>
    </xf>
    <xf numFmtId="0" fontId="0" fillId="3" borderId="8" xfId="0" applyFill="1" applyBorder="1" applyAlignment="1" applyProtection="1">
      <alignment horizontal="right"/>
    </xf>
    <xf numFmtId="0" fontId="0" fillId="3" borderId="6" xfId="0" applyFill="1" applyBorder="1" applyProtection="1"/>
    <xf numFmtId="0" fontId="0" fillId="3" borderId="6" xfId="0" applyFont="1" applyFill="1" applyBorder="1" applyAlignment="1" applyProtection="1">
      <alignment horizontal="right" vertical="center"/>
    </xf>
    <xf numFmtId="0" fontId="4" fillId="3" borderId="6" xfId="0" applyFont="1" applyFill="1" applyBorder="1" applyAlignment="1" applyProtection="1">
      <alignment horizontal="right" vertical="center" wrapText="1"/>
    </xf>
    <xf numFmtId="0" fontId="4" fillId="3" borderId="6" xfId="0" applyFont="1" applyFill="1" applyBorder="1" applyAlignment="1" applyProtection="1">
      <alignment horizontal="right" vertical="center"/>
    </xf>
    <xf numFmtId="0" fontId="0" fillId="3" borderId="6" xfId="0" applyFill="1" applyBorder="1" applyAlignment="1" applyProtection="1">
      <alignment horizontal="right" vertical="center"/>
    </xf>
    <xf numFmtId="0" fontId="0" fillId="0" borderId="6" xfId="0" applyBorder="1" applyAlignment="1" applyProtection="1"/>
    <xf numFmtId="0" fontId="0" fillId="0" borderId="0" xfId="0" applyBorder="1" applyAlignment="1" applyProtection="1"/>
    <xf numFmtId="0" fontId="0" fillId="0" borderId="14" xfId="0" applyBorder="1" applyAlignment="1" applyProtection="1"/>
    <xf numFmtId="0" fontId="5" fillId="3" borderId="15" xfId="0" applyFont="1" applyFill="1" applyBorder="1" applyAlignment="1" applyProtection="1">
      <alignment horizontal="right" vertical="center"/>
    </xf>
    <xf numFmtId="0" fontId="0" fillId="3" borderId="4" xfId="0" applyFill="1" applyBorder="1" applyAlignment="1" applyProtection="1">
      <alignment horizontal="left" vertical="center" wrapText="1"/>
    </xf>
    <xf numFmtId="0" fontId="5" fillId="0" borderId="13" xfId="0" applyFont="1" applyBorder="1" applyAlignment="1" applyProtection="1">
      <alignment horizontal="right" vertical="center"/>
    </xf>
    <xf numFmtId="0" fontId="0" fillId="0" borderId="0" xfId="0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left" vertical="top"/>
    </xf>
    <xf numFmtId="0" fontId="0" fillId="0" borderId="14" xfId="0" applyBorder="1" applyAlignment="1" applyProtection="1">
      <alignment horizontal="left" vertical="top"/>
    </xf>
    <xf numFmtId="0" fontId="0" fillId="3" borderId="13" xfId="0" applyFill="1" applyBorder="1" applyProtection="1"/>
    <xf numFmtId="0" fontId="0" fillId="0" borderId="14" xfId="0" applyBorder="1" applyAlignment="1" applyProtection="1">
      <alignment wrapText="1"/>
    </xf>
    <xf numFmtId="0" fontId="0" fillId="3" borderId="13" xfId="0" applyFill="1" applyBorder="1" applyAlignment="1" applyProtection="1">
      <alignment vertical="top" wrapText="1"/>
    </xf>
    <xf numFmtId="0" fontId="0" fillId="3" borderId="17" xfId="0" applyFill="1" applyBorder="1" applyAlignment="1" applyProtection="1">
      <alignment horizontal="right" vertical="center"/>
    </xf>
    <xf numFmtId="0" fontId="0" fillId="3" borderId="17" xfId="0" applyFill="1" applyBorder="1" applyAlignment="1" applyProtection="1">
      <alignment horizontal="right" wrapText="1"/>
    </xf>
    <xf numFmtId="0" fontId="0" fillId="0" borderId="13" xfId="0" applyBorder="1" applyAlignment="1" applyProtection="1">
      <alignment horizontal="left" vertical="top"/>
    </xf>
    <xf numFmtId="0" fontId="0" fillId="0" borderId="0" xfId="0" applyAlignment="1" applyProtection="1">
      <alignment horizontal="left" vertical="top"/>
    </xf>
    <xf numFmtId="0" fontId="0" fillId="0" borderId="0" xfId="0" applyBorder="1" applyAlignment="1" applyProtection="1">
      <alignment horizontal="left" vertical="center"/>
    </xf>
    <xf numFmtId="0" fontId="0" fillId="0" borderId="13" xfId="0" applyBorder="1" applyAlignment="1" applyProtection="1">
      <alignment horizontal="left" vertical="center"/>
    </xf>
    <xf numFmtId="0" fontId="0" fillId="0" borderId="14" xfId="0" applyBorder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0" fontId="0" fillId="0" borderId="0" xfId="0" applyBorder="1" applyAlignment="1" applyProtection="1">
      <alignment vertical="center"/>
    </xf>
    <xf numFmtId="0" fontId="0" fillId="0" borderId="14" xfId="0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4" fillId="0" borderId="0" xfId="0" applyFont="1" applyBorder="1" applyAlignment="1" applyProtection="1">
      <alignment horizontal="right"/>
    </xf>
    <xf numFmtId="0" fontId="0" fillId="0" borderId="25" xfId="0" applyBorder="1" applyProtection="1"/>
    <xf numFmtId="0" fontId="0" fillId="0" borderId="20" xfId="0" applyBorder="1" applyProtection="1"/>
    <xf numFmtId="0" fontId="0" fillId="0" borderId="21" xfId="0" applyBorder="1" applyProtection="1"/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4" borderId="1" xfId="0" applyFill="1" applyBorder="1" applyAlignment="1" applyProtection="1">
      <alignment horizontal="center"/>
      <protection hidden="1"/>
    </xf>
    <xf numFmtId="0" fontId="0" fillId="4" borderId="26" xfId="0" applyFill="1" applyBorder="1" applyProtection="1">
      <protection hidden="1"/>
    </xf>
    <xf numFmtId="0" fontId="0" fillId="0" borderId="1" xfId="0" applyBorder="1" applyProtection="1">
      <protection hidden="1"/>
    </xf>
    <xf numFmtId="0" fontId="0" fillId="0" borderId="26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/>
    <xf numFmtId="0" fontId="0" fillId="3" borderId="4" xfId="0" applyFill="1" applyBorder="1" applyAlignment="1" applyProtection="1">
      <alignment horizontal="right" vertical="center"/>
    </xf>
    <xf numFmtId="0" fontId="1" fillId="0" borderId="8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</xf>
    <xf numFmtId="0" fontId="0" fillId="0" borderId="29" xfId="0" applyBorder="1" applyProtection="1"/>
    <xf numFmtId="0" fontId="0" fillId="0" borderId="30" xfId="0" applyBorder="1" applyProtection="1"/>
    <xf numFmtId="0" fontId="2" fillId="5" borderId="17" xfId="0" applyFont="1" applyFill="1" applyBorder="1" applyAlignment="1" applyProtection="1">
      <alignment horizontal="left" vertical="center"/>
    </xf>
    <xf numFmtId="0" fontId="0" fillId="0" borderId="31" xfId="0" applyBorder="1" applyAlignment="1" applyProtection="1">
      <alignment horizontal="left" vertical="center"/>
    </xf>
    <xf numFmtId="14" fontId="0" fillId="0" borderId="6" xfId="0" applyNumberFormat="1" applyBorder="1" applyAlignment="1" applyProtection="1"/>
    <xf numFmtId="14" fontId="0" fillId="0" borderId="0" xfId="0" applyNumberFormat="1" applyBorder="1" applyAlignment="1" applyProtection="1"/>
    <xf numFmtId="0" fontId="0" fillId="0" borderId="14" xfId="0" applyBorder="1" applyAlignment="1" applyProtection="1">
      <alignment vertical="top"/>
    </xf>
    <xf numFmtId="0" fontId="0" fillId="0" borderId="19" xfId="0" applyBorder="1" applyAlignment="1" applyProtection="1"/>
    <xf numFmtId="0" fontId="0" fillId="0" borderId="21" xfId="0" applyBorder="1" applyAlignment="1" applyProtection="1">
      <alignment vertical="top"/>
    </xf>
    <xf numFmtId="0" fontId="0" fillId="0" borderId="33" xfId="0" applyBorder="1" applyProtection="1"/>
    <xf numFmtId="0" fontId="0" fillId="0" borderId="33" xfId="0" applyBorder="1" applyAlignment="1" applyProtection="1">
      <alignment vertical="center"/>
    </xf>
    <xf numFmtId="0" fontId="0" fillId="0" borderId="32" xfId="0" applyBorder="1" applyAlignment="1" applyProtection="1">
      <alignment horizontal="right" vertical="center"/>
    </xf>
    <xf numFmtId="0" fontId="0" fillId="0" borderId="19" xfId="0" applyBorder="1" applyAlignment="1" applyProtection="1">
      <alignment horizontal="right" vertical="center"/>
    </xf>
    <xf numFmtId="0" fontId="0" fillId="0" borderId="17" xfId="0" applyBorder="1" applyAlignment="1" applyProtection="1">
      <alignment horizontal="left" vertical="top"/>
    </xf>
    <xf numFmtId="0" fontId="0" fillId="0" borderId="6" xfId="0" applyBorder="1" applyAlignment="1" applyProtection="1">
      <alignment horizontal="left" vertical="top"/>
    </xf>
    <xf numFmtId="0" fontId="5" fillId="3" borderId="6" xfId="0" applyFont="1" applyFill="1" applyBorder="1" applyAlignment="1" applyProtection="1">
      <alignment horizontal="center" vertical="center"/>
    </xf>
    <xf numFmtId="0" fontId="0" fillId="0" borderId="19" xfId="0" applyBorder="1" applyAlignment="1" applyProtection="1">
      <alignment horizontal="left" vertical="top"/>
    </xf>
    <xf numFmtId="0" fontId="2" fillId="5" borderId="17" xfId="0" applyFont="1" applyFill="1" applyBorder="1" applyAlignment="1" applyProtection="1">
      <alignment horizontal="left"/>
    </xf>
    <xf numFmtId="0" fontId="2" fillId="5" borderId="6" xfId="0" applyFont="1" applyFill="1" applyBorder="1" applyAlignment="1" applyProtection="1">
      <alignment horizontal="left"/>
    </xf>
    <xf numFmtId="0" fontId="2" fillId="5" borderId="18" xfId="0" applyFont="1" applyFill="1" applyBorder="1" applyAlignment="1" applyProtection="1">
      <alignment horizontal="left"/>
    </xf>
    <xf numFmtId="0" fontId="0" fillId="0" borderId="9" xfId="0" applyBorder="1" applyAlignment="1" applyProtection="1">
      <alignment horizontal="left" vertical="top"/>
    </xf>
    <xf numFmtId="0" fontId="0" fillId="0" borderId="3" xfId="0" applyBorder="1" applyAlignment="1" applyProtection="1">
      <alignment horizontal="left" vertical="top"/>
    </xf>
    <xf numFmtId="0" fontId="0" fillId="0" borderId="16" xfId="0" applyBorder="1" applyAlignment="1" applyProtection="1">
      <alignment horizontal="left" vertical="top"/>
    </xf>
    <xf numFmtId="0" fontId="0" fillId="0" borderId="4" xfId="0" applyBorder="1" applyAlignment="1" applyProtection="1">
      <alignment horizontal="right" vertical="center"/>
    </xf>
    <xf numFmtId="0" fontId="0" fillId="0" borderId="6" xfId="0" applyBorder="1" applyAlignment="1" applyProtection="1">
      <alignment horizontal="right" vertical="center"/>
    </xf>
    <xf numFmtId="0" fontId="2" fillId="5" borderId="17" xfId="0" applyFont="1" applyFill="1" applyBorder="1" applyAlignment="1" applyProtection="1">
      <alignment horizontal="left" vertical="top" wrapText="1"/>
    </xf>
    <xf numFmtId="0" fontId="2" fillId="5" borderId="6" xfId="0" applyFont="1" applyFill="1" applyBorder="1" applyAlignment="1" applyProtection="1">
      <alignment horizontal="left" vertical="top" wrapText="1"/>
    </xf>
    <xf numFmtId="0" fontId="2" fillId="5" borderId="18" xfId="0" applyFont="1" applyFill="1" applyBorder="1" applyAlignment="1" applyProtection="1">
      <alignment horizontal="left" vertical="top" wrapText="1"/>
    </xf>
    <xf numFmtId="0" fontId="2" fillId="5" borderId="10" xfId="0" applyFont="1" applyFill="1" applyBorder="1" applyAlignment="1" applyProtection="1">
      <alignment horizontal="center"/>
    </xf>
    <xf numFmtId="0" fontId="2" fillId="5" borderId="11" xfId="0" applyFont="1" applyFill="1" applyBorder="1" applyAlignment="1" applyProtection="1">
      <alignment horizontal="center"/>
    </xf>
    <xf numFmtId="0" fontId="2" fillId="5" borderId="12" xfId="0" applyFont="1" applyFill="1" applyBorder="1" applyAlignment="1" applyProtection="1">
      <alignment horizontal="center"/>
    </xf>
    <xf numFmtId="0" fontId="0" fillId="3" borderId="13" xfId="0" applyFill="1" applyBorder="1" applyAlignment="1" applyProtection="1">
      <alignment horizontal="right" vertical="center"/>
    </xf>
    <xf numFmtId="0" fontId="0" fillId="3" borderId="0" xfId="0" applyFill="1" applyBorder="1" applyAlignment="1" applyProtection="1">
      <alignment horizontal="right" vertical="center"/>
    </xf>
    <xf numFmtId="14" fontId="0" fillId="0" borderId="5" xfId="0" applyNumberFormat="1" applyBorder="1" applyAlignment="1" applyProtection="1">
      <alignment horizontal="center"/>
    </xf>
    <xf numFmtId="0" fontId="0" fillId="0" borderId="6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</xf>
    <xf numFmtId="14" fontId="1" fillId="0" borderId="6" xfId="0" applyNumberFormat="1" applyFont="1" applyBorder="1" applyAlignment="1" applyProtection="1">
      <alignment horizontal="center"/>
      <protection locked="0"/>
    </xf>
    <xf numFmtId="0" fontId="7" fillId="0" borderId="0" xfId="0" applyFont="1" applyBorder="1" applyAlignment="1" applyProtection="1">
      <alignment horizontal="right"/>
    </xf>
    <xf numFmtId="0" fontId="5" fillId="0" borderId="6" xfId="0" applyFont="1" applyBorder="1" applyAlignment="1" applyProtection="1">
      <alignment horizontal="center" vertical="center"/>
    </xf>
    <xf numFmtId="0" fontId="0" fillId="3" borderId="7" xfId="0" applyFill="1" applyBorder="1" applyAlignment="1" applyProtection="1">
      <alignment horizontal="center" wrapText="1"/>
    </xf>
    <xf numFmtId="0" fontId="3" fillId="3" borderId="7" xfId="0" applyFont="1" applyFill="1" applyBorder="1" applyAlignment="1" applyProtection="1">
      <alignment horizontal="center" vertical="center"/>
    </xf>
    <xf numFmtId="0" fontId="0" fillId="3" borderId="6" xfId="0" applyFill="1" applyBorder="1" applyAlignment="1" applyProtection="1">
      <alignment horizontal="center"/>
    </xf>
    <xf numFmtId="0" fontId="6" fillId="2" borderId="6" xfId="0" applyFont="1" applyFill="1" applyBorder="1" applyAlignment="1" applyProtection="1">
      <alignment horizontal="center"/>
    </xf>
    <xf numFmtId="0" fontId="2" fillId="5" borderId="6" xfId="0" applyFont="1" applyFill="1" applyBorder="1" applyAlignment="1" applyProtection="1">
      <alignment horizontal="center"/>
    </xf>
    <xf numFmtId="0" fontId="1" fillId="0" borderId="6" xfId="0" applyFont="1" applyBorder="1" applyAlignment="1" applyProtection="1">
      <alignment horizontal="left"/>
    </xf>
    <xf numFmtId="0" fontId="1" fillId="0" borderId="6" xfId="0" applyFont="1" applyBorder="1" applyAlignment="1" applyProtection="1">
      <alignment horizontal="left"/>
      <protection hidden="1"/>
    </xf>
    <xf numFmtId="0" fontId="0" fillId="3" borderId="9" xfId="0" applyFill="1" applyBorder="1" applyAlignment="1" applyProtection="1">
      <alignment horizontal="center"/>
    </xf>
    <xf numFmtId="0" fontId="0" fillId="3" borderId="3" xfId="0" applyFill="1" applyBorder="1" applyAlignment="1" applyProtection="1">
      <alignment horizontal="center"/>
    </xf>
    <xf numFmtId="0" fontId="0" fillId="3" borderId="4" xfId="0" applyFill="1" applyBorder="1" applyAlignment="1" applyProtection="1">
      <alignment horizontal="center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/>
    </xf>
    <xf numFmtId="0" fontId="2" fillId="5" borderId="9" xfId="0" applyFont="1" applyFill="1" applyBorder="1" applyAlignment="1" applyProtection="1">
      <alignment horizontal="center"/>
    </xf>
    <xf numFmtId="0" fontId="2" fillId="5" borderId="3" xfId="0" applyFont="1" applyFill="1" applyBorder="1" applyAlignment="1" applyProtection="1">
      <alignment horizontal="center"/>
    </xf>
    <xf numFmtId="0" fontId="2" fillId="5" borderId="4" xfId="0" applyFont="1" applyFill="1" applyBorder="1" applyAlignment="1" applyProtection="1">
      <alignment horizontal="center"/>
    </xf>
    <xf numFmtId="0" fontId="4" fillId="0" borderId="6" xfId="0" applyFont="1" applyBorder="1" applyAlignment="1" applyProtection="1">
      <alignment horizontal="right" vertical="top"/>
    </xf>
    <xf numFmtId="0" fontId="9" fillId="0" borderId="6" xfId="0" applyFont="1" applyBorder="1" applyAlignment="1" applyProtection="1">
      <alignment horizontal="center" vertical="center"/>
      <protection locked="0"/>
    </xf>
    <xf numFmtId="0" fontId="0" fillId="3" borderId="28" xfId="0" applyFill="1" applyBorder="1" applyAlignment="1" applyProtection="1">
      <alignment horizontal="right" vertical="center"/>
    </xf>
    <xf numFmtId="0" fontId="0" fillId="3" borderId="27" xfId="0" applyFill="1" applyBorder="1" applyAlignment="1" applyProtection="1">
      <alignment horizontal="right" vertical="center"/>
    </xf>
    <xf numFmtId="0" fontId="9" fillId="0" borderId="9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center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30</xdr:row>
      <xdr:rowOff>104775</xdr:rowOff>
    </xdr:from>
    <xdr:to>
      <xdr:col>2</xdr:col>
      <xdr:colOff>657225</xdr:colOff>
      <xdr:row>30</xdr:row>
      <xdr:rowOff>295275</xdr:rowOff>
    </xdr:to>
    <xdr:sp macro="" textlink="">
      <xdr:nvSpPr>
        <xdr:cNvPr id="2" name="Rectángulo redondeado 1"/>
        <xdr:cNvSpPr/>
      </xdr:nvSpPr>
      <xdr:spPr>
        <a:xfrm>
          <a:off x="2686050" y="6353175"/>
          <a:ext cx="257175" cy="1905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647700</xdr:colOff>
      <xdr:row>34</xdr:row>
      <xdr:rowOff>76200</xdr:rowOff>
    </xdr:from>
    <xdr:to>
      <xdr:col>4</xdr:col>
      <xdr:colOff>142875</xdr:colOff>
      <xdr:row>34</xdr:row>
      <xdr:rowOff>266700</xdr:rowOff>
    </xdr:to>
    <xdr:sp macro="" textlink="">
      <xdr:nvSpPr>
        <xdr:cNvPr id="3" name="Rectángulo redondeado 2"/>
        <xdr:cNvSpPr/>
      </xdr:nvSpPr>
      <xdr:spPr>
        <a:xfrm>
          <a:off x="3695700" y="7172325"/>
          <a:ext cx="257175" cy="1905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638175</xdr:colOff>
      <xdr:row>34</xdr:row>
      <xdr:rowOff>76200</xdr:rowOff>
    </xdr:from>
    <xdr:to>
      <xdr:col>6</xdr:col>
      <xdr:colOff>133350</xdr:colOff>
      <xdr:row>34</xdr:row>
      <xdr:rowOff>266700</xdr:rowOff>
    </xdr:to>
    <xdr:sp macro="" textlink="">
      <xdr:nvSpPr>
        <xdr:cNvPr id="4" name="Rectángulo redondeado 3"/>
        <xdr:cNvSpPr/>
      </xdr:nvSpPr>
      <xdr:spPr>
        <a:xfrm>
          <a:off x="5210175" y="7172325"/>
          <a:ext cx="257175" cy="1905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638175</xdr:colOff>
      <xdr:row>34</xdr:row>
      <xdr:rowOff>76200</xdr:rowOff>
    </xdr:from>
    <xdr:to>
      <xdr:col>8</xdr:col>
      <xdr:colOff>133350</xdr:colOff>
      <xdr:row>34</xdr:row>
      <xdr:rowOff>266700</xdr:rowOff>
    </xdr:to>
    <xdr:sp macro="" textlink="">
      <xdr:nvSpPr>
        <xdr:cNvPr id="5" name="Rectángulo redondeado 4"/>
        <xdr:cNvSpPr/>
      </xdr:nvSpPr>
      <xdr:spPr>
        <a:xfrm>
          <a:off x="6734175" y="7172325"/>
          <a:ext cx="257175" cy="1905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638175</xdr:colOff>
      <xdr:row>34</xdr:row>
      <xdr:rowOff>76200</xdr:rowOff>
    </xdr:from>
    <xdr:to>
      <xdr:col>10</xdr:col>
      <xdr:colOff>133350</xdr:colOff>
      <xdr:row>34</xdr:row>
      <xdr:rowOff>266700</xdr:rowOff>
    </xdr:to>
    <xdr:sp macro="" textlink="">
      <xdr:nvSpPr>
        <xdr:cNvPr id="6" name="Rectángulo redondeado 5"/>
        <xdr:cNvSpPr/>
      </xdr:nvSpPr>
      <xdr:spPr>
        <a:xfrm>
          <a:off x="8258175" y="7172325"/>
          <a:ext cx="257175" cy="1905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84"/>
  <sheetViews>
    <sheetView showGridLines="0" tabSelected="1" topLeftCell="G41" zoomScaleNormal="100" workbookViewId="0">
      <selection activeCell="L47" sqref="L47"/>
    </sheetView>
  </sheetViews>
  <sheetFormatPr baseColWidth="10" defaultRowHeight="15" x14ac:dyDescent="0.25"/>
  <cols>
    <col min="1" max="1" width="11.42578125" style="1"/>
    <col min="2" max="2" width="2.28515625" style="1" customWidth="1"/>
    <col min="3" max="12" width="11.42578125" style="1"/>
    <col min="13" max="13" width="2.28515625" style="1" customWidth="1"/>
    <col min="14" max="16" width="11.42578125" style="1"/>
    <col min="17" max="17" width="11.42578125" style="1" hidden="1" customWidth="1"/>
    <col min="18" max="18" width="13.7109375" style="1" hidden="1" customWidth="1"/>
    <col min="19" max="19" width="9.5703125" style="1" hidden="1" customWidth="1"/>
    <col min="20" max="20" width="43" style="1" hidden="1" customWidth="1"/>
    <col min="21" max="21" width="73" style="1" hidden="1" customWidth="1"/>
    <col min="22" max="22" width="57.5703125" style="1" hidden="1" customWidth="1"/>
    <col min="23" max="23" width="13.5703125" style="1" hidden="1" customWidth="1"/>
    <col min="24" max="24" width="23.85546875" style="1" hidden="1" customWidth="1"/>
    <col min="25" max="16384" width="11.42578125" style="1"/>
  </cols>
  <sheetData>
    <row r="2" spans="1:14" ht="21" x14ac:dyDescent="0.35">
      <c r="B2" s="107" t="s">
        <v>104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</row>
    <row r="3" spans="1:14" ht="15.75" thickBot="1" x14ac:dyDescent="0.3">
      <c r="M3" s="2"/>
    </row>
    <row r="4" spans="1:14" x14ac:dyDescent="0.25"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5"/>
      <c r="N4" s="2"/>
    </row>
    <row r="5" spans="1:14" ht="15" customHeight="1" x14ac:dyDescent="0.25">
      <c r="A5" s="2"/>
      <c r="B5" s="6"/>
      <c r="C5" s="2"/>
      <c r="D5" s="2"/>
      <c r="E5" s="2"/>
      <c r="F5" s="2"/>
      <c r="G5" s="2"/>
      <c r="H5" s="2"/>
      <c r="I5" s="2"/>
      <c r="J5" s="2"/>
      <c r="K5" s="92" t="s">
        <v>42</v>
      </c>
      <c r="L5" s="92"/>
      <c r="M5" s="7"/>
    </row>
    <row r="6" spans="1:14" ht="15" customHeight="1" x14ac:dyDescent="0.35">
      <c r="A6" s="2"/>
      <c r="B6" s="6"/>
      <c r="C6" s="8" t="s">
        <v>19</v>
      </c>
      <c r="D6" s="91"/>
      <c r="E6" s="91"/>
      <c r="F6" s="2"/>
      <c r="G6" s="2"/>
      <c r="H6" s="2"/>
      <c r="I6" s="2"/>
      <c r="J6" s="9"/>
      <c r="K6" s="92"/>
      <c r="L6" s="92"/>
      <c r="M6" s="7"/>
    </row>
    <row r="7" spans="1:14" ht="6.95" customHeight="1" x14ac:dyDescent="0.25">
      <c r="A7" s="2"/>
      <c r="B7" s="6"/>
      <c r="C7" s="2"/>
      <c r="D7" s="2"/>
      <c r="E7" s="2"/>
      <c r="F7" s="2"/>
      <c r="G7" s="2"/>
      <c r="H7" s="2"/>
      <c r="I7" s="2"/>
      <c r="J7" s="2"/>
      <c r="K7" s="2"/>
      <c r="L7" s="2"/>
      <c r="M7" s="7"/>
    </row>
    <row r="8" spans="1:14" x14ac:dyDescent="0.25">
      <c r="A8" s="2"/>
      <c r="B8" s="6"/>
      <c r="C8" s="73" t="s">
        <v>41</v>
      </c>
      <c r="D8" s="73"/>
      <c r="E8" s="73"/>
      <c r="F8" s="73"/>
      <c r="G8" s="73"/>
      <c r="H8" s="73"/>
      <c r="I8" s="73"/>
      <c r="J8" s="73"/>
      <c r="K8" s="73"/>
      <c r="L8" s="73"/>
      <c r="M8" s="7"/>
    </row>
    <row r="9" spans="1:14" x14ac:dyDescent="0.25">
      <c r="A9" s="2"/>
      <c r="B9" s="6"/>
      <c r="C9" s="97" t="s">
        <v>0</v>
      </c>
      <c r="D9" s="97"/>
      <c r="E9" s="97" t="s">
        <v>1</v>
      </c>
      <c r="F9" s="97"/>
      <c r="G9" s="97" t="s">
        <v>2</v>
      </c>
      <c r="H9" s="97"/>
      <c r="I9" s="97" t="s">
        <v>13</v>
      </c>
      <c r="J9" s="97"/>
      <c r="K9" s="97" t="s">
        <v>14</v>
      </c>
      <c r="L9" s="97"/>
      <c r="M9" s="7"/>
    </row>
    <row r="10" spans="1:14" x14ac:dyDescent="0.25">
      <c r="A10" s="2"/>
      <c r="B10" s="6"/>
      <c r="C10" s="117"/>
      <c r="D10" s="117"/>
      <c r="E10" s="118" t="str">
        <f>IF($C$10="","",VLOOKUP($C$10,DatosVh,2,FALSE))</f>
        <v/>
      </c>
      <c r="F10" s="118"/>
      <c r="G10" s="119"/>
      <c r="H10" s="120"/>
      <c r="I10" s="118" t="str">
        <f>IF($C$10="","",VLOOKUP($C$10,DatosVh,6,FALSE))</f>
        <v/>
      </c>
      <c r="J10" s="118"/>
      <c r="K10" s="118" t="str">
        <f>IF($C$10="","",VLOOKUP($C$10,DatosVh,7,FALSE))</f>
        <v/>
      </c>
      <c r="L10" s="118"/>
      <c r="M10" s="7"/>
    </row>
    <row r="11" spans="1:14" ht="6.95" customHeight="1" x14ac:dyDescent="0.25">
      <c r="A11" s="2"/>
      <c r="B11" s="6"/>
      <c r="C11" s="2"/>
      <c r="D11" s="2"/>
      <c r="E11" s="2"/>
      <c r="F11" s="2"/>
      <c r="G11" s="2"/>
      <c r="H11" s="2"/>
      <c r="I11" s="2"/>
      <c r="J11" s="2"/>
      <c r="K11" s="2"/>
      <c r="L11" s="2"/>
      <c r="M11" s="7"/>
    </row>
    <row r="12" spans="1:14" x14ac:dyDescent="0.25">
      <c r="A12" s="2"/>
      <c r="B12" s="6"/>
      <c r="C12" s="108" t="s">
        <v>9</v>
      </c>
      <c r="D12" s="109"/>
      <c r="E12" s="109"/>
      <c r="F12" s="109"/>
      <c r="G12" s="109"/>
      <c r="H12" s="110"/>
      <c r="I12" s="108" t="s">
        <v>149</v>
      </c>
      <c r="J12" s="109"/>
      <c r="K12" s="109"/>
      <c r="L12" s="110"/>
      <c r="M12" s="7"/>
    </row>
    <row r="13" spans="1:14" x14ac:dyDescent="0.25">
      <c r="A13" s="2"/>
      <c r="B13" s="6"/>
      <c r="C13" s="10" t="s">
        <v>10</v>
      </c>
      <c r="D13" s="99" t="str">
        <f>IF($C$10="","",VLOOKUP($C$10,DatosVh,3,FALSE))</f>
        <v/>
      </c>
      <c r="E13" s="99"/>
      <c r="F13" s="99" t="e">
        <f>VLOOKUP($C$10,DatosVh,2,FALSE)</f>
        <v>#N/A</v>
      </c>
      <c r="G13" s="99"/>
      <c r="H13" s="111" t="s">
        <v>105</v>
      </c>
      <c r="I13" s="52" t="s">
        <v>10</v>
      </c>
      <c r="J13" s="115"/>
      <c r="K13" s="116"/>
      <c r="L13" s="111" t="s">
        <v>105</v>
      </c>
      <c r="M13" s="7"/>
    </row>
    <row r="14" spans="1:14" x14ac:dyDescent="0.25">
      <c r="A14" s="2"/>
      <c r="B14" s="6"/>
      <c r="C14" s="10" t="s">
        <v>11</v>
      </c>
      <c r="D14" s="100" t="str">
        <f>IF($C$10="","",VLOOKUP($C$10,DatosVh,4,FALSE))</f>
        <v/>
      </c>
      <c r="E14" s="100"/>
      <c r="F14" s="100" t="e">
        <f>VLOOKUP($C$10,DatosVh,2,FALSE)</f>
        <v>#N/A</v>
      </c>
      <c r="G14" s="100"/>
      <c r="H14" s="111"/>
      <c r="I14" s="113" t="s">
        <v>11</v>
      </c>
      <c r="J14" s="112"/>
      <c r="K14" s="112"/>
      <c r="L14" s="111"/>
      <c r="M14" s="7"/>
    </row>
    <row r="15" spans="1:14" x14ac:dyDescent="0.25">
      <c r="A15" s="2"/>
      <c r="B15" s="6"/>
      <c r="C15" s="10" t="s">
        <v>12</v>
      </c>
      <c r="D15" s="99" t="str">
        <f>IF($C$10="","",VLOOKUP($C$10,DatosVh,5,FALSE))</f>
        <v/>
      </c>
      <c r="E15" s="99"/>
      <c r="F15" s="99" t="e">
        <f>VLOOKUP($C$10,DatosVh,2,FALSE)</f>
        <v>#N/A</v>
      </c>
      <c r="G15" s="99"/>
      <c r="H15" s="111"/>
      <c r="I15" s="114"/>
      <c r="J15" s="112"/>
      <c r="K15" s="112"/>
      <c r="L15" s="111"/>
      <c r="M15" s="7"/>
    </row>
    <row r="16" spans="1:14" ht="6.95" customHeight="1" x14ac:dyDescent="0.25">
      <c r="A16" s="2"/>
      <c r="B16" s="6"/>
      <c r="C16" s="2"/>
      <c r="D16" s="2"/>
      <c r="E16" s="2"/>
      <c r="F16" s="2"/>
      <c r="G16" s="2"/>
      <c r="H16" s="51"/>
      <c r="I16" s="2"/>
      <c r="J16" s="2"/>
      <c r="K16" s="2"/>
      <c r="L16" s="2"/>
      <c r="M16" s="7"/>
    </row>
    <row r="17" spans="1:13" x14ac:dyDescent="0.25">
      <c r="A17" s="2"/>
      <c r="B17" s="6"/>
      <c r="C17" s="98" t="s">
        <v>15</v>
      </c>
      <c r="D17" s="98"/>
      <c r="E17" s="98"/>
      <c r="F17" s="98"/>
      <c r="G17" s="98"/>
      <c r="H17" s="98"/>
      <c r="I17" s="98"/>
      <c r="J17" s="98"/>
      <c r="K17" s="98"/>
      <c r="L17" s="98"/>
      <c r="M17" s="7"/>
    </row>
    <row r="18" spans="1:13" x14ac:dyDescent="0.25">
      <c r="A18" s="2"/>
      <c r="B18" s="6"/>
      <c r="C18" s="11" t="s">
        <v>14</v>
      </c>
      <c r="D18" s="53"/>
      <c r="E18" s="2"/>
      <c r="F18" s="2"/>
      <c r="G18" s="2"/>
      <c r="H18" s="2"/>
      <c r="I18" s="2"/>
      <c r="J18" s="2"/>
      <c r="K18" s="2"/>
      <c r="L18" s="2"/>
      <c r="M18" s="7"/>
    </row>
    <row r="19" spans="1:13" x14ac:dyDescent="0.25">
      <c r="A19" s="2"/>
      <c r="B19" s="6"/>
      <c r="C19" s="101" t="s">
        <v>16</v>
      </c>
      <c r="D19" s="102"/>
      <c r="E19" s="102"/>
      <c r="F19" s="103"/>
      <c r="G19" s="101" t="s">
        <v>8</v>
      </c>
      <c r="H19" s="102"/>
      <c r="I19" s="102"/>
      <c r="J19" s="102"/>
      <c r="K19" s="102"/>
      <c r="L19" s="103"/>
      <c r="M19" s="7"/>
    </row>
    <row r="20" spans="1:13" ht="90" customHeight="1" x14ac:dyDescent="0.25">
      <c r="A20" s="2"/>
      <c r="B20" s="6"/>
      <c r="C20" s="104"/>
      <c r="D20" s="105"/>
      <c r="E20" s="105"/>
      <c r="F20" s="106"/>
      <c r="G20" s="104"/>
      <c r="H20" s="105"/>
      <c r="I20" s="105"/>
      <c r="J20" s="105"/>
      <c r="K20" s="105"/>
      <c r="L20" s="106"/>
      <c r="M20" s="7"/>
    </row>
    <row r="21" spans="1:13" ht="6.95" customHeight="1" x14ac:dyDescent="0.25">
      <c r="A21" s="2"/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7"/>
    </row>
    <row r="22" spans="1:13" x14ac:dyDescent="0.25">
      <c r="A22" s="2"/>
      <c r="B22" s="6"/>
      <c r="C22" s="98" t="s">
        <v>7</v>
      </c>
      <c r="D22" s="98"/>
      <c r="E22" s="98"/>
      <c r="F22" s="98"/>
      <c r="G22" s="98"/>
      <c r="H22" s="98"/>
      <c r="I22" s="98"/>
      <c r="J22" s="98"/>
      <c r="K22" s="98"/>
      <c r="L22" s="98"/>
      <c r="M22" s="7"/>
    </row>
    <row r="23" spans="1:13" x14ac:dyDescent="0.25">
      <c r="A23" s="2"/>
      <c r="B23" s="6"/>
      <c r="C23" s="12"/>
      <c r="D23" s="96" t="s">
        <v>17</v>
      </c>
      <c r="E23" s="96"/>
      <c r="F23" s="96"/>
      <c r="G23" s="96" t="s">
        <v>20</v>
      </c>
      <c r="H23" s="96"/>
      <c r="I23" s="96"/>
      <c r="J23" s="96" t="s">
        <v>21</v>
      </c>
      <c r="K23" s="96"/>
      <c r="L23" s="96"/>
      <c r="M23" s="7"/>
    </row>
    <row r="24" spans="1:13" ht="30" customHeight="1" x14ac:dyDescent="0.25">
      <c r="A24" s="2"/>
      <c r="B24" s="6"/>
      <c r="C24" s="13" t="s">
        <v>10</v>
      </c>
      <c r="D24" s="89"/>
      <c r="E24" s="89"/>
      <c r="F24" s="89"/>
      <c r="G24" s="89"/>
      <c r="H24" s="89"/>
      <c r="I24" s="89"/>
      <c r="J24" s="89"/>
      <c r="K24" s="89"/>
      <c r="L24" s="89"/>
      <c r="M24" s="7"/>
    </row>
    <row r="25" spans="1:13" ht="30" customHeight="1" x14ac:dyDescent="0.25">
      <c r="A25" s="2"/>
      <c r="B25" s="6"/>
      <c r="C25" s="14" t="s">
        <v>18</v>
      </c>
      <c r="D25" s="89"/>
      <c r="E25" s="89"/>
      <c r="F25" s="89"/>
      <c r="G25" s="89"/>
      <c r="H25" s="89"/>
      <c r="I25" s="89"/>
      <c r="J25" s="89"/>
      <c r="K25" s="89"/>
      <c r="L25" s="89"/>
      <c r="M25" s="7"/>
    </row>
    <row r="26" spans="1:13" ht="30" customHeight="1" x14ac:dyDescent="0.25">
      <c r="A26" s="2"/>
      <c r="B26" s="6"/>
      <c r="C26" s="13" t="s">
        <v>22</v>
      </c>
      <c r="D26" s="89"/>
      <c r="E26" s="89"/>
      <c r="F26" s="89"/>
      <c r="G26" s="89"/>
      <c r="H26" s="89"/>
      <c r="I26" s="89"/>
      <c r="J26" s="89"/>
      <c r="K26" s="89"/>
      <c r="L26" s="89"/>
      <c r="M26" s="7"/>
    </row>
    <row r="27" spans="1:13" ht="30" customHeight="1" x14ac:dyDescent="0.25">
      <c r="A27" s="2"/>
      <c r="B27" s="6"/>
      <c r="C27" s="15" t="s">
        <v>24</v>
      </c>
      <c r="D27" s="90"/>
      <c r="E27" s="90"/>
      <c r="F27" s="90"/>
      <c r="G27" s="90"/>
      <c r="H27" s="90"/>
      <c r="I27" s="90"/>
      <c r="J27" s="90"/>
      <c r="K27" s="90"/>
      <c r="L27" s="90"/>
      <c r="M27" s="7"/>
    </row>
    <row r="28" spans="1:13" ht="6.95" customHeight="1" thickBot="1" x14ac:dyDescent="0.3">
      <c r="A28" s="2"/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7"/>
    </row>
    <row r="29" spans="1:13" x14ac:dyDescent="0.25">
      <c r="A29" s="2"/>
      <c r="B29" s="6"/>
      <c r="C29" s="83" t="s">
        <v>6</v>
      </c>
      <c r="D29" s="84"/>
      <c r="E29" s="84"/>
      <c r="F29" s="84"/>
      <c r="G29" s="84"/>
      <c r="H29" s="84"/>
      <c r="I29" s="84"/>
      <c r="J29" s="84"/>
      <c r="K29" s="84"/>
      <c r="L29" s="85"/>
      <c r="M29" s="7"/>
    </row>
    <row r="30" spans="1:13" ht="30" customHeight="1" x14ac:dyDescent="0.25">
      <c r="A30" s="2"/>
      <c r="B30" s="6"/>
      <c r="C30" s="86" t="s">
        <v>23</v>
      </c>
      <c r="D30" s="87"/>
      <c r="E30" s="87"/>
      <c r="F30" s="88"/>
      <c r="G30" s="88"/>
      <c r="H30" s="16" t="s">
        <v>3</v>
      </c>
      <c r="I30" s="17"/>
      <c r="J30" s="18"/>
      <c r="K30" s="18"/>
      <c r="L30" s="19"/>
      <c r="M30" s="7"/>
    </row>
    <row r="31" spans="1:13" ht="30" customHeight="1" x14ac:dyDescent="0.25">
      <c r="A31" s="2"/>
      <c r="B31" s="6"/>
      <c r="C31" s="20"/>
      <c r="D31" s="21" t="s">
        <v>25</v>
      </c>
      <c r="E31" s="75" t="s">
        <v>26</v>
      </c>
      <c r="F31" s="76"/>
      <c r="G31" s="76"/>
      <c r="H31" s="76"/>
      <c r="I31" s="76"/>
      <c r="J31" s="76"/>
      <c r="K31" s="76"/>
      <c r="L31" s="77"/>
      <c r="M31" s="7"/>
    </row>
    <row r="32" spans="1:13" ht="6.95" customHeight="1" x14ac:dyDescent="0.25">
      <c r="A32" s="2"/>
      <c r="B32" s="6"/>
      <c r="C32" s="22"/>
      <c r="D32" s="23"/>
      <c r="E32" s="24"/>
      <c r="F32" s="24"/>
      <c r="G32" s="24"/>
      <c r="H32" s="24"/>
      <c r="I32" s="24"/>
      <c r="J32" s="24"/>
      <c r="K32" s="24"/>
      <c r="L32" s="25"/>
      <c r="M32" s="7"/>
    </row>
    <row r="33" spans="1:14" ht="15" customHeight="1" x14ac:dyDescent="0.25">
      <c r="A33" s="2"/>
      <c r="B33" s="6"/>
      <c r="C33" s="80" t="s">
        <v>27</v>
      </c>
      <c r="D33" s="81"/>
      <c r="E33" s="81"/>
      <c r="F33" s="81"/>
      <c r="G33" s="81"/>
      <c r="H33" s="81"/>
      <c r="I33" s="81"/>
      <c r="J33" s="81"/>
      <c r="K33" s="81"/>
      <c r="L33" s="82"/>
      <c r="M33" s="7"/>
    </row>
    <row r="34" spans="1:14" ht="15" customHeight="1" x14ac:dyDescent="0.25">
      <c r="A34" s="2"/>
      <c r="B34" s="6"/>
      <c r="C34" s="26"/>
      <c r="D34" s="94" t="s">
        <v>28</v>
      </c>
      <c r="E34" s="94"/>
      <c r="F34" s="94" t="s">
        <v>29</v>
      </c>
      <c r="G34" s="94"/>
      <c r="H34" s="94" t="s">
        <v>32</v>
      </c>
      <c r="I34" s="94"/>
      <c r="J34" s="95" t="s">
        <v>30</v>
      </c>
      <c r="K34" s="95"/>
      <c r="L34" s="27"/>
      <c r="M34" s="7"/>
    </row>
    <row r="35" spans="1:14" ht="27" x14ac:dyDescent="0.25">
      <c r="A35" s="2"/>
      <c r="B35" s="6"/>
      <c r="C35" s="28"/>
      <c r="D35" s="70"/>
      <c r="E35" s="70"/>
      <c r="F35" s="70"/>
      <c r="G35" s="70"/>
      <c r="H35" s="70"/>
      <c r="I35" s="70"/>
      <c r="J35" s="70"/>
      <c r="K35" s="70"/>
      <c r="L35" s="7"/>
      <c r="M35" s="7"/>
    </row>
    <row r="36" spans="1:14" ht="60" customHeight="1" x14ac:dyDescent="0.25">
      <c r="A36" s="2"/>
      <c r="B36" s="6"/>
      <c r="C36" s="29" t="s">
        <v>26</v>
      </c>
      <c r="D36" s="93"/>
      <c r="E36" s="93"/>
      <c r="F36" s="93"/>
      <c r="G36" s="93"/>
      <c r="H36" s="93"/>
      <c r="I36" s="93"/>
      <c r="J36" s="93"/>
      <c r="K36" s="93"/>
      <c r="L36" s="7"/>
      <c r="M36" s="7"/>
    </row>
    <row r="37" spans="1:14" ht="30" customHeight="1" x14ac:dyDescent="0.25">
      <c r="A37" s="2"/>
      <c r="B37" s="6"/>
      <c r="C37" s="30" t="s">
        <v>36</v>
      </c>
      <c r="D37" s="90"/>
      <c r="E37" s="90"/>
      <c r="F37" s="90"/>
      <c r="G37" s="90"/>
      <c r="H37" s="90"/>
      <c r="I37" s="90"/>
      <c r="J37" s="90"/>
      <c r="K37" s="90"/>
      <c r="L37" s="7"/>
      <c r="M37" s="7"/>
    </row>
    <row r="38" spans="1:14" ht="6.95" customHeight="1" x14ac:dyDescent="0.25">
      <c r="A38" s="2"/>
      <c r="B38" s="6"/>
      <c r="C38" s="6"/>
      <c r="D38" s="2"/>
      <c r="E38" s="2"/>
      <c r="F38" s="2"/>
      <c r="G38" s="2"/>
      <c r="H38" s="2"/>
      <c r="I38" s="2"/>
      <c r="J38" s="2"/>
      <c r="K38" s="2"/>
      <c r="L38" s="7"/>
      <c r="M38" s="7"/>
    </row>
    <row r="39" spans="1:14" x14ac:dyDescent="0.25">
      <c r="A39" s="2"/>
      <c r="B39" s="6"/>
      <c r="C39" s="72" t="s">
        <v>31</v>
      </c>
      <c r="D39" s="73"/>
      <c r="E39" s="73"/>
      <c r="F39" s="73"/>
      <c r="G39" s="73"/>
      <c r="H39" s="73"/>
      <c r="I39" s="73"/>
      <c r="J39" s="73"/>
      <c r="K39" s="73"/>
      <c r="L39" s="74"/>
      <c r="M39" s="7"/>
    </row>
    <row r="40" spans="1:14" s="32" customFormat="1" ht="60" customHeight="1" x14ac:dyDescent="0.25">
      <c r="A40" s="24"/>
      <c r="B40" s="31"/>
      <c r="C40" s="68" t="s">
        <v>26</v>
      </c>
      <c r="D40" s="69"/>
      <c r="E40" s="69"/>
      <c r="F40" s="69"/>
      <c r="G40" s="69"/>
      <c r="H40" s="69"/>
      <c r="I40" s="75" t="s">
        <v>8</v>
      </c>
      <c r="J40" s="76"/>
      <c r="K40" s="76"/>
      <c r="L40" s="77"/>
      <c r="M40" s="25"/>
    </row>
    <row r="41" spans="1:14" ht="6.95" customHeight="1" thickBot="1" x14ac:dyDescent="0.3">
      <c r="A41" s="2"/>
      <c r="B41" s="6"/>
      <c r="C41" s="6"/>
      <c r="D41" s="2"/>
      <c r="E41" s="2"/>
      <c r="F41" s="2"/>
      <c r="G41" s="2"/>
      <c r="H41" s="2"/>
      <c r="I41" s="2"/>
      <c r="J41" s="2"/>
      <c r="K41" s="55"/>
      <c r="L41" s="56"/>
      <c r="M41" s="7"/>
    </row>
    <row r="42" spans="1:14" s="36" customFormat="1" ht="30" customHeight="1" x14ac:dyDescent="0.25">
      <c r="A42" s="33"/>
      <c r="B42" s="34"/>
      <c r="C42" s="57" t="s">
        <v>33</v>
      </c>
      <c r="D42" s="69" t="s">
        <v>34</v>
      </c>
      <c r="E42" s="69"/>
      <c r="F42" s="69"/>
      <c r="G42" s="69" t="s">
        <v>35</v>
      </c>
      <c r="H42" s="69"/>
      <c r="I42" s="69"/>
      <c r="J42" s="58"/>
      <c r="K42" s="33"/>
      <c r="L42" s="33"/>
      <c r="M42" s="35"/>
    </row>
    <row r="43" spans="1:14" ht="6.95" customHeight="1" x14ac:dyDescent="0.25">
      <c r="A43" s="2"/>
      <c r="B43" s="64"/>
      <c r="C43" s="2"/>
      <c r="D43" s="2"/>
      <c r="E43" s="2"/>
      <c r="F43" s="2"/>
      <c r="G43" s="2"/>
      <c r="H43" s="2"/>
      <c r="I43" s="2"/>
      <c r="J43" s="7"/>
      <c r="K43" s="2"/>
      <c r="L43" s="2"/>
      <c r="M43" s="7"/>
    </row>
    <row r="44" spans="1:14" ht="30" customHeight="1" x14ac:dyDescent="0.25">
      <c r="A44" s="2"/>
      <c r="B44" s="64"/>
      <c r="C44" s="78" t="s">
        <v>40</v>
      </c>
      <c r="D44" s="79"/>
      <c r="E44" s="79"/>
      <c r="F44" s="59"/>
      <c r="G44" s="60"/>
      <c r="H44" s="2"/>
      <c r="I44" s="2"/>
      <c r="J44" s="7"/>
      <c r="K44" s="2"/>
      <c r="L44" s="2"/>
      <c r="M44" s="7"/>
    </row>
    <row r="45" spans="1:14" s="39" customFormat="1" ht="30" customHeight="1" x14ac:dyDescent="0.25">
      <c r="A45" s="37"/>
      <c r="B45" s="65"/>
      <c r="C45" s="78" t="s">
        <v>154</v>
      </c>
      <c r="D45" s="79"/>
      <c r="E45" s="79"/>
      <c r="F45" s="54">
        <v>5</v>
      </c>
      <c r="G45" s="69" t="s">
        <v>155</v>
      </c>
      <c r="H45" s="69"/>
      <c r="I45" s="69"/>
      <c r="J45" s="61"/>
      <c r="K45" s="37"/>
      <c r="L45" s="37"/>
      <c r="M45" s="38"/>
    </row>
    <row r="46" spans="1:14" ht="30" customHeight="1" thickBot="1" x14ac:dyDescent="0.3">
      <c r="A46" s="2"/>
      <c r="B46" s="64"/>
      <c r="C46" s="66" t="s">
        <v>37</v>
      </c>
      <c r="D46" s="67"/>
      <c r="E46" s="67"/>
      <c r="F46" s="62"/>
      <c r="G46" s="71" t="s">
        <v>38</v>
      </c>
      <c r="H46" s="71"/>
      <c r="I46" s="71"/>
      <c r="J46" s="63"/>
      <c r="K46" s="2"/>
      <c r="L46" s="40" t="s">
        <v>160</v>
      </c>
      <c r="M46" s="7"/>
    </row>
    <row r="47" spans="1:14" ht="15.75" thickBot="1" x14ac:dyDescent="0.3">
      <c r="A47" s="2"/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3"/>
      <c r="N47" s="2"/>
    </row>
    <row r="51" spans="17:24" x14ac:dyDescent="0.25">
      <c r="Q51" s="44"/>
      <c r="R51" s="45">
        <v>1</v>
      </c>
      <c r="S51" s="45">
        <v>2</v>
      </c>
      <c r="T51" s="45">
        <v>3</v>
      </c>
      <c r="U51" s="45">
        <v>4</v>
      </c>
      <c r="V51" s="45">
        <v>5</v>
      </c>
      <c r="W51" s="45">
        <v>6</v>
      </c>
      <c r="X51" s="45">
        <v>7</v>
      </c>
    </row>
    <row r="52" spans="17:24" x14ac:dyDescent="0.25">
      <c r="Q52" s="46" t="s">
        <v>39</v>
      </c>
      <c r="R52" s="47" t="s">
        <v>85</v>
      </c>
      <c r="S52" s="47" t="s">
        <v>82</v>
      </c>
      <c r="T52" s="47" t="s">
        <v>81</v>
      </c>
      <c r="U52" s="47" t="s">
        <v>80</v>
      </c>
      <c r="V52" s="47" t="s">
        <v>86</v>
      </c>
      <c r="W52" s="47" t="s">
        <v>84</v>
      </c>
      <c r="X52" s="47" t="s">
        <v>83</v>
      </c>
    </row>
    <row r="53" spans="17:24" x14ac:dyDescent="0.25">
      <c r="Q53" s="48" t="s">
        <v>4</v>
      </c>
      <c r="R53" s="49">
        <v>17527</v>
      </c>
      <c r="S53" s="49" t="s">
        <v>106</v>
      </c>
      <c r="T53" s="49" t="s">
        <v>43</v>
      </c>
      <c r="U53" s="49" t="s">
        <v>44</v>
      </c>
      <c r="V53" s="49" t="s">
        <v>87</v>
      </c>
      <c r="W53" s="49" t="s">
        <v>45</v>
      </c>
      <c r="X53" s="49" t="s">
        <v>46</v>
      </c>
    </row>
    <row r="54" spans="17:24" x14ac:dyDescent="0.25">
      <c r="Q54" s="50" t="s">
        <v>5</v>
      </c>
      <c r="R54" s="49">
        <v>17281</v>
      </c>
      <c r="S54" s="49" t="s">
        <v>107</v>
      </c>
      <c r="T54" s="49" t="s">
        <v>50</v>
      </c>
      <c r="U54" s="49" t="s">
        <v>51</v>
      </c>
      <c r="V54" s="49" t="s">
        <v>87</v>
      </c>
      <c r="W54" s="49" t="s">
        <v>47</v>
      </c>
      <c r="X54" s="49" t="s">
        <v>48</v>
      </c>
    </row>
    <row r="55" spans="17:24" x14ac:dyDescent="0.25">
      <c r="Q55" s="44"/>
      <c r="R55" s="49">
        <v>17120</v>
      </c>
      <c r="S55" s="49" t="s">
        <v>108</v>
      </c>
      <c r="T55" s="49" t="s">
        <v>49</v>
      </c>
      <c r="U55" s="49" t="s">
        <v>90</v>
      </c>
      <c r="V55" s="49" t="s">
        <v>88</v>
      </c>
      <c r="W55" s="49" t="s">
        <v>47</v>
      </c>
      <c r="X55" s="49" t="s">
        <v>48</v>
      </c>
    </row>
    <row r="56" spans="17:24" x14ac:dyDescent="0.25">
      <c r="Q56" s="44"/>
      <c r="R56" s="49">
        <v>18809</v>
      </c>
      <c r="S56" s="49" t="s">
        <v>109</v>
      </c>
      <c r="T56" s="49" t="s">
        <v>110</v>
      </c>
      <c r="U56" s="49" t="s">
        <v>144</v>
      </c>
      <c r="V56" s="49" t="s">
        <v>87</v>
      </c>
      <c r="W56" s="49" t="s">
        <v>57</v>
      </c>
      <c r="X56" s="49" t="s">
        <v>60</v>
      </c>
    </row>
    <row r="57" spans="17:24" x14ac:dyDescent="0.25">
      <c r="Q57" s="44"/>
      <c r="R57" s="49">
        <v>17474</v>
      </c>
      <c r="S57" s="49" t="s">
        <v>111</v>
      </c>
      <c r="T57" s="49" t="s">
        <v>50</v>
      </c>
      <c r="U57" s="49" t="s">
        <v>51</v>
      </c>
      <c r="V57" s="49" t="s">
        <v>87</v>
      </c>
      <c r="W57" s="49" t="s">
        <v>45</v>
      </c>
      <c r="X57" s="49" t="s">
        <v>52</v>
      </c>
    </row>
    <row r="58" spans="17:24" x14ac:dyDescent="0.25">
      <c r="Q58" s="44"/>
      <c r="R58" s="49">
        <v>16908</v>
      </c>
      <c r="S58" s="49" t="s">
        <v>112</v>
      </c>
      <c r="T58" s="49" t="s">
        <v>50</v>
      </c>
      <c r="U58" s="49" t="s">
        <v>51</v>
      </c>
      <c r="V58" s="49" t="s">
        <v>87</v>
      </c>
      <c r="W58" s="49" t="s">
        <v>53</v>
      </c>
      <c r="X58" s="49" t="s">
        <v>54</v>
      </c>
    </row>
    <row r="59" spans="17:24" x14ac:dyDescent="0.25">
      <c r="Q59" s="44"/>
      <c r="R59" s="49">
        <v>17181</v>
      </c>
      <c r="S59" s="49" t="s">
        <v>113</v>
      </c>
      <c r="T59" s="49" t="s">
        <v>55</v>
      </c>
      <c r="U59" s="49" t="s">
        <v>91</v>
      </c>
      <c r="V59" s="49" t="s">
        <v>89</v>
      </c>
      <c r="W59" s="49" t="s">
        <v>47</v>
      </c>
      <c r="X59" s="49" t="s">
        <v>48</v>
      </c>
    </row>
    <row r="60" spans="17:24" x14ac:dyDescent="0.25">
      <c r="Q60" s="44"/>
      <c r="R60" s="49">
        <v>18798</v>
      </c>
      <c r="S60" s="49" t="s">
        <v>114</v>
      </c>
      <c r="T60" s="49" t="s">
        <v>50</v>
      </c>
      <c r="U60" s="49" t="s">
        <v>51</v>
      </c>
      <c r="V60" s="49" t="s">
        <v>87</v>
      </c>
      <c r="W60" s="49" t="s">
        <v>57</v>
      </c>
      <c r="X60" s="49" t="s">
        <v>60</v>
      </c>
    </row>
    <row r="61" spans="17:24" x14ac:dyDescent="0.25">
      <c r="Q61" s="44"/>
      <c r="R61" s="49">
        <v>18867</v>
      </c>
      <c r="S61" s="49" t="s">
        <v>115</v>
      </c>
      <c r="T61" s="49" t="s">
        <v>150</v>
      </c>
      <c r="U61" s="49" t="s">
        <v>151</v>
      </c>
      <c r="V61" s="49" t="s">
        <v>88</v>
      </c>
      <c r="W61" s="49" t="s">
        <v>57</v>
      </c>
      <c r="X61" s="49" t="s">
        <v>60</v>
      </c>
    </row>
    <row r="62" spans="17:24" x14ac:dyDescent="0.25">
      <c r="Q62" s="44"/>
      <c r="R62" s="49">
        <v>17188</v>
      </c>
      <c r="S62" s="49" t="s">
        <v>116</v>
      </c>
      <c r="T62" s="49" t="s">
        <v>152</v>
      </c>
      <c r="U62" s="49" t="s">
        <v>153</v>
      </c>
      <c r="V62" s="49" t="s">
        <v>88</v>
      </c>
      <c r="W62" s="49" t="s">
        <v>47</v>
      </c>
      <c r="X62" s="49" t="s">
        <v>48</v>
      </c>
    </row>
    <row r="63" spans="17:24" x14ac:dyDescent="0.25">
      <c r="Q63" s="44"/>
      <c r="R63" s="49">
        <v>15500</v>
      </c>
      <c r="S63" s="49" t="s">
        <v>117</v>
      </c>
      <c r="T63" s="49" t="s">
        <v>118</v>
      </c>
      <c r="U63" s="49" t="s">
        <v>58</v>
      </c>
      <c r="V63" s="49" t="s">
        <v>156</v>
      </c>
      <c r="W63" s="49" t="s">
        <v>57</v>
      </c>
      <c r="X63" s="49" t="s">
        <v>59</v>
      </c>
    </row>
    <row r="64" spans="17:24" x14ac:dyDescent="0.25">
      <c r="Q64" s="44"/>
      <c r="R64" s="49">
        <v>18824</v>
      </c>
      <c r="S64" s="49" t="s">
        <v>119</v>
      </c>
      <c r="T64" s="49" t="s">
        <v>61</v>
      </c>
      <c r="U64" s="49" t="s">
        <v>62</v>
      </c>
      <c r="V64" s="49" t="s">
        <v>93</v>
      </c>
      <c r="W64" s="49" t="s">
        <v>57</v>
      </c>
      <c r="X64" s="49" t="s">
        <v>60</v>
      </c>
    </row>
    <row r="65" spans="17:24" x14ac:dyDescent="0.25">
      <c r="Q65" s="44"/>
      <c r="R65" s="49">
        <v>19109</v>
      </c>
      <c r="S65" s="49" t="s">
        <v>128</v>
      </c>
      <c r="T65" s="49" t="s">
        <v>118</v>
      </c>
      <c r="U65" s="49" t="s">
        <v>58</v>
      </c>
      <c r="V65" s="49" t="s">
        <v>156</v>
      </c>
      <c r="W65" s="49" t="s">
        <v>53</v>
      </c>
      <c r="X65" s="49" t="s">
        <v>148</v>
      </c>
    </row>
    <row r="66" spans="17:24" x14ac:dyDescent="0.25">
      <c r="Q66" s="44"/>
      <c r="R66" s="49">
        <v>17284</v>
      </c>
      <c r="S66" s="49" t="s">
        <v>121</v>
      </c>
      <c r="T66" s="49" t="s">
        <v>61</v>
      </c>
      <c r="U66" s="49" t="s">
        <v>62</v>
      </c>
      <c r="V66" s="49" t="s">
        <v>93</v>
      </c>
      <c r="W66" s="49" t="s">
        <v>47</v>
      </c>
      <c r="X66" s="49" t="s">
        <v>48</v>
      </c>
    </row>
    <row r="67" spans="17:24" x14ac:dyDescent="0.25">
      <c r="Q67" s="44"/>
      <c r="R67" s="49">
        <v>17285</v>
      </c>
      <c r="S67" s="49" t="s">
        <v>122</v>
      </c>
      <c r="T67" s="49" t="s">
        <v>158</v>
      </c>
      <c r="U67" s="49" t="s">
        <v>159</v>
      </c>
      <c r="V67" s="49" t="s">
        <v>92</v>
      </c>
      <c r="W67" s="49" t="s">
        <v>47</v>
      </c>
      <c r="X67" s="49" t="s">
        <v>48</v>
      </c>
    </row>
    <row r="68" spans="17:24" x14ac:dyDescent="0.25">
      <c r="Q68" s="44"/>
      <c r="R68" s="49">
        <v>13772</v>
      </c>
      <c r="S68" s="49" t="s">
        <v>123</v>
      </c>
      <c r="T68" s="49" t="s">
        <v>124</v>
      </c>
      <c r="U68" s="49" t="s">
        <v>63</v>
      </c>
      <c r="V68" s="49" t="s">
        <v>94</v>
      </c>
      <c r="W68" s="49" t="s">
        <v>64</v>
      </c>
      <c r="X68" s="49" t="s">
        <v>65</v>
      </c>
    </row>
    <row r="69" spans="17:24" x14ac:dyDescent="0.25">
      <c r="Q69" s="44"/>
      <c r="R69" s="49">
        <v>17182</v>
      </c>
      <c r="S69" s="49" t="s">
        <v>125</v>
      </c>
      <c r="T69" s="49" t="s">
        <v>66</v>
      </c>
      <c r="U69" s="49" t="s">
        <v>67</v>
      </c>
      <c r="V69" s="49" t="s">
        <v>95</v>
      </c>
      <c r="W69" s="49" t="s">
        <v>47</v>
      </c>
      <c r="X69" s="49" t="s">
        <v>48</v>
      </c>
    </row>
    <row r="70" spans="17:24" x14ac:dyDescent="0.25">
      <c r="Q70" s="44"/>
      <c r="R70" s="49">
        <v>17183</v>
      </c>
      <c r="S70" s="49" t="s">
        <v>126</v>
      </c>
      <c r="T70" s="49" t="s">
        <v>127</v>
      </c>
      <c r="U70" s="49" t="s">
        <v>68</v>
      </c>
      <c r="V70" s="49" t="s">
        <v>96</v>
      </c>
      <c r="W70" s="49" t="s">
        <v>47</v>
      </c>
      <c r="X70" s="49" t="s">
        <v>48</v>
      </c>
    </row>
    <row r="71" spans="17:24" x14ac:dyDescent="0.25">
      <c r="Q71" s="44"/>
      <c r="R71" s="49">
        <v>19082</v>
      </c>
      <c r="S71" s="49" t="s">
        <v>120</v>
      </c>
      <c r="T71" s="49" t="s">
        <v>127</v>
      </c>
      <c r="U71" s="49" t="s">
        <v>68</v>
      </c>
      <c r="V71" s="49" t="s">
        <v>96</v>
      </c>
      <c r="W71" s="49" t="s">
        <v>53</v>
      </c>
      <c r="X71" s="49" t="s">
        <v>148</v>
      </c>
    </row>
    <row r="72" spans="17:24" x14ac:dyDescent="0.25">
      <c r="Q72" s="44"/>
      <c r="R72" s="49">
        <v>16909</v>
      </c>
      <c r="S72" s="49" t="s">
        <v>129</v>
      </c>
      <c r="T72" s="49" t="s">
        <v>124</v>
      </c>
      <c r="U72" s="49" t="s">
        <v>63</v>
      </c>
      <c r="V72" s="49" t="s">
        <v>94</v>
      </c>
      <c r="W72" s="49" t="s">
        <v>53</v>
      </c>
      <c r="X72" s="49" t="s">
        <v>54</v>
      </c>
    </row>
    <row r="73" spans="17:24" x14ac:dyDescent="0.25">
      <c r="Q73" s="44"/>
      <c r="R73" s="49">
        <v>17185</v>
      </c>
      <c r="S73" s="49" t="s">
        <v>131</v>
      </c>
      <c r="T73" s="49" t="s">
        <v>132</v>
      </c>
      <c r="U73" s="49" t="s">
        <v>69</v>
      </c>
      <c r="V73" s="49" t="s">
        <v>98</v>
      </c>
      <c r="W73" s="49" t="s">
        <v>47</v>
      </c>
      <c r="X73" s="49" t="s">
        <v>48</v>
      </c>
    </row>
    <row r="74" spans="17:24" x14ac:dyDescent="0.25">
      <c r="Q74" s="44"/>
      <c r="R74" s="49">
        <v>17186</v>
      </c>
      <c r="S74" s="49" t="s">
        <v>133</v>
      </c>
      <c r="T74" s="49" t="s">
        <v>134</v>
      </c>
      <c r="U74" s="49" t="s">
        <v>99</v>
      </c>
      <c r="V74" s="49" t="s">
        <v>70</v>
      </c>
      <c r="W74" s="49" t="s">
        <v>47</v>
      </c>
      <c r="X74" s="49" t="s">
        <v>48</v>
      </c>
    </row>
    <row r="75" spans="17:24" x14ac:dyDescent="0.25">
      <c r="Q75" s="44"/>
      <c r="R75" s="49">
        <v>17282</v>
      </c>
      <c r="S75" s="49" t="s">
        <v>135</v>
      </c>
      <c r="T75" s="49" t="s">
        <v>130</v>
      </c>
      <c r="U75" s="49" t="s">
        <v>145</v>
      </c>
      <c r="V75" s="49" t="s">
        <v>97</v>
      </c>
      <c r="W75" s="49" t="s">
        <v>47</v>
      </c>
      <c r="X75" s="49" t="s">
        <v>48</v>
      </c>
    </row>
    <row r="76" spans="17:24" x14ac:dyDescent="0.25">
      <c r="Q76" s="44"/>
      <c r="R76" s="49">
        <v>4978</v>
      </c>
      <c r="S76" s="49" t="s">
        <v>136</v>
      </c>
      <c r="T76" s="49" t="s">
        <v>127</v>
      </c>
      <c r="U76" s="49" t="s">
        <v>68</v>
      </c>
      <c r="V76" s="49" t="s">
        <v>96</v>
      </c>
      <c r="W76" s="49" t="s">
        <v>57</v>
      </c>
      <c r="X76" s="49" t="s">
        <v>71</v>
      </c>
    </row>
    <row r="77" spans="17:24" x14ac:dyDescent="0.25">
      <c r="Q77" s="44"/>
      <c r="R77" s="49">
        <v>5157</v>
      </c>
      <c r="S77" s="49" t="s">
        <v>137</v>
      </c>
      <c r="T77" s="49" t="s">
        <v>132</v>
      </c>
      <c r="U77" s="49" t="s">
        <v>69</v>
      </c>
      <c r="V77" s="49" t="s">
        <v>98</v>
      </c>
      <c r="W77" s="49" t="s">
        <v>57</v>
      </c>
      <c r="X77" s="49" t="s">
        <v>72</v>
      </c>
    </row>
    <row r="78" spans="17:24" x14ac:dyDescent="0.25">
      <c r="Q78" s="44"/>
      <c r="R78" s="49">
        <v>14223</v>
      </c>
      <c r="S78" s="49" t="s">
        <v>138</v>
      </c>
      <c r="T78" s="49" t="s">
        <v>132</v>
      </c>
      <c r="U78" s="49" t="s">
        <v>69</v>
      </c>
      <c r="V78" s="49" t="s">
        <v>98</v>
      </c>
      <c r="W78" s="49" t="s">
        <v>56</v>
      </c>
      <c r="X78" s="49" t="s">
        <v>73</v>
      </c>
    </row>
    <row r="79" spans="17:24" x14ac:dyDescent="0.25">
      <c r="Q79" s="44"/>
      <c r="R79" s="49">
        <v>14224</v>
      </c>
      <c r="S79" s="49" t="s">
        <v>74</v>
      </c>
      <c r="T79" s="49" t="s">
        <v>132</v>
      </c>
      <c r="U79" s="49" t="s">
        <v>69</v>
      </c>
      <c r="V79" s="49" t="s">
        <v>98</v>
      </c>
      <c r="W79" s="49" t="s">
        <v>75</v>
      </c>
      <c r="X79" s="49" t="s">
        <v>76</v>
      </c>
    </row>
    <row r="80" spans="17:24" x14ac:dyDescent="0.25">
      <c r="Q80" s="44"/>
      <c r="R80" s="49">
        <v>12854</v>
      </c>
      <c r="S80" s="49" t="s">
        <v>139</v>
      </c>
      <c r="T80" s="49" t="s">
        <v>132</v>
      </c>
      <c r="U80" s="49" t="s">
        <v>69</v>
      </c>
      <c r="V80" s="49" t="s">
        <v>98</v>
      </c>
      <c r="W80" s="49" t="s">
        <v>64</v>
      </c>
      <c r="X80" s="49" t="s">
        <v>77</v>
      </c>
    </row>
    <row r="81" spans="17:24" x14ac:dyDescent="0.25">
      <c r="Q81" s="44"/>
      <c r="R81" s="49">
        <v>17187</v>
      </c>
      <c r="S81" s="49" t="s">
        <v>140</v>
      </c>
      <c r="T81" s="49" t="s">
        <v>78</v>
      </c>
      <c r="U81" s="49" t="s">
        <v>103</v>
      </c>
      <c r="V81" s="49" t="s">
        <v>100</v>
      </c>
      <c r="W81" s="49" t="s">
        <v>47</v>
      </c>
      <c r="X81" s="49" t="s">
        <v>48</v>
      </c>
    </row>
    <row r="82" spans="17:24" x14ac:dyDescent="0.25">
      <c r="Q82" s="44"/>
      <c r="R82" s="49">
        <v>16616</v>
      </c>
      <c r="S82" s="49" t="s">
        <v>141</v>
      </c>
      <c r="T82" s="49" t="s">
        <v>78</v>
      </c>
      <c r="U82" s="49" t="s">
        <v>103</v>
      </c>
      <c r="V82" s="49" t="s">
        <v>100</v>
      </c>
      <c r="W82" s="49" t="s">
        <v>53</v>
      </c>
      <c r="X82" s="49" t="s">
        <v>54</v>
      </c>
    </row>
    <row r="83" spans="17:24" x14ac:dyDescent="0.25">
      <c r="Q83" s="44"/>
      <c r="R83" s="49">
        <v>17283</v>
      </c>
      <c r="S83" s="49" t="s">
        <v>142</v>
      </c>
      <c r="T83" s="49" t="s">
        <v>79</v>
      </c>
      <c r="U83" s="49" t="s">
        <v>146</v>
      </c>
      <c r="V83" s="49" t="s">
        <v>101</v>
      </c>
      <c r="W83" s="49" t="s">
        <v>47</v>
      </c>
      <c r="X83" s="49" t="s">
        <v>48</v>
      </c>
    </row>
    <row r="84" spans="17:24" x14ac:dyDescent="0.25">
      <c r="Q84" s="44"/>
      <c r="R84" s="49">
        <v>17184</v>
      </c>
      <c r="S84" s="49" t="s">
        <v>143</v>
      </c>
      <c r="T84" s="49" t="s">
        <v>157</v>
      </c>
      <c r="U84" s="49" t="s">
        <v>147</v>
      </c>
      <c r="V84" s="49" t="s">
        <v>102</v>
      </c>
      <c r="W84" s="49" t="s">
        <v>47</v>
      </c>
      <c r="X84" s="49" t="s">
        <v>48</v>
      </c>
    </row>
  </sheetData>
  <sheetProtection selectLockedCells="1"/>
  <mergeCells count="76">
    <mergeCell ref="B2:M2"/>
    <mergeCell ref="C12:H12"/>
    <mergeCell ref="H13:H15"/>
    <mergeCell ref="I12:L12"/>
    <mergeCell ref="L13:L15"/>
    <mergeCell ref="J14:K15"/>
    <mergeCell ref="I14:I15"/>
    <mergeCell ref="J13:K13"/>
    <mergeCell ref="C10:D10"/>
    <mergeCell ref="E10:F10"/>
    <mergeCell ref="G10:H10"/>
    <mergeCell ref="I10:J10"/>
    <mergeCell ref="K10:L10"/>
    <mergeCell ref="C9:D9"/>
    <mergeCell ref="E9:F9"/>
    <mergeCell ref="G9:H9"/>
    <mergeCell ref="I9:J9"/>
    <mergeCell ref="K9:L9"/>
    <mergeCell ref="C22:L22"/>
    <mergeCell ref="D13:G13"/>
    <mergeCell ref="D14:G14"/>
    <mergeCell ref="D15:G15"/>
    <mergeCell ref="C17:L17"/>
    <mergeCell ref="C19:F19"/>
    <mergeCell ref="C20:F20"/>
    <mergeCell ref="G19:L19"/>
    <mergeCell ref="G20:L20"/>
    <mergeCell ref="G23:I23"/>
    <mergeCell ref="J23:L23"/>
    <mergeCell ref="D23:F23"/>
    <mergeCell ref="D24:F24"/>
    <mergeCell ref="D25:F25"/>
    <mergeCell ref="G24:I24"/>
    <mergeCell ref="G25:I25"/>
    <mergeCell ref="D6:E6"/>
    <mergeCell ref="K5:L6"/>
    <mergeCell ref="D37:E37"/>
    <mergeCell ref="F37:G37"/>
    <mergeCell ref="H37:I37"/>
    <mergeCell ref="J37:K37"/>
    <mergeCell ref="D36:E36"/>
    <mergeCell ref="F36:G36"/>
    <mergeCell ref="H36:I36"/>
    <mergeCell ref="J36:K36"/>
    <mergeCell ref="E31:L31"/>
    <mergeCell ref="F34:G34"/>
    <mergeCell ref="D34:E34"/>
    <mergeCell ref="H34:I34"/>
    <mergeCell ref="J34:K34"/>
    <mergeCell ref="D35:E35"/>
    <mergeCell ref="C8:L8"/>
    <mergeCell ref="C44:E44"/>
    <mergeCell ref="C45:E45"/>
    <mergeCell ref="J35:K35"/>
    <mergeCell ref="C33:L33"/>
    <mergeCell ref="C29:L29"/>
    <mergeCell ref="C30:E30"/>
    <mergeCell ref="F30:G30"/>
    <mergeCell ref="J24:L24"/>
    <mergeCell ref="J25:L25"/>
    <mergeCell ref="J26:L26"/>
    <mergeCell ref="J27:L27"/>
    <mergeCell ref="D26:F26"/>
    <mergeCell ref="D27:F27"/>
    <mergeCell ref="G26:I26"/>
    <mergeCell ref="G27:I27"/>
    <mergeCell ref="C46:E46"/>
    <mergeCell ref="C40:H40"/>
    <mergeCell ref="D42:F42"/>
    <mergeCell ref="G42:I42"/>
    <mergeCell ref="F35:G35"/>
    <mergeCell ref="H35:I35"/>
    <mergeCell ref="G45:I45"/>
    <mergeCell ref="G46:I46"/>
    <mergeCell ref="C39:L39"/>
    <mergeCell ref="I40:L40"/>
  </mergeCells>
  <conditionalFormatting sqref="D6:E6">
    <cfRule type="expression" dxfId="5" priority="9">
      <formula>$D$6=""</formula>
    </cfRule>
  </conditionalFormatting>
  <conditionalFormatting sqref="C10:D10 G10:H10">
    <cfRule type="expression" dxfId="4" priority="8">
      <formula>C10=""</formula>
    </cfRule>
  </conditionalFormatting>
  <conditionalFormatting sqref="C20 G20">
    <cfRule type="expression" dxfId="3" priority="5">
      <formula>C20=""</formula>
    </cfRule>
  </conditionalFormatting>
  <conditionalFormatting sqref="D24:L26">
    <cfRule type="expression" dxfId="2" priority="3">
      <formula>D24=""</formula>
    </cfRule>
  </conditionalFormatting>
  <conditionalFormatting sqref="D18">
    <cfRule type="expression" dxfId="1" priority="2">
      <formula>$D$18=""</formula>
    </cfRule>
  </conditionalFormatting>
  <conditionalFormatting sqref="J13:K15">
    <cfRule type="expression" dxfId="0" priority="1">
      <formula>$J13=""</formula>
    </cfRule>
  </conditionalFormatting>
  <dataValidations count="3">
    <dataValidation type="list" allowBlank="1" showInputMessage="1" showErrorMessage="1" sqref="D18">
      <formula1>TipoServ</formula1>
    </dataValidation>
    <dataValidation type="date" operator="greaterThan" showErrorMessage="1" errorTitle="Fecha no admitida" error="La fecha debe ser del año 2016" sqref="D6:E6">
      <formula1>42370</formula1>
    </dataValidation>
    <dataValidation type="list" showInputMessage="1" showErrorMessage="1" errorTitle="No. de control incorrecto" error="El número de control no corresponde al padrón vehícular de la SECTUR (debe ser de 4 ó 5 dígitos)" sqref="C10:D10">
      <formula1>NoCtrl</formula1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scale="8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9</vt:i4>
      </vt:variant>
    </vt:vector>
  </HeadingPairs>
  <TitlesOfParts>
    <vt:vector size="10" baseType="lpstr">
      <vt:lpstr>F-2SMV</vt:lpstr>
      <vt:lpstr>'F-2SMV'!Área_de_impresión</vt:lpstr>
      <vt:lpstr>DatosVh</vt:lpstr>
      <vt:lpstr>MrkVh</vt:lpstr>
      <vt:lpstr>NoCtrl</vt:lpstr>
      <vt:lpstr>Plk</vt:lpstr>
      <vt:lpstr>TipoServ</vt:lpstr>
      <vt:lpstr>TipoVh</vt:lpstr>
      <vt:lpstr>UsCarg</vt:lpstr>
      <vt:lpstr>UsNom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Sánchez</dc:creator>
  <cp:lastModifiedBy>Aldo Sánchez</cp:lastModifiedBy>
  <cp:lastPrinted>2016-05-24T17:00:48Z</cp:lastPrinted>
  <dcterms:created xsi:type="dcterms:W3CDTF">2016-02-23T18:23:32Z</dcterms:created>
  <dcterms:modified xsi:type="dcterms:W3CDTF">2017-01-17T20:44:24Z</dcterms:modified>
</cp:coreProperties>
</file>