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bookViews>
    <workbookView xWindow="0" yWindow="0" windowWidth="28800" windowHeight="11730"/>
  </bookViews>
  <sheets>
    <sheet name="GO" sheetId="20" r:id="rId1"/>
    <sheet name="ENCABEZADO" sheetId="26" r:id="rId2"/>
    <sheet name="DESGLOSE 3750 -3760" sheetId="27" r:id="rId3"/>
    <sheet name="Hoja1" sheetId="24" state="hidden" r:id="rId4"/>
    <sheet name="PROYECTO" sheetId="22" state="hidden" r:id="rId5"/>
    <sheet name="Hoja3" sheetId="23" state="hidden" r:id="rId6"/>
  </sheets>
  <functionGroups builtInGroupCount="18"/>
  <definedNames>
    <definedName name="_xlnm._FilterDatabase" localSheetId="0" hidden="1">GO!$A$61:$G$62</definedName>
    <definedName name="_xlnm._FilterDatabase" localSheetId="3" hidden="1">Hoja1!$F$1:$G$30</definedName>
    <definedName name="_xlnm._FilterDatabase" localSheetId="4" hidden="1">PROYECTO!$A$1:$A$34</definedName>
    <definedName name="DIRECTOR">Hoja1!$F$1:$G$30</definedName>
    <definedName name="PARTIDA">Hoja3!$1:$1048576</definedName>
    <definedName name="PROYECT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27" l="1"/>
  <c r="B21" i="27"/>
  <c r="E11" i="26" l="1"/>
  <c r="D9" i="20" l="1"/>
  <c r="D53" i="20" l="1"/>
  <c r="F53" i="20"/>
  <c r="H9" i="20" l="1"/>
  <c r="B201" i="23"/>
  <c r="B238" i="23"/>
  <c r="B11" i="23"/>
  <c r="C98" i="23"/>
  <c r="C8" i="23"/>
  <c r="B100" i="23"/>
  <c r="C125" i="23"/>
  <c r="C114" i="23"/>
  <c r="B191" i="23"/>
  <c r="B48" i="23"/>
  <c r="C165" i="23"/>
  <c r="B157" i="23"/>
  <c r="C80" i="23"/>
  <c r="B114" i="23"/>
  <c r="C226" i="23"/>
  <c r="C187" i="23"/>
  <c r="C25" i="23"/>
  <c r="B35" i="23"/>
  <c r="C107" i="23"/>
  <c r="B40" i="23"/>
  <c r="C206" i="23"/>
  <c r="B2" i="23"/>
  <c r="B206" i="23"/>
  <c r="C110" i="23"/>
  <c r="B218" i="23"/>
  <c r="C170" i="23"/>
  <c r="C33" i="23"/>
  <c r="C202" i="23"/>
  <c r="C150" i="23"/>
  <c r="C211" i="23"/>
  <c r="B64" i="23"/>
  <c r="C32" i="23"/>
  <c r="C46" i="23"/>
  <c r="B89" i="23"/>
  <c r="B68" i="23"/>
  <c r="B37" i="23"/>
  <c r="B189" i="23"/>
  <c r="B151" i="23"/>
  <c r="C140" i="23"/>
  <c r="C11" i="23"/>
  <c r="C23" i="23"/>
  <c r="C24" i="23"/>
  <c r="C79" i="23"/>
  <c r="C35" i="23"/>
  <c r="C116" i="23"/>
  <c r="C189" i="23"/>
  <c r="B13" i="23"/>
  <c r="C10" i="23"/>
  <c r="B248" i="23"/>
  <c r="B59" i="23"/>
  <c r="C148" i="23"/>
  <c r="C62" i="23"/>
  <c r="B71" i="23"/>
  <c r="C99" i="23"/>
  <c r="B26" i="23"/>
  <c r="B57" i="23"/>
  <c r="C144" i="23"/>
  <c r="C21" i="23"/>
  <c r="C38" i="23"/>
  <c r="B4" i="23"/>
  <c r="B158" i="23"/>
  <c r="B168" i="23"/>
  <c r="C232" i="23"/>
  <c r="B29" i="23"/>
  <c r="B167" i="23"/>
  <c r="C17" i="23"/>
  <c r="C37" i="23"/>
  <c r="C84" i="23"/>
  <c r="C179" i="23"/>
  <c r="C242" i="23"/>
  <c r="B220" i="23"/>
  <c r="C218" i="23"/>
  <c r="C13" i="23"/>
  <c r="B120" i="23"/>
  <c r="B173" i="23"/>
  <c r="C169" i="23"/>
  <c r="C128" i="23"/>
  <c r="B208" i="23"/>
  <c r="B52" i="23"/>
  <c r="C124" i="23"/>
  <c r="B179" i="23"/>
  <c r="C199" i="23"/>
  <c r="C103" i="23"/>
  <c r="C104" i="23"/>
  <c r="C207" i="23"/>
  <c r="B177" i="23"/>
  <c r="B147" i="23"/>
  <c r="C83" i="23"/>
  <c r="B32" i="23"/>
  <c r="C117" i="23"/>
  <c r="C29" i="23"/>
  <c r="C89" i="23"/>
  <c r="C162" i="23"/>
  <c r="C67" i="23"/>
  <c r="C131" i="23"/>
  <c r="B36" i="23"/>
  <c r="C177" i="23"/>
  <c r="B174" i="23"/>
  <c r="B154" i="23"/>
  <c r="C51" i="23"/>
  <c r="B204" i="23"/>
  <c r="C57" i="23"/>
  <c r="C198" i="23"/>
  <c r="C233" i="23"/>
  <c r="C122" i="23"/>
  <c r="B54" i="23"/>
  <c r="C95" i="23"/>
  <c r="C216" i="23"/>
  <c r="C39" i="23"/>
  <c r="B70" i="23"/>
  <c r="B16" i="23"/>
  <c r="C145" i="23"/>
  <c r="C134" i="23"/>
  <c r="C3" i="23"/>
  <c r="B227" i="23"/>
  <c r="B195" i="23"/>
  <c r="B225" i="23"/>
  <c r="B188" i="23"/>
  <c r="B196" i="23"/>
  <c r="C92" i="23"/>
  <c r="C146" i="23"/>
  <c r="B38" i="23"/>
  <c r="C191" i="23"/>
  <c r="B117" i="23"/>
  <c r="B63" i="23"/>
  <c r="B102" i="23"/>
  <c r="B156" i="23"/>
  <c r="C100" i="23"/>
  <c r="B21" i="23"/>
  <c r="B228" i="23"/>
  <c r="B133" i="23"/>
  <c r="C71" i="23"/>
  <c r="C16" i="23"/>
  <c r="C102" i="23"/>
  <c r="C166" i="23"/>
  <c r="B45" i="23"/>
  <c r="C30" i="23"/>
  <c r="B233" i="23"/>
  <c r="C63" i="23"/>
  <c r="B105" i="23"/>
  <c r="C111" i="23"/>
  <c r="B205" i="23"/>
  <c r="C158" i="23"/>
  <c r="B43" i="23"/>
  <c r="B129" i="23"/>
  <c r="B186" i="23"/>
  <c r="C75" i="23"/>
  <c r="C109" i="23"/>
  <c r="C45" i="23"/>
  <c r="B128" i="23"/>
  <c r="C47" i="23"/>
  <c r="C212" i="23"/>
  <c r="C27" i="23"/>
  <c r="C203" i="23"/>
  <c r="C70" i="23"/>
  <c r="C195" i="23"/>
  <c r="B41" i="23"/>
  <c r="C90" i="23"/>
  <c r="B97" i="23"/>
  <c r="C73" i="23"/>
  <c r="C184" i="23"/>
  <c r="B88" i="23"/>
  <c r="B244" i="23"/>
  <c r="C193" i="23"/>
  <c r="C74" i="23"/>
  <c r="B46" i="23"/>
  <c r="C7" i="23"/>
  <c r="B115" i="23"/>
  <c r="B14" i="23"/>
  <c r="B44" i="23"/>
  <c r="B65" i="23"/>
  <c r="B94" i="23"/>
  <c r="B20" i="23"/>
  <c r="C220" i="23"/>
  <c r="C56" i="23"/>
  <c r="C245" i="23"/>
  <c r="C225" i="23"/>
  <c r="C167" i="23"/>
  <c r="C181" i="23"/>
  <c r="B239" i="23"/>
  <c r="B224" i="23"/>
  <c r="B242" i="23"/>
  <c r="B122" i="23"/>
  <c r="B127" i="23"/>
  <c r="B93" i="23"/>
  <c r="C151" i="23"/>
  <c r="B139" i="23"/>
  <c r="C142" i="23"/>
  <c r="C121" i="23"/>
  <c r="C241" i="23"/>
  <c r="B146" i="23"/>
  <c r="C14" i="23"/>
  <c r="C238" i="23"/>
  <c r="B25" i="23"/>
  <c r="B214" i="23"/>
  <c r="C48" i="23"/>
  <c r="C123" i="23"/>
  <c r="C213" i="23"/>
  <c r="B67" i="23"/>
  <c r="B229" i="23"/>
  <c r="C55" i="23"/>
  <c r="B55" i="23"/>
  <c r="B226" i="23"/>
  <c r="C22" i="23"/>
  <c r="B75" i="23"/>
  <c r="B62" i="23"/>
  <c r="B143" i="23"/>
  <c r="B34" i="23"/>
  <c r="C87" i="23"/>
  <c r="C26" i="23"/>
  <c r="C164" i="23"/>
  <c r="C36" i="23"/>
  <c r="C217" i="23"/>
  <c r="C118" i="23"/>
  <c r="C234" i="23"/>
  <c r="C72" i="23"/>
  <c r="B106" i="23"/>
  <c r="B101" i="23"/>
  <c r="B3" i="23"/>
  <c r="B163" i="23"/>
  <c r="C64" i="23"/>
  <c r="C34" i="23"/>
  <c r="B66" i="23"/>
  <c r="C52" i="23"/>
  <c r="B73" i="23"/>
  <c r="C12" i="23"/>
  <c r="B230" i="23"/>
  <c r="C82" i="23"/>
  <c r="B39" i="23"/>
  <c r="C196" i="23"/>
  <c r="B175" i="23"/>
  <c r="B247" i="23"/>
  <c r="B162" i="23"/>
  <c r="C78" i="23"/>
  <c r="C20" i="23"/>
  <c r="B185" i="23"/>
  <c r="B130" i="23"/>
  <c r="B33" i="23"/>
  <c r="C188" i="23"/>
  <c r="C228" i="23"/>
  <c r="B243" i="23"/>
  <c r="C61" i="23"/>
  <c r="B91" i="23"/>
  <c r="C49" i="23"/>
  <c r="B170" i="23"/>
  <c r="C68" i="23"/>
  <c r="B12" i="23"/>
  <c r="B51" i="23"/>
  <c r="C5" i="23"/>
  <c r="B98" i="23"/>
  <c r="B110" i="23"/>
  <c r="B15" i="23"/>
  <c r="C133" i="23"/>
  <c r="C153" i="23"/>
  <c r="B69" i="23"/>
  <c r="C60" i="23"/>
  <c r="B136" i="23"/>
  <c r="C44" i="23"/>
  <c r="C19" i="23"/>
  <c r="B171" i="23"/>
  <c r="C97" i="23"/>
  <c r="B232" i="23"/>
  <c r="B203" i="23"/>
  <c r="B138" i="23"/>
  <c r="B76" i="23"/>
  <c r="C174" i="23"/>
  <c r="C161" i="23"/>
  <c r="B200" i="23"/>
  <c r="C239" i="23"/>
  <c r="C185" i="23"/>
  <c r="B50" i="23"/>
  <c r="C31" i="23"/>
  <c r="C152" i="23"/>
  <c r="B108" i="23"/>
  <c r="C227" i="23"/>
  <c r="C77" i="23"/>
  <c r="B49" i="23"/>
  <c r="C91" i="23"/>
  <c r="C205" i="23"/>
  <c r="B8" i="23"/>
  <c r="C93" i="23"/>
  <c r="B126" i="23"/>
  <c r="C248" i="23"/>
  <c r="C171" i="23"/>
  <c r="B90" i="23"/>
  <c r="B6" i="23"/>
  <c r="B77" i="23"/>
  <c r="C149" i="23"/>
  <c r="C155" i="23"/>
  <c r="B60" i="23"/>
  <c r="B28" i="23"/>
  <c r="B219" i="23"/>
  <c r="B132" i="23"/>
  <c r="C246" i="23"/>
  <c r="B194" i="23"/>
  <c r="B53" i="23"/>
  <c r="B198" i="23"/>
  <c r="C172" i="23"/>
  <c r="B209" i="23"/>
  <c r="C54" i="23"/>
  <c r="C42" i="23"/>
  <c r="B56" i="23"/>
  <c r="B234" i="23"/>
  <c r="B160" i="23"/>
  <c r="B144" i="23"/>
  <c r="B142" i="23"/>
  <c r="C127" i="23"/>
  <c r="B231" i="23"/>
  <c r="C194" i="23"/>
  <c r="B240" i="23"/>
  <c r="B42" i="23"/>
  <c r="C40" i="23"/>
  <c r="C201" i="23"/>
  <c r="C59" i="23"/>
  <c r="B19" i="23"/>
  <c r="B245" i="23"/>
  <c r="B111" i="23"/>
  <c r="B184" i="23"/>
  <c r="C28" i="23"/>
  <c r="B212" i="23"/>
  <c r="C178" i="23"/>
  <c r="B249" i="23"/>
  <c r="B215" i="23"/>
  <c r="C41" i="23"/>
  <c r="C18" i="23"/>
  <c r="B58" i="23"/>
  <c r="B81" i="23"/>
  <c r="C69" i="23"/>
  <c r="C235" i="23"/>
  <c r="C183" i="23"/>
  <c r="B116" i="23"/>
  <c r="C173" i="23"/>
  <c r="B153" i="23"/>
  <c r="B79" i="23"/>
  <c r="B181" i="23"/>
  <c r="C105" i="23"/>
  <c r="C208" i="23"/>
  <c r="B23" i="23"/>
  <c r="B121" i="23"/>
  <c r="C204" i="23"/>
  <c r="C197" i="23"/>
  <c r="B207" i="23"/>
  <c r="C119" i="23"/>
  <c r="C126" i="23"/>
  <c r="C120" i="23"/>
  <c r="C138" i="23"/>
  <c r="B85" i="23"/>
  <c r="B182" i="23"/>
  <c r="B150" i="23"/>
  <c r="B119" i="23"/>
  <c r="B9" i="23"/>
  <c r="C175" i="23"/>
  <c r="B124" i="23"/>
  <c r="B107" i="23"/>
  <c r="C85" i="23"/>
  <c r="C236" i="23"/>
  <c r="C160" i="23"/>
  <c r="C229" i="23"/>
  <c r="C210" i="23"/>
  <c r="B10" i="23"/>
  <c r="C81" i="23"/>
  <c r="C136" i="23"/>
  <c r="B222" i="23"/>
  <c r="B30" i="23"/>
  <c r="B246" i="23"/>
  <c r="C159" i="23"/>
  <c r="C2" i="23"/>
  <c r="B134" i="23"/>
  <c r="B178" i="23"/>
  <c r="C176" i="23"/>
  <c r="B141" i="23"/>
  <c r="B31" i="23"/>
  <c r="B190" i="23"/>
  <c r="B149" i="23"/>
  <c r="C200" i="23"/>
  <c r="C88" i="23"/>
  <c r="C190" i="23"/>
  <c r="C76" i="23"/>
  <c r="B47" i="23"/>
  <c r="B210" i="23"/>
  <c r="B72" i="23"/>
  <c r="C112" i="23"/>
  <c r="B223" i="23"/>
  <c r="C139" i="23"/>
  <c r="C9" i="23"/>
  <c r="C222" i="23"/>
  <c r="B27" i="23"/>
  <c r="C43" i="23"/>
  <c r="B237" i="23"/>
  <c r="C231" i="23"/>
  <c r="C219" i="23"/>
  <c r="C147" i="23"/>
  <c r="B183" i="23"/>
  <c r="B18" i="23"/>
  <c r="B180" i="23"/>
  <c r="B145" i="23"/>
  <c r="B155" i="23"/>
  <c r="C130" i="23"/>
  <c r="B199" i="23"/>
  <c r="C15" i="23"/>
  <c r="B99" i="23"/>
  <c r="B104" i="23"/>
  <c r="B78" i="23"/>
  <c r="C66" i="23"/>
  <c r="B7" i="23"/>
  <c r="C182" i="23"/>
  <c r="B152" i="23"/>
  <c r="C154" i="23"/>
  <c r="C237" i="23"/>
  <c r="C50" i="23"/>
  <c r="C157" i="23"/>
  <c r="C163" i="23"/>
  <c r="C65" i="23"/>
  <c r="B87" i="23"/>
  <c r="B192" i="23"/>
  <c r="C214" i="23"/>
  <c r="C168" i="23"/>
  <c r="C180" i="23"/>
  <c r="C249" i="23"/>
  <c r="B140" i="23"/>
  <c r="B84" i="23"/>
  <c r="B80" i="23"/>
  <c r="B166" i="23"/>
  <c r="B172" i="23"/>
  <c r="C186" i="23"/>
  <c r="B5" i="23"/>
  <c r="C58" i="23"/>
  <c r="B131" i="23"/>
  <c r="B197" i="23"/>
  <c r="B169" i="23"/>
  <c r="C135" i="23"/>
  <c r="B164" i="23"/>
  <c r="C215" i="23"/>
  <c r="C53" i="23"/>
  <c r="C230" i="23"/>
  <c r="B135" i="23"/>
  <c r="B24" i="23"/>
  <c r="B123" i="23"/>
  <c r="B96" i="23"/>
  <c r="B165" i="23"/>
  <c r="C243" i="23"/>
  <c r="C192" i="23"/>
  <c r="C224" i="23"/>
  <c r="C86" i="23"/>
  <c r="B86" i="23"/>
  <c r="B137" i="23"/>
  <c r="C143" i="23"/>
  <c r="B213" i="23"/>
  <c r="B159" i="23"/>
  <c r="C223" i="23"/>
  <c r="C113" i="23"/>
  <c r="B103" i="23"/>
  <c r="B235" i="23"/>
  <c r="B187" i="23"/>
  <c r="C129" i="23"/>
  <c r="C244" i="23"/>
  <c r="C156" i="23"/>
  <c r="B118" i="23"/>
  <c r="B82" i="23"/>
  <c r="B92" i="23"/>
  <c r="C4" i="23"/>
  <c r="C96" i="23"/>
  <c r="B148" i="23"/>
  <c r="C132" i="23"/>
  <c r="B221" i="23"/>
  <c r="B217" i="23"/>
  <c r="B74" i="23"/>
  <c r="B95" i="23"/>
  <c r="C240" i="23"/>
  <c r="B109" i="23"/>
  <c r="B17" i="23"/>
  <c r="C6" i="23"/>
  <c r="C115" i="23"/>
  <c r="C94" i="23"/>
  <c r="B193" i="23"/>
  <c r="B236" i="23"/>
  <c r="C141" i="23"/>
  <c r="B22" i="23"/>
  <c r="C108" i="23"/>
  <c r="B216" i="23"/>
  <c r="B112" i="23"/>
  <c r="B83" i="23"/>
  <c r="B125" i="23"/>
  <c r="B241" i="23"/>
  <c r="B202" i="23"/>
  <c r="C209" i="23"/>
  <c r="C106" i="23"/>
  <c r="B161" i="23"/>
  <c r="B61" i="23"/>
  <c r="C247" i="23"/>
  <c r="B211" i="23"/>
  <c r="B176" i="23"/>
  <c r="C221" i="23"/>
  <c r="C137" i="23"/>
  <c r="C101" i="23"/>
  <c r="B113" i="23"/>
</calcChain>
</file>

<file path=xl/comments1.xml><?xml version="1.0" encoding="utf-8"?>
<comments xmlns="http://schemas.openxmlformats.org/spreadsheetml/2006/main">
  <authors>
    <author>Jessica Aguilera Zavala</author>
  </authors>
  <commentList>
    <comment ref="D12" authorId="0" shapeId="0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<sst xmlns="http://schemas.openxmlformats.org/spreadsheetml/2006/main" count="400" uniqueCount="350">
  <si>
    <t>GOBIERNO DEL ESTADO DE GUANAJUATO</t>
  </si>
  <si>
    <t>FORMATO DE GASTO DE OPERACIÓN</t>
  </si>
  <si>
    <t xml:space="preserve">Relación de </t>
  </si>
  <si>
    <t>documentos que amparan un importe de</t>
  </si>
  <si>
    <t>RAMO O ENTIDAD REMITENTE</t>
  </si>
  <si>
    <t>21 SECRETARIA DE TURISMO</t>
  </si>
  <si>
    <t>Favor de depositar a nombre de:</t>
  </si>
  <si>
    <t>PROGRAMA</t>
  </si>
  <si>
    <t>PROYECTO</t>
  </si>
  <si>
    <t>FECHA</t>
  </si>
  <si>
    <t>FOLIO</t>
  </si>
  <si>
    <t>SUBPROGRAMA</t>
  </si>
  <si>
    <t>UNIDAD RESPONSABLE</t>
  </si>
  <si>
    <t>CUENTA:</t>
  </si>
  <si>
    <t>SUCURSAL:</t>
  </si>
  <si>
    <t>MARFIL</t>
  </si>
  <si>
    <t>21.10.01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</si>
  <si>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</si>
  <si>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</si>
  <si>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</si>
  <si>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</si>
  <si>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</si>
  <si>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</si>
  <si>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</si>
  <si>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</si>
  <si>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>PARTIDA No.</t>
  </si>
  <si>
    <t>IMPORTE</t>
  </si>
  <si>
    <t>OBSERVACIONES</t>
  </si>
  <si>
    <t>DATOS DEL CONTRIBUYENTE</t>
  </si>
  <si>
    <t>RFC</t>
  </si>
  <si>
    <t>AUTORIZA</t>
  </si>
  <si>
    <t>REGISTROS DE CONTROL</t>
  </si>
  <si>
    <t>CLAVE PRESUPUESTARIA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</si>
  <si>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</si>
  <si>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</si>
  <si>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</si>
  <si>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</si>
  <si>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</si>
  <si>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</si>
  <si>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</si>
  <si>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</si>
  <si>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</si>
  <si>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</si>
  <si>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</si>
  <si>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</si>
  <si>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</si>
  <si>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</si>
  <si>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</si>
  <si>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</si>
  <si>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</si>
  <si>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</si>
  <si>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</si>
  <si>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</si>
  <si>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</si>
  <si>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</si>
  <si>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</si>
  <si>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</si>
  <si>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</si>
  <si>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</si>
  <si>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</si>
  <si>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</si>
  <si>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</si>
  <si>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</si>
  <si>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</si>
  <si>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</si>
  <si>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</si>
  <si>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</si>
  <si>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</si>
  <si>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</si>
  <si>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</si>
  <si>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</si>
  <si>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</si>
  <si>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</si>
  <si>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</si>
  <si>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</si>
  <si>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</si>
  <si>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</si>
  <si>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</si>
  <si>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</si>
  <si>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</si>
  <si>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</si>
  <si>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</si>
  <si>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</si>
  <si>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</si>
  <si>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</si>
  <si>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</si>
  <si>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</si>
  <si>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</si>
  <si>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</si>
  <si>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</si>
  <si>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</si>
  <si>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</si>
  <si>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</si>
  <si>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</si>
  <si>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</si>
  <si>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</si>
  <si>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</si>
  <si>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</si>
  <si>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</si>
  <si>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</si>
  <si>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</si>
  <si>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</si>
  <si>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</si>
  <si>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</si>
  <si>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</si>
  <si>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</si>
  <si>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</si>
  <si>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</si>
  <si>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</si>
  <si>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</si>
  <si>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</si>
  <si>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</si>
  <si>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</si>
  <si>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</si>
  <si>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</si>
  <si>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</si>
  <si>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</si>
  <si>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</si>
  <si>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</si>
  <si>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</si>
  <si>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</si>
  <si>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</si>
  <si>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</si>
  <si>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</si>
  <si>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</si>
  <si>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</si>
  <si>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</si>
  <si>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</si>
  <si>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</si>
  <si>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</si>
  <si>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</si>
  <si>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</si>
  <si>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</si>
  <si>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</si>
  <si>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</si>
  <si>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</si>
  <si>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</si>
  <si>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</si>
  <si>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</si>
  <si>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</si>
  <si>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</si>
  <si>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</si>
  <si>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</si>
  <si>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</si>
  <si>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</si>
  <si>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</si>
  <si>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</si>
  <si>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</si>
  <si>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</si>
  <si>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</si>
  <si>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</si>
  <si>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</si>
  <si>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</si>
  <si>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</si>
  <si>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</si>
  <si>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</si>
  <si>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</si>
  <si>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</si>
  <si>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</si>
  <si>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</si>
  <si>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</si>
  <si>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</si>
  <si>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</si>
  <si>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</si>
  <si>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</si>
  <si>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</si>
  <si>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</si>
  <si>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</si>
  <si>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</si>
  <si>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</si>
  <si>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</si>
  <si>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</si>
  <si>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</si>
  <si>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</si>
  <si>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</si>
  <si>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</si>
  <si>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</si>
  <si>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</si>
  <si>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</si>
  <si>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</si>
  <si>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</si>
  <si>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</si>
  <si>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</si>
  <si>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</si>
  <si>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</si>
  <si>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</si>
  <si>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</si>
  <si>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</si>
  <si>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</si>
  <si>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</si>
  <si>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</si>
  <si>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</si>
  <si>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</si>
  <si>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</si>
  <si>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</si>
  <si>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</si>
  <si>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</si>
  <si>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</si>
  <si>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</si>
  <si>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</si>
  <si>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</si>
  <si>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</si>
  <si>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</si>
  <si>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</si>
  <si>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</si>
  <si>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</si>
  <si>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</si>
  <si>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</si>
  <si>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</si>
  <si>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</si>
  <si>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</si>
  <si>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</si>
  <si>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</si>
  <si>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</si>
  <si>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</si>
  <si>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</si>
  <si>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</si>
  <si>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</si>
  <si>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</si>
  <si>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</si>
  <si>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</si>
  <si>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</si>
  <si>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</si>
  <si>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</si>
  <si>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</si>
  <si>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</si>
  <si>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</si>
  <si>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</si>
  <si>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</si>
  <si>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</si>
  <si>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</si>
  <si>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</si>
  <si>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</si>
  <si>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</si>
  <si>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</si>
  <si>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</si>
  <si>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</si>
  <si>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</si>
  <si>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</si>
  <si>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</si>
  <si>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</si>
  <si>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</si>
  <si>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</si>
  <si>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</si>
  <si>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</si>
  <si>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</si>
  <si>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</si>
  <si>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</si>
  <si>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</si>
  <si>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</si>
  <si>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</si>
  <si>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</si>
  <si>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</si>
  <si>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</si>
  <si>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</si>
  <si>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</si>
  <si>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</si>
  <si>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</si>
  <si>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</si>
  <si>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</si>
  <si>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</si>
  <si>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</si>
  <si>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</si>
  <si>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</si>
  <si>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</si>
  <si>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</si>
  <si>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</si>
  <si>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</si>
  <si>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</si>
  <si>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</si>
  <si>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</si>
  <si>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</si>
  <si>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</si>
  <si>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</si>
  <si>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</si>
  <si>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</si>
  <si>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</si>
  <si>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</si>
  <si>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</si>
  <si>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</si>
  <si>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</si>
  <si>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</si>
  <si>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</si>
  <si>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 xml:space="preserve">COMPROBANTE </t>
  </si>
  <si>
    <t>IMPORTE TOTAL</t>
  </si>
  <si>
    <t xml:space="preserve">que se envían para su revisión y trámite de pago         </t>
  </si>
  <si>
    <t>LIC. ILAYALI PIMENTEL REDONDO</t>
  </si>
  <si>
    <t xml:space="preserve">TITULAR DE LA DEPENDENCIA 
MTRO. JUAN JOSÉ ALVÁREZ BRUNEL
SECRETARIO DE TURISMO 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</si>
  <si>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</si>
  <si>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</si>
  <si>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</si>
  <si>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</si>
  <si>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</si>
  <si>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</si>
  <si>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</si>
  <si>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</si>
  <si>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</si>
  <si>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</si>
  <si>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RESPONSABLE DEL PROYECTO </t>
  </si>
  <si>
    <t xml:space="preserve">PROYECTO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</si>
  <si>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</si>
  <si>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</si>
  <si>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</si>
  <si>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</si>
  <si>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</si>
  <si>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</si>
  <si>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</si>
  <si>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</si>
  <si>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</si>
  <si>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 xml:space="preserve">RECEPCIÓN - DIRECCIÓN ADMINISTRATIVA </t>
  </si>
  <si>
    <t xml:space="preserve">RECEPCIÓN - SECRETARIA DE FINANZAS INVERSIÓN Y ADMINISTRACIÓN </t>
  </si>
  <si>
    <t>FORMATO GO - 1  22</t>
  </si>
  <si>
    <t>Y22.GG.G1074</t>
  </si>
  <si>
    <t>Y22.GG.G1286</t>
  </si>
  <si>
    <t>Y22.GG.G2061</t>
  </si>
  <si>
    <t>Y22.GG.P0292</t>
  </si>
  <si>
    <t>Y22.GG.P0293</t>
  </si>
  <si>
    <t>Y22.GG.Q0340</t>
  </si>
  <si>
    <t>Y22.GG.Q0342</t>
  </si>
  <si>
    <t>Y22.GG.Q0343</t>
  </si>
  <si>
    <t>Y22.GG.Q0344</t>
  </si>
  <si>
    <t>Y22.GG.Q0345</t>
  </si>
  <si>
    <t>Y22.GG.Q0346</t>
  </si>
  <si>
    <t>Y22.GG.Q0368</t>
  </si>
  <si>
    <t>Y22.GG.Q0373</t>
  </si>
  <si>
    <t>Y22.GG.Q0374</t>
  </si>
  <si>
    <t>Y22.GG.Q0375</t>
  </si>
  <si>
    <t>Y22.GG.Q0376</t>
  </si>
  <si>
    <t>Y22.GG.Q0377</t>
  </si>
  <si>
    <t>Y22.GG.Q0378</t>
  </si>
  <si>
    <t>Y22.GG.Q0379</t>
  </si>
  <si>
    <t>Y22.GG.Q0380</t>
  </si>
  <si>
    <t>Y22.GG.Q0381</t>
  </si>
  <si>
    <t>Y22.GG.Q3214</t>
  </si>
  <si>
    <t>Y22.GG.Q3235</t>
  </si>
  <si>
    <t>Y22.GG.Q3456</t>
  </si>
  <si>
    <t>Y22.GG.Q0498</t>
  </si>
  <si>
    <t>Y22.GG.Q0624</t>
  </si>
  <si>
    <t>Y22.GG.Q2437</t>
  </si>
  <si>
    <t>Y22.GG.Q2561</t>
  </si>
  <si>
    <t>MIRIAM CECILIA ADAME ALCARAZ 
ENCARGADA DE LA DIRECCIÓN GENERAL DE PLANEACIÓN
ACUERDO SECRETARIAL  2022</t>
  </si>
  <si>
    <t>FRANCISCO XAVIER GÓMEZ ÁLVAREZ 
TITULAR DEL ÓRGANO INTERNO DE CONTROL
ACUERDO SECRETARIAL  2022</t>
  </si>
  <si>
    <t xml:space="preserve"> FRANCISCO JAVIER VALVERDE POLIN
ENCARGADO DE LA DIRECCION GENERAL DE DESARROLLO TURISTICO
ACUERDO SECRETARIAL  2022</t>
  </si>
  <si>
    <t>JORGE LUIS CABREJOS SAMAMÉ 
ENCARGADO DE LA SUBSECRETARIA DE PROMOCION TURISTICA
ACUERDO SECRETARIAL  2022</t>
  </si>
  <si>
    <t>Y22.GG.Q0418</t>
  </si>
  <si>
    <t>Y22.GG.Q0488</t>
  </si>
  <si>
    <t>Y22.GG.Q0622</t>
  </si>
  <si>
    <t>Y22.GG.Q0623</t>
  </si>
  <si>
    <t>LIC. VÍCTOR ZÁRATE FLORES
DIRECTOR DE ASUNTOS JURÍDICO
ACUERDO SECRETARIAL 001 2022</t>
  </si>
  <si>
    <t>DIRECTORA GENERAL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</si>
</sst>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4"/>
      <color theme="1"/>
      <name val="Arial"/>
      <family val="2"/>
    </font>
    <font>
      <b/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b/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Source Sans Pro"/>
      <family val="2"/>
    </font>
    <font>
      <b/>
      <sz val="11"/>
      <color theme="0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65E8E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2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2" borderId="0" xfId="0" applyFill="1"/>
    <xf numFmtId="0" fontId="0" fillId="0" borderId="0" xfId="0" applyAlignment="1">
      <alignment horizontal="left"/>
    </xf>
    <xf numFmtId="0" fontId="4" fillId="0" borderId="0" xfId="0" applyFont="1" applyFill="1" applyProtection="1"/>
    <xf numFmtId="0" fontId="4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left"/>
    </xf>
    <xf numFmtId="0" fontId="3" fillId="0" borderId="5" xfId="0" applyFont="1" applyFill="1" applyBorder="1" applyAlignment="1" applyProtection="1"/>
    <xf numFmtId="0" fontId="3" fillId="0" borderId="0" xfId="0" applyFont="1" applyFill="1" applyProtection="1"/>
    <xf numFmtId="49" fontId="3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44" fontId="3" fillId="0" borderId="28" xfId="1" applyFont="1" applyFill="1" applyBorder="1" applyAlignment="1" applyProtection="1">
      <alignment horizontal="right"/>
      <protection locked="0"/>
    </xf>
    <xf numFmtId="44" fontId="6" fillId="0" borderId="27" xfId="1" applyFont="1" applyBorder="1" applyProtection="1">
      <protection locked="0"/>
    </xf>
    <xf numFmtId="0" fontId="3" fillId="0" borderId="6" xfId="0" applyFont="1" applyFill="1" applyBorder="1" applyProtection="1">
      <protection locked="0"/>
    </xf>
    <xf numFmtId="0" fontId="3" fillId="0" borderId="0" xfId="0" applyFont="1" applyFill="1" applyAlignment="1" applyProtection="1">
      <alignment vertical="center"/>
    </xf>
    <xf numFmtId="0" fontId="2" fillId="0" borderId="23" xfId="0" applyFont="1" applyFill="1" applyBorder="1" applyAlignment="1" applyProtection="1">
      <alignment horizontal="center"/>
      <protection locked="0"/>
    </xf>
    <xf numFmtId="0" fontId="2" fillId="0" borderId="16" xfId="0" applyFont="1" applyFill="1" applyBorder="1" applyAlignment="1" applyProtection="1">
      <alignment horizontal="center"/>
      <protection locked="0"/>
    </xf>
    <xf numFmtId="0" fontId="2" fillId="0" borderId="6" xfId="0" applyFont="1" applyFill="1" applyBorder="1" applyAlignment="1" applyProtection="1">
      <alignment horizontal="left"/>
    </xf>
    <xf numFmtId="0" fontId="4" fillId="0" borderId="39" xfId="0" applyFont="1" applyFill="1" applyBorder="1" applyProtection="1"/>
    <xf numFmtId="0" fontId="4" fillId="0" borderId="40" xfId="0" applyFont="1" applyFill="1" applyBorder="1" applyProtection="1"/>
    <xf numFmtId="0" fontId="4" fillId="0" borderId="42" xfId="0" applyFont="1" applyFill="1" applyBorder="1" applyProtection="1"/>
    <xf numFmtId="0" fontId="2" fillId="0" borderId="43" xfId="0" applyFont="1" applyFill="1" applyBorder="1" applyAlignment="1" applyProtection="1"/>
    <xf numFmtId="0" fontId="4" fillId="0" borderId="43" xfId="0" applyFont="1" applyFill="1" applyBorder="1" applyProtection="1"/>
    <xf numFmtId="0" fontId="3" fillId="0" borderId="42" xfId="0" applyFont="1" applyFill="1" applyBorder="1" applyProtection="1"/>
    <xf numFmtId="0" fontId="2" fillId="0" borderId="42" xfId="0" applyFont="1" applyFill="1" applyBorder="1" applyAlignment="1" applyProtection="1"/>
    <xf numFmtId="0" fontId="2" fillId="0" borderId="42" xfId="0" applyFont="1" applyFill="1" applyBorder="1" applyProtection="1"/>
    <xf numFmtId="165" fontId="3" fillId="0" borderId="43" xfId="0" applyNumberFormat="1" applyFont="1" applyFill="1" applyBorder="1" applyAlignment="1" applyProtection="1">
      <alignment horizontal="center" vertical="center"/>
    </xf>
    <xf numFmtId="0" fontId="3" fillId="0" borderId="43" xfId="0" applyFont="1" applyFill="1" applyBorder="1" applyAlignment="1" applyProtection="1">
      <alignment horizontal="left"/>
      <protection locked="0"/>
    </xf>
    <xf numFmtId="0" fontId="2" fillId="0" borderId="43" xfId="0" applyFont="1" applyFill="1" applyBorder="1" applyAlignment="1" applyProtection="1">
      <alignment horizontal="left"/>
      <protection locked="0"/>
    </xf>
    <xf numFmtId="0" fontId="2" fillId="0" borderId="44" xfId="0" applyFont="1" applyFill="1" applyBorder="1" applyAlignment="1" applyProtection="1">
      <alignment horizontal="left"/>
      <protection locked="0"/>
    </xf>
    <xf numFmtId="0" fontId="3" fillId="0" borderId="43" xfId="0" applyFont="1" applyFill="1" applyBorder="1" applyProtection="1"/>
    <xf numFmtId="0" fontId="2" fillId="0" borderId="0" xfId="0" applyFont="1" applyFill="1" applyBorder="1" applyAlignment="1" applyProtection="1">
      <alignment horizontal="right"/>
    </xf>
    <xf numFmtId="0" fontId="2" fillId="0" borderId="49" xfId="0" applyFont="1" applyFill="1" applyBorder="1" applyAlignment="1" applyProtection="1">
      <alignment horizontal="center" vertical="center"/>
    </xf>
    <xf numFmtId="0" fontId="0" fillId="0" borderId="39" xfId="0" applyBorder="1"/>
    <xf numFmtId="0" fontId="0" fillId="0" borderId="40" xfId="0" applyBorder="1"/>
    <xf numFmtId="0" fontId="0" fillId="0" borderId="40" xfId="0" applyBorder="1" applyProtection="1">
      <protection locked="0"/>
    </xf>
    <xf numFmtId="0" fontId="0" fillId="0" borderId="41" xfId="0" applyBorder="1"/>
    <xf numFmtId="0" fontId="0" fillId="0" borderId="42" xfId="0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40" xfId="0" applyBorder="1" applyAlignment="1" applyProtection="1">
      <alignment vertical="center"/>
      <protection locked="0"/>
    </xf>
    <xf numFmtId="0" fontId="0" fillId="0" borderId="41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0" xfId="0" applyAlignment="1">
      <alignment vertical="center"/>
    </xf>
    <xf numFmtId="0" fontId="9" fillId="0" borderId="4" xfId="0" applyFont="1" applyBorder="1" applyAlignment="1">
      <alignment vertical="center" wrapText="1"/>
    </xf>
    <xf numFmtId="0" fontId="9" fillId="0" borderId="4" xfId="0" applyFont="1" applyBorder="1" applyAlignment="1">
      <alignment vertical="center"/>
    </xf>
    <xf numFmtId="0" fontId="9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/>
    </xf>
    <xf numFmtId="44" fontId="14" fillId="0" borderId="0" xfId="1" applyFont="1" applyBorder="1" applyAlignment="1" applyProtection="1">
      <alignment horizontal="left" vertical="center"/>
      <protection locked="0"/>
    </xf>
    <xf numFmtId="0" fontId="8" fillId="0" borderId="5" xfId="0" applyFont="1" applyBorder="1" applyAlignment="1">
      <alignment horizontal="left" vertical="center"/>
    </xf>
    <xf numFmtId="0" fontId="15" fillId="0" borderId="26" xfId="0" applyFont="1" applyBorder="1" applyAlignment="1">
      <alignment vertical="center" wrapText="1"/>
    </xf>
    <xf numFmtId="0" fontId="0" fillId="0" borderId="42" xfId="0" applyBorder="1"/>
    <xf numFmtId="0" fontId="0" fillId="0" borderId="58" xfId="0" applyBorder="1"/>
    <xf numFmtId="0" fontId="0" fillId="0" borderId="59" xfId="0" applyBorder="1"/>
    <xf numFmtId="0" fontId="0" fillId="0" borderId="59" xfId="0" applyBorder="1" applyProtection="1">
      <protection locked="0"/>
    </xf>
    <xf numFmtId="0" fontId="0" fillId="0" borderId="60" xfId="0" applyBorder="1"/>
    <xf numFmtId="0" fontId="0" fillId="0" borderId="43" xfId="0" applyBorder="1"/>
    <xf numFmtId="0" fontId="0" fillId="0" borderId="0" xfId="0" applyProtection="1">
      <protection locked="0"/>
    </xf>
    <xf numFmtId="0" fontId="2" fillId="0" borderId="37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0" borderId="18" xfId="0" applyFont="1" applyBorder="1"/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61" xfId="0" applyFont="1" applyFill="1" applyBorder="1" applyAlignment="1" applyProtection="1">
      <alignment vertical="center"/>
      <protection locked="0"/>
    </xf>
    <xf numFmtId="0" fontId="19" fillId="3" borderId="18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vertical="center"/>
      <protection locked="0"/>
    </xf>
    <xf numFmtId="0" fontId="23" fillId="0" borderId="0" xfId="0" applyFont="1" applyAlignment="1">
      <alignment horizontal="left" indent="14"/>
    </xf>
    <xf numFmtId="0" fontId="24" fillId="0" borderId="0" xfId="0" applyFont="1" applyAlignment="1">
      <alignment horizontal="center" vertical="center"/>
    </xf>
    <xf numFmtId="4" fontId="30" fillId="0" borderId="18" xfId="0" applyNumberFormat="1" applyFont="1" applyBorder="1" applyAlignment="1" applyProtection="1">
      <alignment horizontal="center"/>
      <protection locked="0"/>
    </xf>
    <xf numFmtId="0" fontId="20" fillId="4" borderId="69" xfId="0" applyFont="1" applyFill="1" applyBorder="1"/>
    <xf numFmtId="44" fontId="20" fillId="4" borderId="70" xfId="1" applyFont="1" applyFill="1" applyBorder="1"/>
    <xf numFmtId="0" fontId="31" fillId="0" borderId="18" xfId="0" applyFont="1" applyBorder="1" applyAlignment="1">
      <alignment horizontal="center" wrapText="1"/>
    </xf>
    <xf numFmtId="0" fontId="32" fillId="0" borderId="0" xfId="0" applyFont="1"/>
    <xf numFmtId="0" fontId="32" fillId="0" borderId="0" xfId="0" applyFont="1" applyAlignment="1">
      <alignment horizontal="center"/>
    </xf>
    <xf numFmtId="0" fontId="0" fillId="0" borderId="18" xfId="0" applyBorder="1"/>
    <xf numFmtId="0" fontId="0" fillId="0" borderId="18" xfId="0" applyBorder="1" applyAlignment="1">
      <alignment horizontal="center" vertical="center"/>
    </xf>
    <xf numFmtId="0" fontId="0" fillId="5" borderId="18" xfId="0" applyFill="1" applyBorder="1"/>
    <xf numFmtId="0" fontId="0" fillId="5" borderId="8" xfId="0" applyFill="1" applyBorder="1" applyAlignment="1">
      <alignment horizontal="center" vertical="center" wrapText="1"/>
    </xf>
    <xf numFmtId="0" fontId="0" fillId="5" borderId="71" xfId="0" applyFill="1" applyBorder="1"/>
    <xf numFmtId="0" fontId="2" fillId="0" borderId="37" xfId="0" applyFont="1" applyBorder="1" applyAlignment="1" applyProtection="1">
      <alignment horizontal="center" vertical="center" wrapText="1"/>
      <protection locked="0"/>
    </xf>
    <xf numFmtId="0" fontId="3" fillId="0" borderId="42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43" xfId="0" applyFont="1" applyBorder="1"/>
    <xf numFmtId="44" fontId="30" fillId="0" borderId="18" xfId="1" applyFont="1" applyBorder="1" applyAlignment="1" applyProtection="1">
      <alignment horizontal="center"/>
      <protection locked="0"/>
    </xf>
    <xf numFmtId="0" fontId="3" fillId="0" borderId="34" xfId="0" applyFont="1" applyFill="1" applyBorder="1" applyAlignment="1" applyProtection="1">
      <alignment horizontal="center"/>
      <protection locked="0"/>
    </xf>
    <xf numFmtId="0" fontId="3" fillId="0" borderId="57" xfId="0" applyFont="1" applyFill="1" applyBorder="1" applyAlignment="1" applyProtection="1">
      <alignment horizontal="center"/>
      <protection locked="0"/>
    </xf>
    <xf numFmtId="0" fontId="7" fillId="0" borderId="4" xfId="0" applyFont="1" applyFill="1" applyBorder="1" applyAlignment="1" applyProtection="1">
      <alignment horizontal="center" wrapText="1"/>
    </xf>
    <xf numFmtId="0" fontId="7" fillId="0" borderId="0" xfId="0" applyFont="1" applyFill="1" applyBorder="1" applyAlignment="1" applyProtection="1">
      <alignment horizontal="center" wrapText="1"/>
    </xf>
    <xf numFmtId="0" fontId="7" fillId="0" borderId="5" xfId="0" applyFont="1" applyFill="1" applyBorder="1" applyAlignment="1" applyProtection="1">
      <alignment horizontal="center" wrapText="1"/>
    </xf>
    <xf numFmtId="0" fontId="7" fillId="0" borderId="1" xfId="0" applyFont="1" applyFill="1" applyBorder="1" applyAlignment="1" applyProtection="1">
      <alignment horizontal="center" wrapText="1"/>
    </xf>
    <xf numFmtId="0" fontId="7" fillId="0" borderId="46" xfId="0" applyFont="1" applyFill="1" applyBorder="1" applyAlignment="1" applyProtection="1">
      <alignment horizontal="center" wrapText="1"/>
    </xf>
    <xf numFmtId="0" fontId="7" fillId="0" borderId="26" xfId="0" applyFont="1" applyFill="1" applyBorder="1" applyAlignment="1" applyProtection="1">
      <alignment horizontal="center" wrapText="1"/>
    </xf>
    <xf numFmtId="0" fontId="7" fillId="0" borderId="6" xfId="0" applyFont="1" applyFill="1" applyBorder="1" applyAlignment="1" applyProtection="1">
      <alignment horizontal="center" wrapText="1"/>
    </xf>
    <xf numFmtId="0" fontId="7" fillId="0" borderId="7" xfId="0" applyFont="1" applyFill="1" applyBorder="1" applyAlignment="1" applyProtection="1">
      <alignment horizontal="center" wrapText="1"/>
    </xf>
    <xf numFmtId="0" fontId="2" fillId="0" borderId="5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56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0" fontId="3" fillId="0" borderId="30" xfId="0" applyFont="1" applyFill="1" applyBorder="1" applyAlignment="1" applyProtection="1">
      <alignment horizontal="center" vertical="center"/>
    </xf>
    <xf numFmtId="0" fontId="3" fillId="0" borderId="45" xfId="0" applyFont="1" applyFill="1" applyBorder="1" applyAlignment="1" applyProtection="1">
      <alignment horizontal="center" vertical="center"/>
    </xf>
    <xf numFmtId="44" fontId="3" fillId="0" borderId="31" xfId="1" applyFont="1" applyFill="1" applyBorder="1" applyAlignment="1" applyProtection="1">
      <alignment horizontal="center" vertical="center"/>
    </xf>
    <xf numFmtId="44" fontId="3" fillId="0" borderId="29" xfId="1" applyFont="1" applyFill="1" applyBorder="1" applyAlignment="1" applyProtection="1">
      <alignment horizontal="center" vertical="center"/>
    </xf>
    <xf numFmtId="44" fontId="3" fillId="0" borderId="24" xfId="1" applyFont="1" applyFill="1" applyBorder="1" applyAlignment="1" applyProtection="1">
      <alignment horizontal="center"/>
      <protection locked="0"/>
    </xf>
    <xf numFmtId="44" fontId="3" fillId="0" borderId="25" xfId="1" applyFont="1" applyFill="1" applyBorder="1" applyAlignment="1" applyProtection="1">
      <alignment horizontal="center"/>
      <protection locked="0"/>
    </xf>
    <xf numFmtId="0" fontId="2" fillId="0" borderId="24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3" fillId="0" borderId="42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17" fillId="0" borderId="53" xfId="0" applyFont="1" applyFill="1" applyBorder="1" applyAlignment="1" applyProtection="1">
      <alignment horizontal="center" vertical="center" wrapText="1"/>
    </xf>
    <xf numFmtId="0" fontId="17" fillId="0" borderId="2" xfId="0" applyFont="1" applyFill="1" applyBorder="1" applyAlignment="1" applyProtection="1">
      <alignment horizontal="center" vertical="center" wrapText="1"/>
    </xf>
    <xf numFmtId="0" fontId="17" fillId="0" borderId="46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55" xfId="0" applyFont="1" applyFill="1" applyBorder="1" applyAlignment="1" applyProtection="1">
      <alignment horizontal="left"/>
      <protection locked="0"/>
    </xf>
    <xf numFmtId="0" fontId="3" fillId="0" borderId="23" xfId="0" applyFont="1" applyFill="1" applyBorder="1" applyAlignment="1" applyProtection="1">
      <alignment horizontal="left"/>
      <protection locked="0"/>
    </xf>
    <xf numFmtId="0" fontId="18" fillId="0" borderId="9" xfId="0" applyFont="1" applyFill="1" applyBorder="1" applyAlignment="1" applyProtection="1">
      <alignment horizontal="center" vertical="center" wrapText="1"/>
      <protection locked="0"/>
    </xf>
    <xf numFmtId="0" fontId="18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35" xfId="0" applyFont="1" applyFill="1" applyBorder="1" applyAlignment="1" applyProtection="1">
      <alignment horizontal="center"/>
      <protection locked="0"/>
    </xf>
    <xf numFmtId="0" fontId="3" fillId="0" borderId="36" xfId="0" applyFont="1" applyFill="1" applyBorder="1" applyAlignment="1" applyProtection="1">
      <alignment horizontal="center"/>
      <protection locked="0"/>
    </xf>
    <xf numFmtId="0" fontId="3" fillId="0" borderId="42" xfId="0" applyFont="1" applyFill="1" applyBorder="1" applyAlignment="1" applyProtection="1">
      <alignment horizontal="center"/>
    </xf>
    <xf numFmtId="0" fontId="3" fillId="0" borderId="25" xfId="0" applyFont="1" applyFill="1" applyBorder="1" applyAlignment="1" applyProtection="1">
      <alignment horizontal="center"/>
    </xf>
    <xf numFmtId="0" fontId="3" fillId="0" borderId="54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3" fillId="0" borderId="24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3" fillId="0" borderId="25" xfId="0" applyFont="1" applyFill="1" applyBorder="1" applyAlignment="1" applyProtection="1">
      <alignment horizontal="center"/>
      <protection locked="0"/>
    </xf>
    <xf numFmtId="0" fontId="3" fillId="0" borderId="28" xfId="0" applyFont="1" applyFill="1" applyBorder="1" applyAlignment="1" applyProtection="1">
      <alignment horizontal="center"/>
      <protection locked="0"/>
    </xf>
    <xf numFmtId="0" fontId="3" fillId="0" borderId="6" xfId="0" applyFont="1" applyFill="1" applyBorder="1" applyAlignment="1" applyProtection="1">
      <alignment horizontal="center"/>
      <protection locked="0"/>
    </xf>
    <xf numFmtId="0" fontId="3" fillId="0" borderId="27" xfId="0" applyFont="1" applyFill="1" applyBorder="1" applyAlignment="1" applyProtection="1">
      <alignment horizontal="center"/>
      <protection locked="0"/>
    </xf>
    <xf numFmtId="0" fontId="3" fillId="0" borderId="43" xfId="0" applyFont="1" applyFill="1" applyBorder="1" applyAlignment="1" applyProtection="1">
      <alignment horizontal="center"/>
      <protection locked="0"/>
    </xf>
    <xf numFmtId="0" fontId="3" fillId="0" borderId="44" xfId="0" applyFont="1" applyFill="1" applyBorder="1" applyAlignment="1" applyProtection="1">
      <alignment horizontal="center"/>
      <protection locked="0"/>
    </xf>
    <xf numFmtId="0" fontId="17" fillId="0" borderId="56" xfId="0" applyFont="1" applyFill="1" applyBorder="1" applyAlignment="1" applyProtection="1">
      <alignment horizontal="center" vertical="center" wrapText="1"/>
    </xf>
    <xf numFmtId="0" fontId="17" fillId="0" borderId="9" xfId="0" applyFont="1" applyFill="1" applyBorder="1" applyAlignment="1" applyProtection="1">
      <alignment horizontal="center" vertical="center" wrapText="1"/>
    </xf>
    <xf numFmtId="0" fontId="17" fillId="0" borderId="10" xfId="0" applyFont="1" applyFill="1" applyBorder="1" applyAlignment="1" applyProtection="1">
      <alignment horizontal="center" vertical="center" wrapText="1"/>
    </xf>
    <xf numFmtId="0" fontId="18" fillId="0" borderId="8" xfId="0" applyFont="1" applyFill="1" applyBorder="1" applyAlignment="1" applyProtection="1">
      <alignment horizontal="center" vertical="center" wrapText="1"/>
    </xf>
    <xf numFmtId="0" fontId="18" fillId="0" borderId="45" xfId="0" applyFont="1" applyFill="1" applyBorder="1" applyAlignment="1" applyProtection="1">
      <alignment horizontal="center" vertical="center" wrapText="1"/>
    </xf>
    <xf numFmtId="44" fontId="3" fillId="0" borderId="24" xfId="1" applyFont="1" applyBorder="1" applyAlignment="1" applyProtection="1">
      <alignment horizontal="center"/>
      <protection locked="0"/>
    </xf>
    <xf numFmtId="44" fontId="3" fillId="0" borderId="25" xfId="1" applyFont="1" applyBorder="1" applyAlignment="1" applyProtection="1">
      <alignment horizontal="center"/>
      <protection locked="0"/>
    </xf>
    <xf numFmtId="0" fontId="5" fillId="0" borderId="40" xfId="0" applyFont="1" applyFill="1" applyBorder="1" applyAlignment="1" applyProtection="1">
      <alignment horizontal="center"/>
    </xf>
    <xf numFmtId="0" fontId="5" fillId="0" borderId="41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43" xfId="0" applyFont="1" applyFill="1" applyBorder="1" applyAlignment="1" applyProtection="1">
      <alignment horizontal="center"/>
    </xf>
    <xf numFmtId="0" fontId="2" fillId="0" borderId="42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42" xfId="0" applyFont="1" applyFill="1" applyBorder="1" applyAlignment="1" applyProtection="1">
      <alignment horizontal="center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24" xfId="0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164" fontId="2" fillId="0" borderId="6" xfId="0" applyNumberFormat="1" applyFont="1" applyFill="1" applyBorder="1" applyAlignment="1" applyProtection="1">
      <alignment horizontal="left"/>
    </xf>
    <xf numFmtId="164" fontId="2" fillId="0" borderId="44" xfId="0" applyNumberFormat="1" applyFont="1" applyFill="1" applyBorder="1" applyAlignment="1" applyProtection="1">
      <alignment horizontal="left"/>
    </xf>
    <xf numFmtId="0" fontId="3" fillId="0" borderId="8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46" xfId="0" applyFont="1" applyFill="1" applyBorder="1" applyAlignment="1" applyProtection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 wrapText="1"/>
    </xf>
    <xf numFmtId="0" fontId="2" fillId="0" borderId="47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3" fillId="0" borderId="49" xfId="0" applyFont="1" applyFill="1" applyBorder="1" applyAlignment="1" applyProtection="1">
      <alignment horizontal="center" vertical="center"/>
    </xf>
    <xf numFmtId="0" fontId="2" fillId="0" borderId="48" xfId="0" applyFont="1" applyFill="1" applyBorder="1" applyAlignment="1" applyProtection="1">
      <alignment horizontal="center" vertical="center"/>
    </xf>
    <xf numFmtId="0" fontId="2" fillId="0" borderId="49" xfId="0" applyFont="1" applyFill="1" applyBorder="1" applyAlignment="1" applyProtection="1">
      <alignment horizontal="center" vertical="center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3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3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49" xfId="0" applyNumberFormat="1" applyFont="1" applyFill="1" applyBorder="1" applyAlignment="1" applyProtection="1">
      <alignment horizontal="center" vertical="center"/>
      <protection locked="0"/>
    </xf>
    <xf numFmtId="165" fontId="2" fillId="0" borderId="33" xfId="0" applyNumberFormat="1" applyFont="1" applyFill="1" applyBorder="1" applyAlignment="1" applyProtection="1">
      <alignment horizontal="center" vertical="center"/>
      <protection locked="0"/>
    </xf>
    <xf numFmtId="165" fontId="2" fillId="0" borderId="50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1" xfId="0" applyNumberFormat="1" applyFont="1" applyFill="1" applyBorder="1" applyAlignment="1" applyProtection="1">
      <alignment horizontal="center" vertical="center"/>
      <protection locked="0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8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3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0" fontId="3" fillId="0" borderId="54" xfId="0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2" fillId="0" borderId="42" xfId="0" applyFont="1" applyFill="1" applyBorder="1" applyAlignment="1" applyProtection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</xf>
    <xf numFmtId="0" fontId="3" fillId="0" borderId="52" xfId="0" applyFont="1" applyFill="1" applyBorder="1" applyAlignment="1" applyProtection="1">
      <alignment horizontal="center" vertical="center"/>
    </xf>
    <xf numFmtId="0" fontId="3" fillId="0" borderId="25" xfId="0" applyFont="1" applyFill="1" applyBorder="1" applyAlignment="1" applyProtection="1">
      <alignment horizontal="left"/>
      <protection locked="0"/>
    </xf>
    <xf numFmtId="0" fontId="3" fillId="0" borderId="1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44" xfId="0" applyFont="1" applyBorder="1" applyAlignment="1">
      <alignment horizontal="center" vertical="center" wrapText="1"/>
    </xf>
    <xf numFmtId="0" fontId="3" fillId="0" borderId="5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7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73" xfId="0" applyFont="1" applyBorder="1" applyAlignment="1">
      <alignment horizontal="center"/>
    </xf>
    <xf numFmtId="0" fontId="3" fillId="0" borderId="59" xfId="0" applyFont="1" applyBorder="1" applyAlignment="1">
      <alignment horizontal="center"/>
    </xf>
    <xf numFmtId="0" fontId="3" fillId="0" borderId="60" xfId="0" applyFont="1" applyBorder="1" applyAlignment="1">
      <alignment horizontal="center"/>
    </xf>
    <xf numFmtId="0" fontId="3" fillId="0" borderId="54" xfId="0" applyFont="1" applyFill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0" fillId="0" borderId="5" xfId="0" applyFont="1" applyBorder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2" fillId="0" borderId="5" xfId="0" applyFont="1" applyBorder="1" applyAlignment="1" applyProtection="1">
      <alignment horizontal="left" vertical="center"/>
      <protection locked="0"/>
    </xf>
    <xf numFmtId="44" fontId="10" fillId="0" borderId="6" xfId="1" applyFont="1" applyBorder="1" applyAlignment="1" applyProtection="1">
      <alignment horizontal="left" vertical="center"/>
      <protection locked="0"/>
    </xf>
    <xf numFmtId="44" fontId="10" fillId="0" borderId="7" xfId="1" applyFont="1" applyBorder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12" fillId="0" borderId="5" xfId="0" applyFont="1" applyBorder="1" applyAlignment="1" applyProtection="1">
      <alignment horizontal="left" vertical="center" wrapText="1"/>
      <protection locked="0"/>
    </xf>
    <xf numFmtId="0" fontId="13" fillId="0" borderId="0" xfId="0" applyFont="1" applyAlignment="1" applyProtection="1">
      <alignment horizontal="left" vertical="center" wrapText="1"/>
      <protection locked="0"/>
    </xf>
    <xf numFmtId="0" fontId="13" fillId="0" borderId="5" xfId="0" applyFont="1" applyBorder="1" applyAlignment="1" applyProtection="1">
      <alignment horizontal="left" vertical="center" wrapText="1"/>
      <protection locked="0"/>
    </xf>
    <xf numFmtId="0" fontId="21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4" fillId="0" borderId="0" xfId="0" applyFont="1" applyAlignment="1" applyProtection="1">
      <alignment horizontal="left"/>
      <protection locked="0"/>
    </xf>
    <xf numFmtId="0" fontId="25" fillId="0" borderId="42" xfId="0" applyFont="1" applyBorder="1" applyAlignment="1">
      <alignment horizontal="center" vertical="top" wrapText="1"/>
    </xf>
    <xf numFmtId="0" fontId="22" fillId="0" borderId="43" xfId="0" applyFont="1" applyBorder="1" applyAlignment="1">
      <alignment horizontal="center"/>
    </xf>
    <xf numFmtId="0" fontId="20" fillId="4" borderId="42" xfId="0" applyFont="1" applyFill="1" applyBorder="1" applyAlignment="1">
      <alignment horizontal="center" vertical="center" wrapText="1"/>
    </xf>
    <xf numFmtId="0" fontId="20" fillId="4" borderId="0" xfId="0" applyFont="1" applyFill="1" applyAlignment="1">
      <alignment horizontal="center" vertical="center" wrapText="1"/>
    </xf>
    <xf numFmtId="0" fontId="27" fillId="4" borderId="42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0" fillId="4" borderId="62" xfId="0" applyFont="1" applyFill="1" applyBorder="1" applyAlignment="1">
      <alignment horizontal="center" vertical="center" wrapText="1"/>
    </xf>
    <xf numFmtId="0" fontId="20" fillId="4" borderId="66" xfId="0" applyFont="1" applyFill="1" applyBorder="1" applyAlignment="1">
      <alignment horizontal="center" vertical="center" wrapText="1"/>
    </xf>
    <xf numFmtId="0" fontId="26" fillId="4" borderId="63" xfId="0" applyFont="1" applyFill="1" applyBorder="1" applyAlignment="1">
      <alignment horizontal="center" vertical="center" wrapText="1"/>
    </xf>
    <xf numFmtId="0" fontId="28" fillId="4" borderId="67" xfId="0" applyFont="1" applyFill="1" applyBorder="1" applyAlignment="1">
      <alignment vertical="center" wrapText="1"/>
    </xf>
    <xf numFmtId="0" fontId="20" fillId="4" borderId="64" xfId="0" applyFont="1" applyFill="1" applyBorder="1" applyAlignment="1">
      <alignment horizontal="center" vertical="center" wrapText="1"/>
    </xf>
    <xf numFmtId="0" fontId="20" fillId="4" borderId="65" xfId="0" applyFont="1" applyFill="1" applyBorder="1" applyAlignment="1">
      <alignment horizontal="center" vertical="center" wrapText="1"/>
    </xf>
    <xf numFmtId="0" fontId="20" fillId="4" borderId="68" xfId="0" applyFont="1" applyFill="1" applyBorder="1" applyAlignment="1">
      <alignment horizontal="center" vertical="center" wrapText="1"/>
    </xf>
    <xf numFmtId="0" fontId="20" fillId="4" borderId="44" xfId="0" applyFont="1" applyFill="1" applyBorder="1" applyAlignment="1">
      <alignment horizontal="center" vertical="center" wrapText="1"/>
    </xf>
    <xf numFmtId="0" fontId="29" fillId="0" borderId="18" xfId="0" applyFont="1" applyBorder="1" applyAlignment="1" applyProtection="1">
      <alignment wrapText="1"/>
      <protection locked="0"/>
    </xf>
    <xf numFmtId="44" fontId="29" fillId="0" borderId="8" xfId="1" applyFont="1" applyBorder="1" applyAlignment="1" applyProtection="1">
      <alignment horizontal="center"/>
      <protection locked="0"/>
    </xf>
    <xf numFmtId="44" fontId="29" fillId="0" borderId="10" xfId="1" applyFont="1" applyBorder="1" applyAlignment="1" applyProtection="1">
      <alignment horizontal="center"/>
      <protection locked="0"/>
    </xf>
    <xf numFmtId="0" fontId="29" fillId="0" borderId="8" xfId="0" applyFont="1" applyBorder="1" applyAlignment="1" applyProtection="1">
      <alignment horizontal="center" wrapText="1"/>
      <protection locked="0"/>
    </xf>
    <xf numFmtId="0" fontId="29" fillId="0" borderId="10" xfId="0" applyFont="1" applyBorder="1" applyAlignment="1" applyProtection="1">
      <alignment horizontal="center" wrapText="1"/>
      <protection locked="0"/>
    </xf>
    <xf numFmtId="0" fontId="33" fillId="4" borderId="42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0" fillId="4" borderId="43" xfId="0" applyFill="1" applyBorder="1" applyAlignment="1">
      <alignment horizontal="center"/>
    </xf>
    <xf numFmtId="0" fontId="7" fillId="0" borderId="26" xfId="0" applyFont="1" applyBorder="1" applyAlignment="1">
      <alignment horizontal="left"/>
    </xf>
    <xf numFmtId="0" fontId="7" fillId="0" borderId="6" xfId="0" applyFont="1" applyBorder="1" applyAlignment="1">
      <alignment horizontal="left"/>
    </xf>
  </cellXfs>
  <cellStyles count="3">
    <cellStyle name="Moneda" xfId="1" builtinId="4"/>
    <cellStyle name="Moneda 2" xfId="2"/>
    <cellStyle name="Normal" xfId="0" builtinId="0"/>
  </cellStyles>
  <dxfs count="6"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392907</xdr:colOff>
      <xdr:row>1</xdr:row>
      <xdr:rowOff>59531</xdr:rowOff>
    </xdr:from>
    <xdr:to>
      <xdr:col>1</xdr:col>
      <xdr:colOff>988219</xdr:colOff>
      <xdr:row>5</xdr:row>
      <xdr:rowOff>125016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907" y="297656"/>
          <a:ext cx="2345531" cy="11727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2F6BE8BA-D684-4465-8A65-D334C02749C4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3FA7FD-3CCA-42E7-8F73-3575B09DD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I73"/>
  <sheetViews>
    <sheetView tabSelected="1" topLeftCell="A49" zoomScale="80" zoomScaleNormal="80" workbookViewId="0">
      <selection activeCell="H65" sqref="H65:I65"/>
    </sheetView>
  </sheetViews>
  <sheetFormatPr baseColWidth="10" defaultColWidth="11.42578125" defaultRowHeight="18.75"/>
  <cols>
    <col min="1" max="1" width="26.28515625" style="4" customWidth="1"/>
    <col min="2" max="2" width="17.28515625" style="4" customWidth="1"/>
    <col min="3" max="3" width="19.5703125" style="4" customWidth="1"/>
    <col min="4" max="4" width="12.28515625" style="4" bestFit="1" customWidth="1"/>
    <col min="5" max="5" width="24.5703125" style="4" customWidth="1"/>
    <col min="6" max="6" width="22.5703125" style="4" customWidth="1"/>
    <col min="7" max="7" width="21.140625" style="4" customWidth="1"/>
    <col min="8" max="8" width="13.5703125" style="4" customWidth="1"/>
    <col min="9" max="9" width="46.28515625" style="4" customWidth="1"/>
    <col min="10" max="16384" width="11.42578125" style="4"/>
  </cols>
  <sheetData>
    <row r="1" spans="1:9">
      <c r="A1" s="28"/>
      <c r="B1" s="29"/>
      <c r="C1" s="29"/>
      <c r="D1" s="29"/>
      <c r="E1" s="29"/>
      <c r="F1" s="29"/>
      <c r="G1" s="29"/>
      <c r="H1" s="162" t="s">
        <v>311</v>
      </c>
      <c r="I1" s="163"/>
    </row>
    <row r="2" spans="1:9" ht="26.25" customHeight="1">
      <c r="A2" s="30"/>
      <c r="B2" s="5"/>
      <c r="C2" s="164" t="s">
        <v>0</v>
      </c>
      <c r="D2" s="164"/>
      <c r="E2" s="164"/>
      <c r="F2" s="164"/>
      <c r="G2" s="164"/>
      <c r="H2" s="164"/>
      <c r="I2" s="165"/>
    </row>
    <row r="3" spans="1:9" ht="26.25" customHeight="1">
      <c r="A3" s="30"/>
      <c r="B3" s="5"/>
      <c r="C3" s="164" t="s">
        <v>1</v>
      </c>
      <c r="D3" s="164"/>
      <c r="E3" s="164"/>
      <c r="F3" s="164"/>
      <c r="G3" s="164"/>
      <c r="H3" s="164"/>
      <c r="I3" s="165"/>
    </row>
    <row r="4" spans="1:9" ht="15.75" customHeight="1">
      <c r="A4" s="166"/>
      <c r="B4" s="167"/>
      <c r="C4" s="167"/>
      <c r="D4" s="167"/>
      <c r="E4" s="167"/>
      <c r="F4" s="6"/>
      <c r="G4" s="6"/>
      <c r="H4" s="6"/>
      <c r="I4" s="31"/>
    </row>
    <row r="5" spans="1:9">
      <c r="A5" s="30"/>
      <c r="B5" s="5"/>
      <c r="C5" s="5"/>
      <c r="D5" s="5"/>
      <c r="E5" s="5"/>
      <c r="F5" s="5"/>
      <c r="G5" s="5"/>
      <c r="H5" s="5"/>
      <c r="I5" s="32"/>
    </row>
    <row r="6" spans="1:9">
      <c r="A6" s="168"/>
      <c r="B6" s="164"/>
      <c r="C6" s="164"/>
      <c r="D6" s="164"/>
      <c r="E6" s="164"/>
      <c r="F6" s="164"/>
      <c r="G6" s="164"/>
      <c r="H6" s="164"/>
      <c r="I6" s="165"/>
    </row>
    <row r="7" spans="1:9">
      <c r="A7" s="30"/>
      <c r="B7" s="5"/>
      <c r="C7" s="5"/>
      <c r="D7" s="7"/>
      <c r="E7" s="7"/>
      <c r="F7" s="7"/>
      <c r="G7" s="7"/>
      <c r="H7" s="5"/>
      <c r="I7" s="32"/>
    </row>
    <row r="8" spans="1:9" ht="12.75" customHeight="1">
      <c r="A8" s="30"/>
      <c r="B8" s="5"/>
      <c r="C8" s="5"/>
      <c r="D8" s="5"/>
      <c r="E8" s="5"/>
      <c r="F8" s="5"/>
      <c r="G8" s="5"/>
      <c r="H8" s="5"/>
      <c r="I8" s="32"/>
    </row>
    <row r="9" spans="1:9" ht="17.25" customHeight="1">
      <c r="A9" s="30"/>
      <c r="B9" s="7"/>
      <c r="C9" s="7" t="s">
        <v>2</v>
      </c>
      <c r="D9" s="27">
        <f>COUNTA(A27:B50)</f>
        <v>0</v>
      </c>
      <c r="E9" s="128" t="s">
        <v>3</v>
      </c>
      <c r="F9" s="128"/>
      <c r="G9" s="128"/>
      <c r="H9" s="172">
        <f>D53</f>
        <v>0</v>
      </c>
      <c r="I9" s="173"/>
    </row>
    <row r="10" spans="1:9" ht="17.25" customHeight="1">
      <c r="A10" s="30"/>
      <c r="B10" s="7"/>
      <c r="C10" s="128" t="s">
        <v>285</v>
      </c>
      <c r="D10" s="128"/>
      <c r="E10" s="128"/>
      <c r="F10" s="128"/>
      <c r="G10" s="128"/>
      <c r="H10" s="5"/>
      <c r="I10" s="32"/>
    </row>
    <row r="11" spans="1:9">
      <c r="A11" s="30"/>
      <c r="B11" s="5"/>
      <c r="C11" s="5"/>
      <c r="D11" s="5"/>
      <c r="E11" s="5"/>
      <c r="F11" s="5"/>
      <c r="G11" s="5"/>
      <c r="H11" s="5"/>
      <c r="I11" s="32"/>
    </row>
    <row r="12" spans="1:9" ht="28.9" customHeight="1">
      <c r="A12" s="168"/>
      <c r="B12" s="164"/>
      <c r="C12" s="164"/>
      <c r="D12" s="5"/>
      <c r="E12" s="174" t="s">
        <v>4</v>
      </c>
      <c r="F12" s="115"/>
      <c r="G12" s="115"/>
      <c r="H12" s="115"/>
      <c r="I12" s="120"/>
    </row>
    <row r="13" spans="1:9" ht="10.15" customHeight="1">
      <c r="A13" s="30"/>
      <c r="B13" s="5"/>
      <c r="C13" s="5"/>
      <c r="D13" s="5"/>
      <c r="E13" s="175" t="s">
        <v>5</v>
      </c>
      <c r="F13" s="176"/>
      <c r="G13" s="176"/>
      <c r="H13" s="176"/>
      <c r="I13" s="177"/>
    </row>
    <row r="14" spans="1:9" ht="27" customHeight="1" thickBot="1">
      <c r="A14" s="33" t="s">
        <v>6</v>
      </c>
      <c r="B14" s="5"/>
      <c r="C14" s="5"/>
      <c r="D14" s="5"/>
      <c r="E14" s="178"/>
      <c r="F14" s="179"/>
      <c r="G14" s="179"/>
      <c r="H14" s="179"/>
      <c r="I14" s="180"/>
    </row>
    <row r="15" spans="1:9" ht="26.45" customHeight="1" thickTop="1">
      <c r="A15" s="168" t="s">
        <v>0</v>
      </c>
      <c r="B15" s="164"/>
      <c r="C15" s="164"/>
      <c r="D15" s="181"/>
      <c r="E15" s="9" t="s">
        <v>7</v>
      </c>
      <c r="F15" s="10" t="s">
        <v>8</v>
      </c>
      <c r="G15" s="182" t="s">
        <v>9</v>
      </c>
      <c r="H15" s="182" t="s">
        <v>10</v>
      </c>
      <c r="I15" s="185"/>
    </row>
    <row r="16" spans="1:9" ht="16.5" customHeight="1">
      <c r="A16" s="30"/>
      <c r="B16" s="5"/>
      <c r="C16" s="5"/>
      <c r="D16" s="5"/>
      <c r="E16" s="11" t="s">
        <v>11</v>
      </c>
      <c r="F16" s="12" t="s">
        <v>12</v>
      </c>
      <c r="G16" s="183"/>
      <c r="H16" s="183"/>
      <c r="I16" s="186"/>
    </row>
    <row r="17" spans="1:9" s="15" customFormat="1" ht="24" customHeight="1">
      <c r="A17" s="34" t="s">
        <v>13</v>
      </c>
      <c r="B17" s="13">
        <v>5185913</v>
      </c>
      <c r="C17" s="41" t="s">
        <v>14</v>
      </c>
      <c r="D17" s="14" t="s">
        <v>15</v>
      </c>
      <c r="E17" s="187" t="s">
        <v>16</v>
      </c>
      <c r="F17" s="199"/>
      <c r="G17" s="190" t="s">
        <v>17</v>
      </c>
      <c r="H17" s="193" t="s">
        <v>18</v>
      </c>
      <c r="I17" s="194"/>
    </row>
    <row r="18" spans="1:9" s="15" customFormat="1" ht="18.600000000000001" customHeight="1">
      <c r="A18" s="34"/>
      <c r="B18" s="13"/>
      <c r="C18" s="41"/>
      <c r="D18" s="14"/>
      <c r="E18" s="188"/>
      <c r="F18" s="200"/>
      <c r="G18" s="191"/>
      <c r="H18" s="195"/>
      <c r="I18" s="196"/>
    </row>
    <row r="19" spans="1:9" s="15" customFormat="1" ht="16.899999999999999" customHeight="1">
      <c r="A19" s="208" t="s">
        <v>19</v>
      </c>
      <c r="B19" s="209" t="s">
        <v>20</v>
      </c>
      <c r="C19" s="209"/>
      <c r="D19" s="14"/>
      <c r="E19" s="188"/>
      <c r="F19" s="199"/>
      <c r="G19" s="191"/>
      <c r="H19" s="195"/>
      <c r="I19" s="196"/>
    </row>
    <row r="20" spans="1:9" s="15" customFormat="1" ht="24.6" customHeight="1" thickBot="1">
      <c r="A20" s="208"/>
      <c r="B20" s="209"/>
      <c r="C20" s="209"/>
      <c r="D20" s="16"/>
      <c r="E20" s="189"/>
      <c r="F20" s="201"/>
      <c r="G20" s="192"/>
      <c r="H20" s="197"/>
      <c r="I20" s="198"/>
    </row>
    <row r="21" spans="1:9" s="15" customFormat="1" ht="21.6" customHeight="1" thickTop="1">
      <c r="A21" s="35" t="s">
        <v>21</v>
      </c>
      <c r="B21" s="17" t="s">
        <v>22</v>
      </c>
      <c r="C21" s="17"/>
      <c r="D21" s="18"/>
      <c r="E21" s="19"/>
      <c r="F21" s="19"/>
      <c r="G21" s="20"/>
      <c r="H21" s="1"/>
      <c r="I21" s="36"/>
    </row>
    <row r="22" spans="1:9" s="15" customFormat="1" ht="21" customHeight="1">
      <c r="A22" s="210" t="s">
        <v>23</v>
      </c>
      <c r="B22" s="169"/>
      <c r="C22" s="169"/>
      <c r="D22" s="169"/>
      <c r="E22" s="169"/>
      <c r="F22" s="169"/>
      <c r="G22" s="169"/>
      <c r="H22" s="169"/>
      <c r="I22" s="184"/>
    </row>
    <row r="23" spans="1:9" s="15" customFormat="1" ht="22.15" customHeight="1">
      <c r="A23" s="210" t="s">
        <v>24</v>
      </c>
      <c r="B23" s="169"/>
      <c r="C23" s="169"/>
      <c r="D23" s="169"/>
      <c r="E23" s="169"/>
      <c r="F23" s="169"/>
      <c r="G23" s="169"/>
      <c r="H23" s="169"/>
      <c r="I23" s="184"/>
    </row>
    <row r="24" spans="1:9" s="15" customFormat="1" ht="7.5" customHeight="1">
      <c r="A24" s="202" t="s">
        <v>283</v>
      </c>
      <c r="B24" s="203"/>
      <c r="C24" s="169" t="s">
        <v>25</v>
      </c>
      <c r="D24" s="169" t="s">
        <v>26</v>
      </c>
      <c r="E24" s="169"/>
      <c r="F24" s="169" t="s">
        <v>27</v>
      </c>
      <c r="G24" s="169"/>
      <c r="H24" s="169"/>
      <c r="I24" s="184"/>
    </row>
    <row r="25" spans="1:9" s="15" customFormat="1" ht="15.6" customHeight="1">
      <c r="A25" s="204"/>
      <c r="B25" s="205"/>
      <c r="C25" s="169"/>
      <c r="D25" s="169"/>
      <c r="E25" s="169"/>
      <c r="F25" s="169"/>
      <c r="G25" s="169"/>
      <c r="H25" s="169"/>
      <c r="I25" s="184"/>
    </row>
    <row r="26" spans="1:9" s="15" customFormat="1" ht="26.45" customHeight="1">
      <c r="A26" s="206"/>
      <c r="B26" s="207"/>
      <c r="C26" s="169"/>
      <c r="D26" s="169"/>
      <c r="E26" s="169"/>
      <c r="F26" s="183" t="s">
        <v>28</v>
      </c>
      <c r="G26" s="183"/>
      <c r="H26" s="183"/>
      <c r="I26" s="42" t="s">
        <v>29</v>
      </c>
    </row>
    <row r="27" spans="1:9" s="15" customFormat="1" ht="16.5" customHeight="1">
      <c r="A27" s="137"/>
      <c r="B27" s="138"/>
      <c r="C27" s="25"/>
      <c r="D27" s="160"/>
      <c r="E27" s="161"/>
      <c r="F27" s="171"/>
      <c r="G27" s="171"/>
      <c r="H27" s="171"/>
      <c r="I27" s="37"/>
    </row>
    <row r="28" spans="1:9" s="15" customFormat="1" ht="16.5" customHeight="1">
      <c r="A28" s="117"/>
      <c r="B28" s="211"/>
      <c r="C28" s="25"/>
      <c r="D28" s="123"/>
      <c r="E28" s="124"/>
      <c r="F28" s="170"/>
      <c r="G28" s="171"/>
      <c r="H28" s="171"/>
      <c r="I28" s="37"/>
    </row>
    <row r="29" spans="1:9" s="15" customFormat="1" ht="16.5" customHeight="1">
      <c r="A29" s="117"/>
      <c r="B29" s="118"/>
      <c r="C29" s="25"/>
      <c r="D29" s="123"/>
      <c r="E29" s="124"/>
      <c r="F29" s="125"/>
      <c r="G29" s="126"/>
      <c r="H29" s="126"/>
      <c r="I29" s="38"/>
    </row>
    <row r="30" spans="1:9" s="15" customFormat="1" ht="16.5" customHeight="1">
      <c r="A30" s="117"/>
      <c r="B30" s="118"/>
      <c r="C30" s="25"/>
      <c r="D30" s="123"/>
      <c r="E30" s="124"/>
      <c r="F30" s="125"/>
      <c r="G30" s="126"/>
      <c r="H30" s="126"/>
      <c r="I30" s="38"/>
    </row>
    <row r="31" spans="1:9" s="15" customFormat="1" ht="16.5" customHeight="1">
      <c r="A31" s="117"/>
      <c r="B31" s="118"/>
      <c r="C31" s="25"/>
      <c r="D31" s="123"/>
      <c r="E31" s="124"/>
      <c r="F31" s="125"/>
      <c r="G31" s="126"/>
      <c r="H31" s="126"/>
      <c r="I31" s="38"/>
    </row>
    <row r="32" spans="1:9" s="15" customFormat="1" ht="16.5" customHeight="1">
      <c r="A32" s="117"/>
      <c r="B32" s="118"/>
      <c r="C32" s="25"/>
      <c r="D32" s="123"/>
      <c r="E32" s="124"/>
      <c r="F32" s="125"/>
      <c r="G32" s="126"/>
      <c r="H32" s="126"/>
      <c r="I32" s="38"/>
    </row>
    <row r="33" spans="1:9" s="15" customFormat="1" ht="16.5" customHeight="1">
      <c r="A33" s="117"/>
      <c r="B33" s="118"/>
      <c r="C33" s="25"/>
      <c r="D33" s="123"/>
      <c r="E33" s="124"/>
      <c r="F33" s="125"/>
      <c r="G33" s="126"/>
      <c r="H33" s="126"/>
      <c r="I33" s="38"/>
    </row>
    <row r="34" spans="1:9" s="15" customFormat="1" ht="16.5" customHeight="1">
      <c r="A34" s="117"/>
      <c r="B34" s="118"/>
      <c r="C34" s="25"/>
      <c r="D34" s="123"/>
      <c r="E34" s="124"/>
      <c r="F34" s="125"/>
      <c r="G34" s="126"/>
      <c r="H34" s="126"/>
      <c r="I34" s="38"/>
    </row>
    <row r="35" spans="1:9" s="15" customFormat="1" ht="16.5" customHeight="1">
      <c r="A35" s="117"/>
      <c r="B35" s="118"/>
      <c r="C35" s="25"/>
      <c r="D35" s="123"/>
      <c r="E35" s="124"/>
      <c r="F35" s="125"/>
      <c r="G35" s="126"/>
      <c r="H35" s="126"/>
      <c r="I35" s="38"/>
    </row>
    <row r="36" spans="1:9" s="15" customFormat="1" ht="16.5" customHeight="1">
      <c r="A36" s="117"/>
      <c r="B36" s="118"/>
      <c r="C36" s="25"/>
      <c r="D36" s="123"/>
      <c r="E36" s="124"/>
      <c r="F36" s="125"/>
      <c r="G36" s="126"/>
      <c r="H36" s="126"/>
      <c r="I36" s="38"/>
    </row>
    <row r="37" spans="1:9" s="15" customFormat="1" ht="16.5" customHeight="1">
      <c r="A37" s="117"/>
      <c r="B37" s="118"/>
      <c r="C37" s="25"/>
      <c r="D37" s="123"/>
      <c r="E37" s="124"/>
      <c r="F37" s="125"/>
      <c r="G37" s="126"/>
      <c r="H37" s="126"/>
      <c r="I37" s="38"/>
    </row>
    <row r="38" spans="1:9" s="15" customFormat="1" ht="16.5" customHeight="1">
      <c r="A38" s="117"/>
      <c r="B38" s="118"/>
      <c r="C38" s="25"/>
      <c r="D38" s="123"/>
      <c r="E38" s="124"/>
      <c r="F38" s="125"/>
      <c r="G38" s="126"/>
      <c r="H38" s="126"/>
      <c r="I38" s="38"/>
    </row>
    <row r="39" spans="1:9" s="15" customFormat="1" ht="16.5" customHeight="1">
      <c r="A39" s="117"/>
      <c r="B39" s="118"/>
      <c r="C39" s="25"/>
      <c r="D39" s="123"/>
      <c r="E39" s="124"/>
      <c r="F39" s="125"/>
      <c r="G39" s="126"/>
      <c r="H39" s="126"/>
      <c r="I39" s="38"/>
    </row>
    <row r="40" spans="1:9" s="15" customFormat="1" ht="16.5" customHeight="1">
      <c r="A40" s="117"/>
      <c r="B40" s="118"/>
      <c r="C40" s="25"/>
      <c r="D40" s="123"/>
      <c r="E40" s="124"/>
      <c r="F40" s="125"/>
      <c r="G40" s="126"/>
      <c r="H40" s="126"/>
      <c r="I40" s="38"/>
    </row>
    <row r="41" spans="1:9" s="15" customFormat="1" ht="16.5" customHeight="1">
      <c r="A41" s="117"/>
      <c r="B41" s="118"/>
      <c r="C41" s="25"/>
      <c r="D41" s="123"/>
      <c r="E41" s="124"/>
      <c r="F41" s="125"/>
      <c r="G41" s="126"/>
      <c r="H41" s="126"/>
      <c r="I41" s="38"/>
    </row>
    <row r="42" spans="1:9" s="15" customFormat="1" ht="16.5" customHeight="1">
      <c r="A42" s="137"/>
      <c r="B42" s="138"/>
      <c r="C42" s="25"/>
      <c r="D42" s="160"/>
      <c r="E42" s="161"/>
      <c r="F42" s="125"/>
      <c r="G42" s="126"/>
      <c r="H42" s="126"/>
      <c r="I42" s="38"/>
    </row>
    <row r="43" spans="1:9" s="15" customFormat="1" ht="16.5" customHeight="1">
      <c r="A43" s="137"/>
      <c r="B43" s="138"/>
      <c r="C43" s="25"/>
      <c r="D43" s="160"/>
      <c r="E43" s="161"/>
      <c r="F43" s="125"/>
      <c r="G43" s="126"/>
      <c r="H43" s="126"/>
      <c r="I43" s="38"/>
    </row>
    <row r="44" spans="1:9" s="15" customFormat="1" ht="16.5" customHeight="1">
      <c r="A44" s="137"/>
      <c r="B44" s="138"/>
      <c r="C44" s="25"/>
      <c r="D44" s="160"/>
      <c r="E44" s="161"/>
      <c r="F44" s="125"/>
      <c r="G44" s="126"/>
      <c r="H44" s="126"/>
      <c r="I44" s="38"/>
    </row>
    <row r="45" spans="1:9" s="15" customFormat="1" ht="16.5" customHeight="1">
      <c r="A45" s="117"/>
      <c r="B45" s="118"/>
      <c r="C45" s="25"/>
      <c r="D45" s="160"/>
      <c r="E45" s="161"/>
      <c r="F45" s="125"/>
      <c r="G45" s="126"/>
      <c r="H45" s="126"/>
      <c r="I45" s="38"/>
    </row>
    <row r="46" spans="1:9" s="15" customFormat="1" ht="16.5" customHeight="1">
      <c r="A46" s="117"/>
      <c r="B46" s="118"/>
      <c r="C46" s="25"/>
      <c r="D46" s="123"/>
      <c r="E46" s="124"/>
      <c r="F46" s="125"/>
      <c r="G46" s="126"/>
      <c r="H46" s="126"/>
      <c r="I46" s="38"/>
    </row>
    <row r="47" spans="1:9" s="15" customFormat="1" ht="16.5" customHeight="1">
      <c r="A47" s="117"/>
      <c r="B47" s="118"/>
      <c r="C47" s="25"/>
      <c r="D47" s="123"/>
      <c r="E47" s="124"/>
      <c r="F47" s="125"/>
      <c r="G47" s="126"/>
      <c r="H47" s="126"/>
      <c r="I47" s="38"/>
    </row>
    <row r="48" spans="1:9" s="15" customFormat="1" ht="16.5" customHeight="1">
      <c r="A48" s="117"/>
      <c r="B48" s="118"/>
      <c r="C48" s="25"/>
      <c r="D48" s="123"/>
      <c r="E48" s="124"/>
      <c r="F48" s="125"/>
      <c r="G48" s="126"/>
      <c r="H48" s="126"/>
      <c r="I48" s="38"/>
    </row>
    <row r="49" spans="1:9" s="15" customFormat="1" ht="16.5" customHeight="1">
      <c r="A49" s="137"/>
      <c r="B49" s="138"/>
      <c r="C49" s="25"/>
      <c r="D49" s="123"/>
      <c r="E49" s="124"/>
      <c r="F49" s="125"/>
      <c r="G49" s="126"/>
      <c r="H49" s="126"/>
      <c r="I49" s="38"/>
    </row>
    <row r="50" spans="1:9" s="15" customFormat="1" ht="16.5" customHeight="1">
      <c r="A50" s="137"/>
      <c r="B50" s="138"/>
      <c r="C50" s="25"/>
      <c r="D50" s="123"/>
      <c r="E50" s="124"/>
      <c r="F50" s="125"/>
      <c r="G50" s="126"/>
      <c r="H50" s="126"/>
      <c r="I50" s="38"/>
    </row>
    <row r="51" spans="1:9" s="15" customFormat="1" ht="10.5" customHeight="1">
      <c r="A51" s="234"/>
      <c r="B51" s="152"/>
      <c r="C51" s="26"/>
      <c r="D51" s="21"/>
      <c r="E51" s="22"/>
      <c r="F51" s="23"/>
      <c r="G51" s="23"/>
      <c r="H51" s="23"/>
      <c r="I51" s="39"/>
    </row>
    <row r="52" spans="1:9" s="15" customFormat="1" ht="6" customHeight="1" thickBot="1">
      <c r="A52" s="127"/>
      <c r="B52" s="128"/>
      <c r="C52" s="8"/>
      <c r="D52" s="8"/>
      <c r="E52" s="8"/>
      <c r="F52" s="8"/>
      <c r="G52" s="8"/>
      <c r="H52" s="8"/>
      <c r="I52" s="40"/>
    </row>
    <row r="53" spans="1:9" s="15" customFormat="1" ht="35.450000000000003" customHeight="1" thickTop="1">
      <c r="A53" s="114" t="s">
        <v>284</v>
      </c>
      <c r="B53" s="115"/>
      <c r="C53" s="116"/>
      <c r="D53" s="121">
        <f>SUM(D27:E51)</f>
        <v>0</v>
      </c>
      <c r="E53" s="122"/>
      <c r="F53" s="119" t="str">
        <f>Apalabra(D53)</f>
        <v/>
      </c>
      <c r="G53" s="115"/>
      <c r="H53" s="115"/>
      <c r="I53" s="120"/>
    </row>
    <row r="54" spans="1:9" s="15" customFormat="1" ht="5.45" customHeight="1" thickBot="1">
      <c r="A54" s="33"/>
      <c r="B54" s="8"/>
      <c r="C54" s="8"/>
      <c r="D54" s="8"/>
      <c r="E54" s="8"/>
      <c r="F54" s="8"/>
      <c r="G54" s="8"/>
      <c r="H54" s="8"/>
      <c r="I54" s="40"/>
    </row>
    <row r="55" spans="1:9" s="15" customFormat="1" ht="24.6" customHeight="1" thickTop="1">
      <c r="A55" s="143" t="s">
        <v>349</v>
      </c>
      <c r="B55" s="135"/>
      <c r="C55" s="135"/>
      <c r="D55" s="135"/>
      <c r="E55" s="94" t="s">
        <v>30</v>
      </c>
      <c r="F55" s="141"/>
      <c r="G55" s="142"/>
      <c r="H55" s="94" t="s">
        <v>298</v>
      </c>
      <c r="I55" s="95"/>
    </row>
    <row r="56" spans="1:9" s="15" customFormat="1" ht="27.6" customHeight="1">
      <c r="A56" s="143"/>
      <c r="B56" s="135"/>
      <c r="C56" s="135"/>
      <c r="D56" s="144"/>
      <c r="E56" s="147"/>
      <c r="F56" s="148"/>
      <c r="G56" s="149"/>
      <c r="H56" s="147"/>
      <c r="I56" s="153"/>
    </row>
    <row r="57" spans="1:9" s="15" customFormat="1" ht="15" customHeight="1">
      <c r="A57" s="143"/>
      <c r="B57" s="135"/>
      <c r="C57" s="135"/>
      <c r="D57" s="144"/>
      <c r="E57" s="147"/>
      <c r="F57" s="148"/>
      <c r="G57" s="149"/>
      <c r="H57" s="147"/>
      <c r="I57" s="153"/>
    </row>
    <row r="58" spans="1:9" s="15" customFormat="1" ht="15" customHeight="1">
      <c r="A58" s="143"/>
      <c r="B58" s="135"/>
      <c r="C58" s="135"/>
      <c r="D58" s="144"/>
      <c r="E58" s="147"/>
      <c r="F58" s="148"/>
      <c r="G58" s="149"/>
      <c r="H58" s="147"/>
      <c r="I58" s="153"/>
    </row>
    <row r="59" spans="1:9" s="15" customFormat="1" ht="15" customHeight="1">
      <c r="A59" s="143"/>
      <c r="B59" s="135"/>
      <c r="C59" s="135"/>
      <c r="D59" s="144"/>
      <c r="E59" s="147"/>
      <c r="F59" s="148"/>
      <c r="G59" s="149"/>
      <c r="H59" s="147"/>
      <c r="I59" s="153"/>
    </row>
    <row r="60" spans="1:9" s="15" customFormat="1" ht="43.5" customHeight="1">
      <c r="A60" s="145"/>
      <c r="B60" s="136"/>
      <c r="C60" s="136"/>
      <c r="D60" s="146"/>
      <c r="E60" s="150"/>
      <c r="F60" s="151"/>
      <c r="G60" s="152"/>
      <c r="H60" s="150"/>
      <c r="I60" s="154"/>
    </row>
    <row r="61" spans="1:9" s="24" customFormat="1" ht="83.25" customHeight="1">
      <c r="A61" s="155" t="s">
        <v>286</v>
      </c>
      <c r="B61" s="156"/>
      <c r="C61" s="156"/>
      <c r="D61" s="157"/>
      <c r="E61" s="139" t="s">
        <v>348</v>
      </c>
      <c r="F61" s="139"/>
      <c r="G61" s="140"/>
      <c r="H61" s="158"/>
      <c r="I61" s="159"/>
    </row>
    <row r="62" spans="1:9" s="24" customFormat="1" ht="9.75" customHeight="1" thickBot="1">
      <c r="A62" s="129"/>
      <c r="B62" s="130"/>
      <c r="C62" s="130"/>
      <c r="D62" s="130"/>
      <c r="E62" s="130"/>
      <c r="F62" s="130"/>
      <c r="G62" s="130"/>
      <c r="H62" s="130"/>
      <c r="I62" s="131"/>
    </row>
    <row r="63" spans="1:9" s="15" customFormat="1" ht="42.75" customHeight="1" thickTop="1">
      <c r="A63" s="132"/>
      <c r="B63" s="133"/>
      <c r="C63" s="133"/>
      <c r="D63" s="134"/>
      <c r="E63" s="133"/>
      <c r="F63" s="133"/>
      <c r="G63" s="133"/>
      <c r="H63" s="94" t="s">
        <v>298</v>
      </c>
      <c r="I63" s="95"/>
    </row>
    <row r="64" spans="1:9" s="15" customFormat="1" ht="85.5" customHeight="1">
      <c r="A64" s="96"/>
      <c r="B64" s="97"/>
      <c r="C64" s="97"/>
      <c r="D64" s="98"/>
      <c r="E64" s="135"/>
      <c r="F64" s="135"/>
      <c r="G64" s="135"/>
      <c r="H64" s="99"/>
      <c r="I64" s="100"/>
    </row>
    <row r="65" spans="1:9" s="15" customFormat="1" ht="64.5" customHeight="1">
      <c r="A65" s="101"/>
      <c r="B65" s="102"/>
      <c r="C65" s="102"/>
      <c r="D65" s="103"/>
      <c r="E65" s="136"/>
      <c r="F65" s="136"/>
      <c r="G65" s="136"/>
      <c r="H65" s="99"/>
      <c r="I65" s="100"/>
    </row>
    <row r="66" spans="1:9" s="15" customFormat="1" ht="24" customHeight="1">
      <c r="A66" s="104" t="s">
        <v>31</v>
      </c>
      <c r="B66" s="105"/>
      <c r="C66" s="105"/>
      <c r="D66" s="105"/>
      <c r="E66" s="106"/>
      <c r="F66" s="106"/>
      <c r="G66" s="106"/>
      <c r="H66" s="106"/>
      <c r="I66" s="107"/>
    </row>
    <row r="67" spans="1:9" s="15" customFormat="1" ht="3.75" customHeight="1">
      <c r="A67" s="89"/>
      <c r="B67" s="90"/>
      <c r="C67" s="90"/>
      <c r="D67" s="91"/>
      <c r="E67" s="91"/>
      <c r="F67" s="91"/>
      <c r="G67" s="91"/>
      <c r="H67" s="90"/>
      <c r="I67" s="92"/>
    </row>
    <row r="68" spans="1:9" s="15" customFormat="1" ht="25.9" customHeight="1">
      <c r="A68" s="108" t="s">
        <v>309</v>
      </c>
      <c r="B68" s="109"/>
      <c r="C68" s="109"/>
      <c r="D68" s="110"/>
      <c r="E68" s="212" t="s">
        <v>310</v>
      </c>
      <c r="F68" s="109"/>
      <c r="G68" s="109"/>
      <c r="H68" s="109"/>
      <c r="I68" s="213"/>
    </row>
    <row r="69" spans="1:9" s="15" customFormat="1" ht="23.25" customHeight="1">
      <c r="A69" s="111"/>
      <c r="B69" s="112"/>
      <c r="C69" s="112"/>
      <c r="D69" s="113"/>
      <c r="E69" s="214"/>
      <c r="F69" s="112"/>
      <c r="G69" s="112"/>
      <c r="H69" s="112"/>
      <c r="I69" s="215"/>
    </row>
    <row r="70" spans="1:9" s="15" customFormat="1" ht="23.25" customHeight="1">
      <c r="A70" s="216"/>
      <c r="B70" s="217"/>
      <c r="C70" s="217"/>
      <c r="D70" s="218"/>
      <c r="E70" s="225"/>
      <c r="F70" s="226"/>
      <c r="G70" s="226"/>
      <c r="H70" s="226"/>
      <c r="I70" s="227"/>
    </row>
    <row r="71" spans="1:9" ht="23.25" customHeight="1">
      <c r="A71" s="219"/>
      <c r="B71" s="220"/>
      <c r="C71" s="220"/>
      <c r="D71" s="221"/>
      <c r="E71" s="228"/>
      <c r="F71" s="229"/>
      <c r="G71" s="229"/>
      <c r="H71" s="229"/>
      <c r="I71" s="230"/>
    </row>
    <row r="72" spans="1:9">
      <c r="A72" s="219"/>
      <c r="B72" s="220"/>
      <c r="C72" s="220"/>
      <c r="D72" s="221"/>
      <c r="E72" s="228"/>
      <c r="F72" s="229"/>
      <c r="G72" s="229"/>
      <c r="H72" s="229"/>
      <c r="I72" s="230"/>
    </row>
    <row r="73" spans="1:9" ht="42.75" customHeight="1" thickBot="1">
      <c r="A73" s="222"/>
      <c r="B73" s="223"/>
      <c r="C73" s="223"/>
      <c r="D73" s="224"/>
      <c r="E73" s="231"/>
      <c r="F73" s="232"/>
      <c r="G73" s="232"/>
      <c r="H73" s="232"/>
      <c r="I73" s="233"/>
    </row>
  </sheetData>
  <sheetProtection formatCells="0" formatColumns="0" formatRows="0" insertColumns="0" insertRows="0" deleteColumns="0" deleteRows="0" sort="0" autoFilter="0" pivotTables="0"/>
  <mergeCells count="127">
    <mergeCell ref="F33:H33"/>
    <mergeCell ref="F34:H34"/>
    <mergeCell ref="F35:H35"/>
    <mergeCell ref="E68:I69"/>
    <mergeCell ref="A70:D73"/>
    <mergeCell ref="E70:I73"/>
    <mergeCell ref="A38:B38"/>
    <mergeCell ref="A39:B39"/>
    <mergeCell ref="D47:E47"/>
    <mergeCell ref="A42:B42"/>
    <mergeCell ref="D38:E38"/>
    <mergeCell ref="A40:B40"/>
    <mergeCell ref="A41:B41"/>
    <mergeCell ref="D43:E43"/>
    <mergeCell ref="D44:E44"/>
    <mergeCell ref="D46:E46"/>
    <mergeCell ref="D45:E45"/>
    <mergeCell ref="D40:E40"/>
    <mergeCell ref="A48:B48"/>
    <mergeCell ref="A51:B51"/>
    <mergeCell ref="F43:H43"/>
    <mergeCell ref="F45:H45"/>
    <mergeCell ref="F49:H49"/>
    <mergeCell ref="D49:E49"/>
    <mergeCell ref="A29:B29"/>
    <mergeCell ref="E17:E20"/>
    <mergeCell ref="G17:G20"/>
    <mergeCell ref="H17:I20"/>
    <mergeCell ref="F17:F18"/>
    <mergeCell ref="F19:F20"/>
    <mergeCell ref="A24:B26"/>
    <mergeCell ref="F30:H30"/>
    <mergeCell ref="F31:H31"/>
    <mergeCell ref="A19:A20"/>
    <mergeCell ref="B19:C20"/>
    <mergeCell ref="D28:E28"/>
    <mergeCell ref="F26:H26"/>
    <mergeCell ref="D27:E27"/>
    <mergeCell ref="F27:H27"/>
    <mergeCell ref="A27:B27"/>
    <mergeCell ref="A22:I22"/>
    <mergeCell ref="A23:I23"/>
    <mergeCell ref="A28:B28"/>
    <mergeCell ref="A43:B43"/>
    <mergeCell ref="A47:B47"/>
    <mergeCell ref="A49:B49"/>
    <mergeCell ref="H1:I1"/>
    <mergeCell ref="C2:I2"/>
    <mergeCell ref="C3:I3"/>
    <mergeCell ref="A4:E4"/>
    <mergeCell ref="A6:I6"/>
    <mergeCell ref="C24:C26"/>
    <mergeCell ref="D24:E26"/>
    <mergeCell ref="F28:H28"/>
    <mergeCell ref="F29:H29"/>
    <mergeCell ref="D29:E29"/>
    <mergeCell ref="E9:G9"/>
    <mergeCell ref="H9:I9"/>
    <mergeCell ref="A12:C12"/>
    <mergeCell ref="E12:I12"/>
    <mergeCell ref="E13:I14"/>
    <mergeCell ref="A15:D15"/>
    <mergeCell ref="G15:G16"/>
    <mergeCell ref="C10:G10"/>
    <mergeCell ref="F24:I25"/>
    <mergeCell ref="H15:I16"/>
    <mergeCell ref="D33:E33"/>
    <mergeCell ref="A37:B37"/>
    <mergeCell ref="D30:E30"/>
    <mergeCell ref="D31:E31"/>
    <mergeCell ref="D32:E32"/>
    <mergeCell ref="D34:E34"/>
    <mergeCell ref="D39:E39"/>
    <mergeCell ref="A30:B30"/>
    <mergeCell ref="A31:B31"/>
    <mergeCell ref="A32:B32"/>
    <mergeCell ref="A33:B33"/>
    <mergeCell ref="A34:B34"/>
    <mergeCell ref="A35:B35"/>
    <mergeCell ref="A36:B36"/>
    <mergeCell ref="D35:E35"/>
    <mergeCell ref="F32:H32"/>
    <mergeCell ref="A50:B50"/>
    <mergeCell ref="D37:E37"/>
    <mergeCell ref="A44:B44"/>
    <mergeCell ref="E61:G61"/>
    <mergeCell ref="E55:G55"/>
    <mergeCell ref="A55:D55"/>
    <mergeCell ref="H55:I55"/>
    <mergeCell ref="A56:D60"/>
    <mergeCell ref="E56:G60"/>
    <mergeCell ref="H56:I60"/>
    <mergeCell ref="A61:D61"/>
    <mergeCell ref="H61:I61"/>
    <mergeCell ref="F44:H44"/>
    <mergeCell ref="F36:H36"/>
    <mergeCell ref="F37:H37"/>
    <mergeCell ref="F39:H39"/>
    <mergeCell ref="F40:H40"/>
    <mergeCell ref="F42:H42"/>
    <mergeCell ref="F38:H38"/>
    <mergeCell ref="F41:H41"/>
    <mergeCell ref="D42:E42"/>
    <mergeCell ref="D41:E41"/>
    <mergeCell ref="D36:E36"/>
    <mergeCell ref="H63:I63"/>
    <mergeCell ref="A64:D64"/>
    <mergeCell ref="H64:I64"/>
    <mergeCell ref="A65:D65"/>
    <mergeCell ref="H65:I65"/>
    <mergeCell ref="A66:I66"/>
    <mergeCell ref="A68:D69"/>
    <mergeCell ref="A53:C53"/>
    <mergeCell ref="A45:B45"/>
    <mergeCell ref="A46:B46"/>
    <mergeCell ref="F53:I53"/>
    <mergeCell ref="D53:E53"/>
    <mergeCell ref="D50:E50"/>
    <mergeCell ref="D48:E48"/>
    <mergeCell ref="F47:H47"/>
    <mergeCell ref="F48:H48"/>
    <mergeCell ref="F50:H50"/>
    <mergeCell ref="F46:H46"/>
    <mergeCell ref="A52:B52"/>
    <mergeCell ref="A62:I62"/>
    <mergeCell ref="A63:D63"/>
    <mergeCell ref="E63:G65"/>
  </mergeCells>
  <conditionalFormatting sqref="H61:I61">
    <cfRule type="containsErrors" dxfId="5" priority="2">
      <formula>ISERROR(H61)</formula>
    </cfRule>
    <cfRule type="cellIs" dxfId="4" priority="3" operator="equal">
      <formula>0</formula>
    </cfRule>
  </conditionalFormatting>
  <conditionalFormatting sqref="H65:I65">
    <cfRule type="containsErrors" dxfId="3" priority="1">
      <formula>ISERROR(H65)</formula>
    </cfRule>
  </conditionalFormatting>
  <pageMargins left="0.35" right="0.46" top="0.61" bottom="0.61" header="0.3" footer="0.3"/>
  <pageSetup scale="4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ERROR DE SELECCION" error="FAVOR DE SELECCIONAR LA PARTIDA" promptTitle="LISTA DE PARTDA">
          <x14:formula1>
            <xm:f>Hoja3!$B$2:$B$249</xm:f>
          </x14:formula1>
          <xm:sqref>C27:C51</xm:sqref>
        </x14:dataValidation>
        <x14:dataValidation type="list" allowBlank="1" showInputMessage="1" showErrorMessage="1">
          <x14:formula1>
            <xm:f>Hoja1!$F$2:$F$30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G14"/>
  <sheetViews>
    <sheetView zoomScale="80" zoomScaleNormal="80" workbookViewId="0">
      <selection activeCell="D11" sqref="D11"/>
    </sheetView>
  </sheetViews>
  <sheetFormatPr baseColWidth="10" defaultColWidth="11.5703125" defaultRowHeight="15"/>
  <cols>
    <col min="1" max="1" width="2.42578125" customWidth="1"/>
    <col min="2" max="2" width="1.7109375" customWidth="1"/>
    <col min="3" max="3" width="45.7109375" customWidth="1"/>
    <col min="4" max="4" width="27.5703125" style="67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>
      <c r="A1" s="43"/>
      <c r="B1" s="44"/>
      <c r="C1" s="44"/>
      <c r="D1" s="45"/>
      <c r="E1" s="44"/>
      <c r="F1" s="44"/>
      <c r="G1" s="46"/>
    </row>
    <row r="2" spans="1:7" s="53" customFormat="1" ht="7.5" customHeight="1">
      <c r="A2" s="47"/>
      <c r="B2" s="48"/>
      <c r="C2" s="49"/>
      <c r="D2" s="50"/>
      <c r="E2" s="49"/>
      <c r="F2" s="51"/>
      <c r="G2" s="52"/>
    </row>
    <row r="3" spans="1:7" s="53" customFormat="1" ht="23.25">
      <c r="A3" s="47"/>
      <c r="B3" s="47"/>
      <c r="C3" s="54" t="s">
        <v>288</v>
      </c>
      <c r="D3" s="235"/>
      <c r="E3" s="236"/>
      <c r="F3" s="52"/>
      <c r="G3" s="52"/>
    </row>
    <row r="4" spans="1:7" s="53" customFormat="1" ht="23.25">
      <c r="A4" s="47"/>
      <c r="B4" s="47"/>
      <c r="C4" s="55" t="s">
        <v>289</v>
      </c>
      <c r="D4" s="235"/>
      <c r="E4" s="236"/>
      <c r="F4" s="52"/>
      <c r="G4" s="52"/>
    </row>
    <row r="5" spans="1:7" s="53" customFormat="1" ht="23.25">
      <c r="A5" s="47"/>
      <c r="B5" s="47"/>
      <c r="C5" s="54" t="s">
        <v>290</v>
      </c>
      <c r="D5" s="235"/>
      <c r="E5" s="236"/>
      <c r="F5" s="52"/>
      <c r="G5" s="52"/>
    </row>
    <row r="6" spans="1:7" s="53" customFormat="1" ht="40.5">
      <c r="A6" s="47"/>
      <c r="B6" s="47"/>
      <c r="C6" s="56" t="s">
        <v>291</v>
      </c>
      <c r="D6" s="241"/>
      <c r="E6" s="242"/>
      <c r="F6" s="52"/>
      <c r="G6" s="52"/>
    </row>
    <row r="7" spans="1:7" s="53" customFormat="1" ht="23.25">
      <c r="A7" s="47"/>
      <c r="B7" s="47"/>
      <c r="C7" s="54" t="s">
        <v>292</v>
      </c>
      <c r="D7" s="241"/>
      <c r="E7" s="242"/>
      <c r="F7" s="52"/>
      <c r="G7" s="52"/>
    </row>
    <row r="8" spans="1:7" s="53" customFormat="1" ht="28.5">
      <c r="A8" s="47"/>
      <c r="B8" s="47"/>
      <c r="C8" s="57" t="s">
        <v>293</v>
      </c>
      <c r="D8" s="243"/>
      <c r="E8" s="244"/>
      <c r="F8" s="52"/>
      <c r="G8" s="52"/>
    </row>
    <row r="9" spans="1:7" s="53" customFormat="1" ht="23.25">
      <c r="A9" s="47"/>
      <c r="B9" s="47"/>
      <c r="C9" s="54" t="s">
        <v>294</v>
      </c>
      <c r="D9" s="235"/>
      <c r="E9" s="236"/>
      <c r="F9" s="52"/>
      <c r="G9" s="52"/>
    </row>
    <row r="10" spans="1:7" s="53" customFormat="1" ht="23.25">
      <c r="A10" s="47"/>
      <c r="B10" s="47"/>
      <c r="C10" s="54" t="s">
        <v>295</v>
      </c>
      <c r="D10" s="237"/>
      <c r="E10" s="238"/>
      <c r="F10" s="52"/>
      <c r="G10" s="52"/>
    </row>
    <row r="11" spans="1:7" s="53" customFormat="1" ht="26.25">
      <c r="A11" s="47"/>
      <c r="B11" s="47"/>
      <c r="C11" s="54" t="s">
        <v>296</v>
      </c>
      <c r="D11" s="58"/>
      <c r="E11" s="59" t="str">
        <f>Apalabra(D11)</f>
        <v/>
      </c>
      <c r="F11" s="52"/>
      <c r="G11" s="52"/>
    </row>
    <row r="12" spans="1:7" s="53" customFormat="1" ht="31.5">
      <c r="A12" s="47"/>
      <c r="B12" s="47"/>
      <c r="C12" s="60" t="s">
        <v>297</v>
      </c>
      <c r="D12" s="239"/>
      <c r="E12" s="240"/>
      <c r="F12" s="52"/>
      <c r="G12" s="52"/>
    </row>
    <row r="13" spans="1:7" ht="15.75" thickBot="1">
      <c r="A13" s="61"/>
      <c r="B13" s="62"/>
      <c r="C13" s="63"/>
      <c r="D13" s="64"/>
      <c r="E13" s="63"/>
      <c r="F13" s="65"/>
      <c r="G13" s="66"/>
    </row>
    <row r="14" spans="1:7" ht="15.75" thickBot="1">
      <c r="A14" s="62"/>
      <c r="B14" s="63"/>
      <c r="C14" s="63"/>
      <c r="D14" s="64"/>
      <c r="E14" s="63"/>
      <c r="F14" s="63"/>
      <c r="G14" s="65"/>
    </row>
  </sheetData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2" priority="3">
      <formula>ISERROR(D4)</formula>
    </cfRule>
  </conditionalFormatting>
  <conditionalFormatting sqref="D5:E5">
    <cfRule type="containsErrors" dxfId="1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66BD8EE-27A5-47FB-812B-BA4C7290826F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2:F25"/>
  <sheetViews>
    <sheetView zoomScaleNormal="100" workbookViewId="0">
      <selection activeCell="D13" sqref="D13"/>
    </sheetView>
  </sheetViews>
  <sheetFormatPr baseColWidth="10" defaultColWidth="11.5703125" defaultRowHeight="1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>
      <c r="E2" s="245"/>
      <c r="F2" s="245"/>
    </row>
    <row r="4" spans="1:6" ht="18.75">
      <c r="C4" s="246"/>
      <c r="D4" s="246"/>
      <c r="E4" s="246"/>
    </row>
    <row r="6" spans="1:6" ht="18">
      <c r="A6" s="75" t="s">
        <v>300</v>
      </c>
    </row>
    <row r="7" spans="1:6" ht="18">
      <c r="A7" s="75"/>
    </row>
    <row r="8" spans="1:6" ht="18">
      <c r="A8" s="75"/>
    </row>
    <row r="9" spans="1:6" ht="18">
      <c r="A9" s="76" t="s">
        <v>301</v>
      </c>
      <c r="B9" s="247" t="s">
        <v>302</v>
      </c>
      <c r="C9" s="247"/>
      <c r="D9" s="247"/>
      <c r="E9" s="247"/>
      <c r="F9" s="247"/>
    </row>
    <row r="10" spans="1:6" ht="18.75">
      <c r="A10" s="248" t="s">
        <v>303</v>
      </c>
      <c r="B10" s="246"/>
      <c r="C10" s="246"/>
      <c r="D10" s="246"/>
      <c r="E10" s="246"/>
      <c r="F10" s="249"/>
    </row>
    <row r="11" spans="1:6">
      <c r="A11" s="250" t="s">
        <v>304</v>
      </c>
      <c r="B11" s="251"/>
      <c r="C11" s="254" t="s">
        <v>29</v>
      </c>
      <c r="D11" s="256" t="s">
        <v>305</v>
      </c>
      <c r="E11" s="258" t="s">
        <v>306</v>
      </c>
      <c r="F11" s="259"/>
    </row>
    <row r="12" spans="1:6">
      <c r="A12" s="252"/>
      <c r="B12" s="253"/>
      <c r="C12" s="255"/>
      <c r="D12" s="257"/>
      <c r="E12" s="260"/>
      <c r="F12" s="261"/>
    </row>
    <row r="13" spans="1:6" ht="33.75" customHeight="1">
      <c r="A13" s="262"/>
      <c r="B13" s="262"/>
      <c r="C13" s="77"/>
      <c r="D13" s="93"/>
      <c r="E13" s="263"/>
      <c r="F13" s="264"/>
    </row>
    <row r="14" spans="1:6" ht="30.75" customHeight="1">
      <c r="A14" s="265"/>
      <c r="B14" s="266"/>
      <c r="C14" s="77"/>
      <c r="D14" s="93"/>
      <c r="E14" s="263"/>
      <c r="F14" s="264"/>
    </row>
    <row r="15" spans="1:6" ht="33" customHeight="1">
      <c r="A15" s="265"/>
      <c r="B15" s="266"/>
      <c r="C15" s="77"/>
      <c r="D15" s="93"/>
      <c r="E15" s="263"/>
      <c r="F15" s="264"/>
    </row>
    <row r="16" spans="1:6" ht="39.75" customHeight="1">
      <c r="A16" s="265"/>
      <c r="B16" s="266"/>
      <c r="C16" s="77"/>
      <c r="D16" s="93"/>
      <c r="E16" s="263"/>
      <c r="F16" s="264"/>
    </row>
    <row r="17" spans="1:6" ht="24.75" customHeight="1">
      <c r="A17" s="262"/>
      <c r="B17" s="262"/>
      <c r="C17" s="77"/>
      <c r="D17" s="93"/>
      <c r="E17" s="263"/>
      <c r="F17" s="264"/>
    </row>
    <row r="18" spans="1:6" ht="24.75" customHeight="1">
      <c r="A18" s="262"/>
      <c r="B18" s="262"/>
      <c r="C18" s="77"/>
      <c r="D18" s="93"/>
      <c r="E18" s="263"/>
      <c r="F18" s="264"/>
    </row>
    <row r="19" spans="1:6" ht="24.75" customHeight="1">
      <c r="A19" s="262"/>
      <c r="B19" s="262"/>
      <c r="C19" s="77"/>
      <c r="D19" s="93"/>
      <c r="E19" s="263"/>
      <c r="F19" s="264"/>
    </row>
    <row r="20" spans="1:6" ht="15.75" thickBot="1">
      <c r="E20" s="78" t="s">
        <v>307</v>
      </c>
      <c r="F20" s="79">
        <f>SUM(D13:D19)</f>
        <v>0</v>
      </c>
    </row>
    <row r="21" spans="1:6" ht="26.25" customHeight="1">
      <c r="A21" s="80" t="s">
        <v>308</v>
      </c>
      <c r="B21" s="270" t="str">
        <f>Apalabra(F20)</f>
        <v/>
      </c>
      <c r="C21" s="271"/>
      <c r="D21" s="271"/>
      <c r="E21" s="271"/>
      <c r="F21" s="271"/>
    </row>
    <row r="22" spans="1:6" ht="16.5">
      <c r="A22" s="81"/>
    </row>
    <row r="24" spans="1:6" ht="16.5">
      <c r="A24" s="82"/>
      <c r="B24" s="82"/>
    </row>
    <row r="25" spans="1:6" ht="16.5">
      <c r="A25" s="267"/>
      <c r="B25" s="268"/>
      <c r="C25" s="268"/>
      <c r="D25" s="268"/>
      <c r="E25" s="268"/>
      <c r="F25" s="269"/>
    </row>
  </sheetData>
  <sheetProtection formatCells="0" formatColumns="0" formatRows="0" insertColumns="0" insertRows="0" deleteColumns="0" deleteRows="0" sort="0" autoFilter="0" pivotTables="0"/>
  <mergeCells count="24"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  <mergeCell ref="A13:B13"/>
    <mergeCell ref="E13:F13"/>
    <mergeCell ref="A14:B14"/>
    <mergeCell ref="E14:F14"/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</mergeCells>
  <pageMargins left="0.7" right="0.7" top="0.75" bottom="0.75" header="0.3" footer="0.3"/>
  <pageSetup scale="61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30"/>
  <sheetViews>
    <sheetView zoomScale="60" zoomScaleNormal="60" workbookViewId="0">
      <selection activeCell="A4" sqref="A4"/>
    </sheetView>
  </sheetViews>
  <sheetFormatPr baseColWidth="10" defaultRowHeight="15"/>
  <cols>
    <col min="1" max="1" width="33.5703125" style="69" bestFit="1" customWidth="1"/>
    <col min="6" max="6" width="18.140625" bestFit="1" customWidth="1"/>
    <col min="7" max="7" width="30" style="69" customWidth="1"/>
  </cols>
  <sheetData>
    <row r="1" spans="1:7">
      <c r="F1" s="83" t="s">
        <v>299</v>
      </c>
      <c r="G1" s="84" t="s">
        <v>298</v>
      </c>
    </row>
    <row r="2" spans="1:7" ht="130.5" customHeight="1" thickBot="1">
      <c r="A2" s="88" t="s">
        <v>287</v>
      </c>
      <c r="B2" s="71"/>
      <c r="C2" s="72"/>
      <c r="F2" s="85" t="s">
        <v>312</v>
      </c>
      <c r="G2" s="86" t="s">
        <v>340</v>
      </c>
    </row>
    <row r="3" spans="1:7" ht="153.75" customHeight="1" thickTop="1" thickBot="1">
      <c r="A3" s="68" t="s">
        <v>348</v>
      </c>
      <c r="B3" s="74"/>
      <c r="C3" s="74"/>
      <c r="F3" s="83" t="s">
        <v>313</v>
      </c>
      <c r="G3" s="73" t="s">
        <v>341</v>
      </c>
    </row>
    <row r="4" spans="1:7" ht="15.75" thickTop="1">
      <c r="F4" s="85" t="s">
        <v>314</v>
      </c>
      <c r="G4" s="73"/>
    </row>
    <row r="5" spans="1:7" ht="76.5">
      <c r="F5" s="83" t="s">
        <v>315</v>
      </c>
      <c r="G5" s="73" t="s">
        <v>342</v>
      </c>
    </row>
    <row r="6" spans="1:7" ht="59.25" customHeight="1">
      <c r="F6" s="85" t="s">
        <v>316</v>
      </c>
      <c r="G6" s="73" t="s">
        <v>343</v>
      </c>
    </row>
    <row r="7" spans="1:7" ht="75">
      <c r="F7" s="83" t="s">
        <v>317</v>
      </c>
      <c r="G7" s="86" t="s">
        <v>340</v>
      </c>
    </row>
    <row r="8" spans="1:7" ht="75">
      <c r="F8" s="83" t="s">
        <v>318</v>
      </c>
      <c r="G8" s="86" t="s">
        <v>340</v>
      </c>
    </row>
    <row r="9" spans="1:7" ht="76.5">
      <c r="F9" s="85" t="s">
        <v>319</v>
      </c>
      <c r="G9" s="73" t="s">
        <v>342</v>
      </c>
    </row>
    <row r="10" spans="1:7" ht="76.5">
      <c r="F10" s="83" t="s">
        <v>320</v>
      </c>
      <c r="G10" s="73" t="s">
        <v>342</v>
      </c>
    </row>
    <row r="11" spans="1:7" ht="76.5">
      <c r="F11" s="85" t="s">
        <v>321</v>
      </c>
      <c r="G11" s="73" t="s">
        <v>342</v>
      </c>
    </row>
    <row r="12" spans="1:7" ht="76.5">
      <c r="F12" s="83" t="s">
        <v>322</v>
      </c>
      <c r="G12" s="73" t="s">
        <v>342</v>
      </c>
    </row>
    <row r="13" spans="1:7" ht="68.25" customHeight="1">
      <c r="F13" s="85" t="s">
        <v>323</v>
      </c>
      <c r="G13" s="73" t="s">
        <v>342</v>
      </c>
    </row>
    <row r="14" spans="1:7" ht="48" customHeight="1">
      <c r="F14" s="83" t="s">
        <v>324</v>
      </c>
      <c r="G14" s="73" t="s">
        <v>343</v>
      </c>
    </row>
    <row r="15" spans="1:7" ht="76.5">
      <c r="F15" s="85" t="s">
        <v>325</v>
      </c>
      <c r="G15" s="73" t="s">
        <v>343</v>
      </c>
    </row>
    <row r="16" spans="1:7" ht="76.5">
      <c r="F16" s="83" t="s">
        <v>326</v>
      </c>
      <c r="G16" s="73" t="s">
        <v>342</v>
      </c>
    </row>
    <row r="17" spans="6:7" ht="76.5">
      <c r="F17" s="85" t="s">
        <v>327</v>
      </c>
      <c r="G17" s="73" t="s">
        <v>342</v>
      </c>
    </row>
    <row r="18" spans="6:7" ht="76.5">
      <c r="F18" s="83" t="s">
        <v>328</v>
      </c>
      <c r="G18" s="73" t="s">
        <v>342</v>
      </c>
    </row>
    <row r="19" spans="6:7" ht="76.5">
      <c r="F19" s="85" t="s">
        <v>329</v>
      </c>
      <c r="G19" s="73" t="s">
        <v>343</v>
      </c>
    </row>
    <row r="20" spans="6:7" ht="76.5">
      <c r="F20" s="83" t="s">
        <v>330</v>
      </c>
      <c r="G20" s="73" t="s">
        <v>343</v>
      </c>
    </row>
    <row r="21" spans="6:7" ht="76.5">
      <c r="F21" s="85" t="s">
        <v>331</v>
      </c>
      <c r="G21" s="73" t="s">
        <v>343</v>
      </c>
    </row>
    <row r="22" spans="6:7" ht="76.5">
      <c r="F22" s="83" t="s">
        <v>332</v>
      </c>
      <c r="G22" s="73" t="s">
        <v>343</v>
      </c>
    </row>
    <row r="23" spans="6:7" ht="76.5">
      <c r="F23" s="85" t="s">
        <v>336</v>
      </c>
      <c r="G23" s="73" t="s">
        <v>342</v>
      </c>
    </row>
    <row r="24" spans="6:7" ht="76.5">
      <c r="F24" s="85" t="s">
        <v>337</v>
      </c>
      <c r="G24" s="73" t="s">
        <v>342</v>
      </c>
    </row>
    <row r="25" spans="6:7" ht="76.5">
      <c r="F25" s="83" t="s">
        <v>338</v>
      </c>
      <c r="G25" s="73" t="s">
        <v>343</v>
      </c>
    </row>
    <row r="26" spans="6:7" ht="76.5">
      <c r="F26" s="87" t="s">
        <v>339</v>
      </c>
      <c r="G26" s="73" t="s">
        <v>342</v>
      </c>
    </row>
    <row r="27" spans="6:7" ht="75">
      <c r="F27" s="87" t="s">
        <v>333</v>
      </c>
      <c r="G27" s="86" t="s">
        <v>340</v>
      </c>
    </row>
    <row r="28" spans="6:7" ht="76.5">
      <c r="F28" s="83" t="s">
        <v>334</v>
      </c>
      <c r="G28" s="73" t="s">
        <v>342</v>
      </c>
    </row>
    <row r="29" spans="6:7" ht="76.5">
      <c r="F29" s="83" t="s">
        <v>334</v>
      </c>
      <c r="G29" s="73" t="s">
        <v>342</v>
      </c>
    </row>
    <row r="30" spans="6:7" ht="76.5">
      <c r="F30" s="85" t="s">
        <v>335</v>
      </c>
      <c r="G30" s="73" t="s">
        <v>342</v>
      </c>
    </row>
  </sheetData>
  <autoFilter ref="F1:G3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47"/>
  <sheetViews>
    <sheetView workbookViewId="0">
      <selection activeCell="A2" sqref="A2:A25"/>
    </sheetView>
  </sheetViews>
  <sheetFormatPr baseColWidth="10" defaultRowHeight="15"/>
  <cols>
    <col min="1" max="1" width="23.5703125" style="3" bestFit="1" customWidth="1"/>
    <col min="2" max="2" width="13" bestFit="1" customWidth="1"/>
  </cols>
  <sheetData>
    <row r="1" spans="1:1">
      <c r="A1" s="3" t="s">
        <v>32</v>
      </c>
    </row>
    <row r="2" spans="1:1">
      <c r="A2" s="70" t="s">
        <v>312</v>
      </c>
    </row>
    <row r="3" spans="1:1">
      <c r="A3" s="70" t="s">
        <v>313</v>
      </c>
    </row>
    <row r="4" spans="1:1">
      <c r="A4" s="70" t="s">
        <v>314</v>
      </c>
    </row>
    <row r="5" spans="1:1">
      <c r="A5" s="70" t="s">
        <v>315</v>
      </c>
    </row>
    <row r="6" spans="1:1">
      <c r="A6" s="70" t="s">
        <v>316</v>
      </c>
    </row>
    <row r="7" spans="1:1">
      <c r="A7" s="70" t="s">
        <v>317</v>
      </c>
    </row>
    <row r="8" spans="1:1">
      <c r="A8" s="70" t="s">
        <v>318</v>
      </c>
    </row>
    <row r="9" spans="1:1">
      <c r="A9" s="70" t="s">
        <v>319</v>
      </c>
    </row>
    <row r="10" spans="1:1">
      <c r="A10" s="70" t="s">
        <v>320</v>
      </c>
    </row>
    <row r="11" spans="1:1">
      <c r="A11" s="70" t="s">
        <v>323</v>
      </c>
    </row>
    <row r="12" spans="1:1">
      <c r="A12" s="70" t="s">
        <v>324</v>
      </c>
    </row>
    <row r="13" spans="1:1">
      <c r="A13" s="70" t="s">
        <v>325</v>
      </c>
    </row>
    <row r="14" spans="1:1">
      <c r="A14" s="70" t="s">
        <v>326</v>
      </c>
    </row>
    <row r="15" spans="1:1">
      <c r="A15" s="70" t="s">
        <v>327</v>
      </c>
    </row>
    <row r="16" spans="1:1">
      <c r="A16" s="70" t="s">
        <v>328</v>
      </c>
    </row>
    <row r="17" spans="1:1">
      <c r="A17" s="70" t="s">
        <v>329</v>
      </c>
    </row>
    <row r="18" spans="1:1">
      <c r="A18" s="70" t="s">
        <v>330</v>
      </c>
    </row>
    <row r="19" spans="1:1">
      <c r="A19" s="70" t="s">
        <v>331</v>
      </c>
    </row>
    <row r="20" spans="1:1">
      <c r="A20" s="70" t="s">
        <v>332</v>
      </c>
    </row>
    <row r="21" spans="1:1">
      <c r="A21" s="70" t="s">
        <v>344</v>
      </c>
    </row>
    <row r="22" spans="1:1">
      <c r="A22" s="70" t="s">
        <v>345</v>
      </c>
    </row>
    <row r="23" spans="1:1">
      <c r="A23" s="70" t="s">
        <v>346</v>
      </c>
    </row>
    <row r="24" spans="1:1">
      <c r="A24" s="70" t="s">
        <v>347</v>
      </c>
    </row>
    <row r="25" spans="1:1">
      <c r="A25" s="70" t="s">
        <v>333</v>
      </c>
    </row>
    <row r="26" spans="1:1">
      <c r="A26" s="70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</sheetData>
  <autoFilter ref="A1:A34">
    <sortState ref="A2:A34">
      <sortCondition ref="A1:A34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workbookViewId="0">
      <selection activeCell="E61" sqref="E61:G61"/>
    </sheetView>
  </sheetViews>
  <sheetFormatPr baseColWidth="10" defaultColWidth="11.42578125" defaultRowHeight="15"/>
  <cols>
    <col min="1" max="1" width="75.7109375" customWidth="1"/>
    <col min="2" max="2" width="8.85546875" bestFit="1" customWidth="1"/>
    <col min="3" max="3" width="128.140625" bestFit="1" customWidth="1"/>
  </cols>
  <sheetData>
    <row r="1" spans="1:3">
      <c r="B1" s="2" t="s">
        <v>33</v>
      </c>
      <c r="C1" s="2" t="s">
        <v>34</v>
      </c>
    </row>
    <row r="2" spans="1:3">
      <c r="A2" t="s">
        <v>35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>
      <c r="A3" t="s">
        <v>36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>
      <c r="A4" t="s">
        <v>37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>
      <c r="A5" t="s">
        <v>38</v>
      </c>
      <c r="B5">
        <f t="shared" si="0"/>
        <v>2130</v>
      </c>
      <c r="C5" t="str">
        <f t="shared" si="1"/>
        <v xml:space="preserve"> Material estadístico y geográfico</v>
      </c>
    </row>
    <row r="6" spans="1:3">
      <c r="A6" t="s">
        <v>39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>
      <c r="A7" t="s">
        <v>40</v>
      </c>
      <c r="B7">
        <f>Limpia(A7,1)</f>
        <v>2150</v>
      </c>
      <c r="C7" t="str">
        <f>Limpia(A7,2)</f>
        <v xml:space="preserve"> Material impreso e información digital</v>
      </c>
    </row>
    <row r="8" spans="1:3">
      <c r="A8" t="s">
        <v>41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>
      <c r="A9" t="s">
        <v>42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>
      <c r="A10" t="s">
        <v>43</v>
      </c>
      <c r="B10">
        <f t="shared" si="2"/>
        <v>2200</v>
      </c>
      <c r="C10" t="str">
        <f t="shared" si="3"/>
        <v xml:space="preserve"> ALIMENTOS Y UTENSILIOS</v>
      </c>
    </row>
    <row r="11" spans="1:3">
      <c r="A11" t="s">
        <v>44</v>
      </c>
      <c r="B11">
        <f t="shared" si="2"/>
        <v>2210</v>
      </c>
      <c r="C11" t="str">
        <f t="shared" si="3"/>
        <v xml:space="preserve"> Productos alimenticios para personas</v>
      </c>
    </row>
    <row r="12" spans="1:3">
      <c r="A12" t="s">
        <v>45</v>
      </c>
      <c r="B12">
        <f t="shared" si="2"/>
        <v>2220</v>
      </c>
      <c r="C12" t="str">
        <f t="shared" si="3"/>
        <v xml:space="preserve"> Productos alimenticios para animales</v>
      </c>
    </row>
    <row r="13" spans="1:3">
      <c r="A13" t="s">
        <v>46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>
      <c r="A14" t="s">
        <v>47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>
      <c r="A15" t="s">
        <v>48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>
      <c r="A16" t="s">
        <v>49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>
      <c r="A17" t="s">
        <v>50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>
      <c r="A18" t="s">
        <v>51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>
      <c r="A19" t="s">
        <v>52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>
      <c r="A20" t="s">
        <v>53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>
      <c r="A21" t="s">
        <v>54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>
      <c r="A22" t="s">
        <v>55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>
      <c r="A23" t="s">
        <v>56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>
      <c r="A24" t="s">
        <v>57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>
      <c r="A25" t="s">
        <v>58</v>
      </c>
      <c r="B25">
        <f t="shared" si="2"/>
        <v>2410</v>
      </c>
      <c r="C25" t="str">
        <f t="shared" si="3"/>
        <v xml:space="preserve"> Productos minerales no metálicos</v>
      </c>
    </row>
    <row r="26" spans="1:3">
      <c r="A26" t="s">
        <v>59</v>
      </c>
      <c r="B26">
        <f t="shared" si="2"/>
        <v>2420</v>
      </c>
      <c r="C26" t="str">
        <f t="shared" si="3"/>
        <v xml:space="preserve"> Cemento y productos de concreto</v>
      </c>
    </row>
    <row r="27" spans="1:3">
      <c r="A27" t="s">
        <v>60</v>
      </c>
      <c r="B27">
        <f t="shared" si="2"/>
        <v>2430</v>
      </c>
      <c r="C27" t="str">
        <f t="shared" si="3"/>
        <v xml:space="preserve"> Cal, yeso y productos de yeso</v>
      </c>
    </row>
    <row r="28" spans="1:3">
      <c r="A28" t="s">
        <v>61</v>
      </c>
      <c r="B28">
        <f t="shared" si="2"/>
        <v>2440</v>
      </c>
      <c r="C28" t="str">
        <f t="shared" si="3"/>
        <v xml:space="preserve"> Madera y productos de madera</v>
      </c>
    </row>
    <row r="29" spans="1:3">
      <c r="A29" t="s">
        <v>62</v>
      </c>
      <c r="B29">
        <f t="shared" si="2"/>
        <v>2450</v>
      </c>
      <c r="C29" t="str">
        <f t="shared" si="3"/>
        <v xml:space="preserve"> Vidrio y productos de vidrio</v>
      </c>
    </row>
    <row r="30" spans="1:3">
      <c r="A30" t="s">
        <v>63</v>
      </c>
      <c r="B30">
        <f t="shared" si="2"/>
        <v>2460</v>
      </c>
      <c r="C30" t="str">
        <f t="shared" si="3"/>
        <v xml:space="preserve"> Material eléctrico y electrónico</v>
      </c>
    </row>
    <row r="31" spans="1:3">
      <c r="A31" t="s">
        <v>64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>
      <c r="A32" t="s">
        <v>65</v>
      </c>
      <c r="B32">
        <f t="shared" si="2"/>
        <v>2480</v>
      </c>
      <c r="C32" t="str">
        <f t="shared" si="3"/>
        <v xml:space="preserve"> Materiales complementarios</v>
      </c>
    </row>
    <row r="33" spans="1:3">
      <c r="A33" t="s">
        <v>66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>
      <c r="A34" t="s">
        <v>67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>
      <c r="A35" t="s">
        <v>68</v>
      </c>
      <c r="B35">
        <f t="shared" si="2"/>
        <v>2510</v>
      </c>
      <c r="C35" t="str">
        <f t="shared" si="3"/>
        <v xml:space="preserve"> Productos químicos básicos</v>
      </c>
    </row>
    <row r="36" spans="1:3">
      <c r="A36" t="s">
        <v>69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>
      <c r="A37" t="s">
        <v>70</v>
      </c>
      <c r="B37">
        <f t="shared" si="2"/>
        <v>2530</v>
      </c>
      <c r="C37" t="str">
        <f t="shared" si="3"/>
        <v xml:space="preserve"> Medicinas y productos farmacéuticos</v>
      </c>
    </row>
    <row r="38" spans="1:3">
      <c r="A38" t="s">
        <v>71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>
      <c r="A39" t="s">
        <v>72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>
      <c r="A40" t="s">
        <v>73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>
      <c r="A41" t="s">
        <v>74</v>
      </c>
      <c r="B41">
        <f t="shared" si="2"/>
        <v>2590</v>
      </c>
      <c r="C41" t="str">
        <f t="shared" si="3"/>
        <v xml:space="preserve"> Otros productos químicos</v>
      </c>
    </row>
    <row r="42" spans="1:3">
      <c r="A42" t="s">
        <v>75</v>
      </c>
      <c r="B42">
        <f t="shared" si="2"/>
        <v>2600</v>
      </c>
      <c r="C42" t="str">
        <f t="shared" si="3"/>
        <v xml:space="preserve"> COMBUSTIBLES, LUBRICANTES Y ADITIVOS</v>
      </c>
    </row>
    <row r="43" spans="1:3">
      <c r="A43" t="s">
        <v>76</v>
      </c>
      <c r="B43">
        <f t="shared" si="2"/>
        <v>2610</v>
      </c>
      <c r="C43" t="str">
        <f t="shared" si="3"/>
        <v xml:space="preserve"> Combustibles, lubricantes y aditivos</v>
      </c>
    </row>
    <row r="44" spans="1:3">
      <c r="A44" t="s">
        <v>77</v>
      </c>
      <c r="B44">
        <f t="shared" si="2"/>
        <v>2620</v>
      </c>
      <c r="C44" t="str">
        <f t="shared" si="3"/>
        <v xml:space="preserve"> Carbón y sus derivados</v>
      </c>
    </row>
    <row r="45" spans="1:3">
      <c r="A45" t="s">
        <v>78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>
      <c r="A46" t="s">
        <v>79</v>
      </c>
      <c r="B46">
        <f t="shared" si="2"/>
        <v>2710</v>
      </c>
      <c r="C46" t="str">
        <f t="shared" si="3"/>
        <v xml:space="preserve"> Vestuario y uniformes</v>
      </c>
    </row>
    <row r="47" spans="1:3">
      <c r="A47" t="s">
        <v>80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>
      <c r="A48" t="s">
        <v>81</v>
      </c>
      <c r="B48">
        <f t="shared" si="2"/>
        <v>2730</v>
      </c>
      <c r="C48" t="str">
        <f t="shared" si="3"/>
        <v xml:space="preserve"> Artículos deportivos</v>
      </c>
    </row>
    <row r="49" spans="1:3">
      <c r="A49" t="s">
        <v>82</v>
      </c>
      <c r="B49">
        <f t="shared" si="2"/>
        <v>2740</v>
      </c>
      <c r="C49" t="str">
        <f t="shared" si="3"/>
        <v xml:space="preserve"> Productos textiles</v>
      </c>
    </row>
    <row r="50" spans="1:3">
      <c r="A50" t="s">
        <v>83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>
      <c r="A51" t="s">
        <v>84</v>
      </c>
      <c r="B51">
        <f t="shared" si="2"/>
        <v>2800</v>
      </c>
      <c r="C51" t="str">
        <f t="shared" si="3"/>
        <v xml:space="preserve"> MATERIALES Y SUMINISTROS PARA SEGURIDAD</v>
      </c>
    </row>
    <row r="52" spans="1:3">
      <c r="A52" t="s">
        <v>85</v>
      </c>
      <c r="B52">
        <f t="shared" si="2"/>
        <v>2810</v>
      </c>
      <c r="C52" t="str">
        <f t="shared" si="3"/>
        <v xml:space="preserve"> Sustancias y materiales explosivos</v>
      </c>
    </row>
    <row r="53" spans="1:3">
      <c r="A53" t="s">
        <v>86</v>
      </c>
      <c r="B53">
        <f t="shared" si="2"/>
        <v>2820</v>
      </c>
      <c r="C53" t="str">
        <f t="shared" si="3"/>
        <v xml:space="preserve"> Materiales de seguridad pública</v>
      </c>
    </row>
    <row r="54" spans="1:3">
      <c r="A54" t="s">
        <v>87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>
      <c r="A55" t="s">
        <v>88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>
      <c r="A56" t="s">
        <v>89</v>
      </c>
      <c r="B56">
        <f t="shared" si="2"/>
        <v>2910</v>
      </c>
      <c r="C56" t="str">
        <f t="shared" si="3"/>
        <v xml:space="preserve"> Herramientas menores</v>
      </c>
    </row>
    <row r="57" spans="1:3">
      <c r="A57" t="s">
        <v>90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>
      <c r="A58" t="s">
        <v>91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>
      <c r="A59" t="s">
        <v>92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>
      <c r="A60" t="s">
        <v>93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>
      <c r="A61" t="s">
        <v>94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>
      <c r="A62" t="s">
        <v>95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>
      <c r="A63" t="s">
        <v>96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>
      <c r="A64" t="s">
        <v>97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>
      <c r="A65" t="s">
        <v>98</v>
      </c>
      <c r="B65">
        <f t="shared" si="4"/>
        <v>3000</v>
      </c>
      <c r="C65" t="str">
        <f t="shared" si="5"/>
        <v xml:space="preserve"> SERVICIOS GENERALES</v>
      </c>
    </row>
    <row r="66" spans="1:3">
      <c r="A66" t="s">
        <v>99</v>
      </c>
      <c r="B66">
        <f t="shared" si="4"/>
        <v>3100</v>
      </c>
      <c r="C66" t="str">
        <f t="shared" si="5"/>
        <v xml:space="preserve"> SERVICIOS BÁSICOS</v>
      </c>
    </row>
    <row r="67" spans="1:3">
      <c r="A67" t="s">
        <v>100</v>
      </c>
      <c r="B67">
        <f t="shared" si="4"/>
        <v>3110</v>
      </c>
      <c r="C67" t="str">
        <f t="shared" si="5"/>
        <v xml:space="preserve"> Energía eléctrica</v>
      </c>
    </row>
    <row r="68" spans="1:3">
      <c r="A68" t="s">
        <v>101</v>
      </c>
      <c r="B68">
        <f t="shared" si="4"/>
        <v>3120</v>
      </c>
      <c r="C68" t="str">
        <f t="shared" si="5"/>
        <v xml:space="preserve"> Gas</v>
      </c>
    </row>
    <row r="69" spans="1:3">
      <c r="A69" t="s">
        <v>102</v>
      </c>
      <c r="B69">
        <f t="shared" si="4"/>
        <v>3130</v>
      </c>
      <c r="C69" t="str">
        <f t="shared" si="5"/>
        <v xml:space="preserve"> Agua</v>
      </c>
    </row>
    <row r="70" spans="1:3">
      <c r="A70" t="s">
        <v>103</v>
      </c>
      <c r="B70">
        <f t="shared" si="4"/>
        <v>3140</v>
      </c>
      <c r="C70" t="str">
        <f t="shared" si="5"/>
        <v xml:space="preserve"> Telefonía tradicional</v>
      </c>
    </row>
    <row r="71" spans="1:3">
      <c r="A71" t="s">
        <v>104</v>
      </c>
      <c r="B71">
        <f t="shared" si="4"/>
        <v>3150</v>
      </c>
      <c r="C71" t="str">
        <f t="shared" si="5"/>
        <v xml:space="preserve"> Telefonía celular</v>
      </c>
    </row>
    <row r="72" spans="1:3">
      <c r="A72" t="s">
        <v>105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>
      <c r="A73" t="s">
        <v>106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>
      <c r="A74" t="s">
        <v>107</v>
      </c>
      <c r="B74">
        <f t="shared" si="4"/>
        <v>3180</v>
      </c>
      <c r="C74" t="str">
        <f t="shared" si="5"/>
        <v xml:space="preserve"> Servicios postales y telegráficos</v>
      </c>
    </row>
    <row r="75" spans="1:3">
      <c r="A75" t="s">
        <v>108</v>
      </c>
      <c r="B75">
        <f t="shared" si="4"/>
        <v>3190</v>
      </c>
      <c r="C75" t="str">
        <f t="shared" si="5"/>
        <v xml:space="preserve"> Servicios integrales y otros servicios</v>
      </c>
    </row>
    <row r="76" spans="1:3">
      <c r="A76" t="s">
        <v>109</v>
      </c>
      <c r="B76">
        <f t="shared" si="4"/>
        <v>3200</v>
      </c>
      <c r="C76" t="str">
        <f t="shared" si="5"/>
        <v xml:space="preserve"> SERVICIOS DE ARRENDAMIENTO</v>
      </c>
    </row>
    <row r="77" spans="1:3">
      <c r="A77" t="s">
        <v>110</v>
      </c>
      <c r="B77">
        <f t="shared" si="4"/>
        <v>3210</v>
      </c>
      <c r="C77" t="str">
        <f t="shared" si="5"/>
        <v xml:space="preserve"> Arrendamiento de terrenos</v>
      </c>
    </row>
    <row r="78" spans="1:3">
      <c r="A78" t="s">
        <v>111</v>
      </c>
      <c r="B78">
        <f t="shared" si="4"/>
        <v>3220</v>
      </c>
      <c r="C78" t="str">
        <f t="shared" si="5"/>
        <v xml:space="preserve"> Arrendamiento de edificios</v>
      </c>
    </row>
    <row r="79" spans="1:3">
      <c r="A79" t="s">
        <v>112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>
      <c r="A80" t="s">
        <v>113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>
      <c r="A81" t="s">
        <v>114</v>
      </c>
      <c r="B81">
        <f t="shared" si="4"/>
        <v>3250</v>
      </c>
      <c r="C81" t="str">
        <f t="shared" si="5"/>
        <v xml:space="preserve"> Arrendamiento de equipo de transporte</v>
      </c>
    </row>
    <row r="82" spans="1:3">
      <c r="A82" t="s">
        <v>115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>
      <c r="A83" t="s">
        <v>116</v>
      </c>
      <c r="B83">
        <f t="shared" si="4"/>
        <v>3270</v>
      </c>
      <c r="C83" t="str">
        <f t="shared" si="5"/>
        <v xml:space="preserve"> Arrendamiento de activos intangibles</v>
      </c>
    </row>
    <row r="84" spans="1:3">
      <c r="A84" t="s">
        <v>117</v>
      </c>
      <c r="B84">
        <f t="shared" si="4"/>
        <v>3280</v>
      </c>
      <c r="C84" t="str">
        <f t="shared" si="5"/>
        <v xml:space="preserve"> Arrendamiento financiero</v>
      </c>
    </row>
    <row r="85" spans="1:3">
      <c r="A85" t="s">
        <v>118</v>
      </c>
      <c r="B85">
        <f t="shared" si="4"/>
        <v>3290</v>
      </c>
      <c r="C85" t="str">
        <f t="shared" si="5"/>
        <v xml:space="preserve"> Otros arrendamientos</v>
      </c>
    </row>
    <row r="86" spans="1:3">
      <c r="A86" t="s">
        <v>119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>
      <c r="A87" t="s">
        <v>120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>
      <c r="A88" t="s">
        <v>121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>
      <c r="A89" t="s">
        <v>122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>
      <c r="A90" t="s">
        <v>123</v>
      </c>
      <c r="B90">
        <f t="shared" si="4"/>
        <v>3340</v>
      </c>
      <c r="C90" t="str">
        <f t="shared" si="5"/>
        <v xml:space="preserve"> Servicios de capacitación</v>
      </c>
    </row>
    <row r="91" spans="1:3">
      <c r="A91" t="s">
        <v>124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>
      <c r="A92" t="s">
        <v>125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>
      <c r="A93" t="s">
        <v>126</v>
      </c>
      <c r="B93">
        <f t="shared" si="4"/>
        <v>3370</v>
      </c>
      <c r="C93" t="str">
        <f t="shared" si="5"/>
        <v xml:space="preserve"> Servicios de protección y seguridad</v>
      </c>
    </row>
    <row r="94" spans="1:3">
      <c r="A94" t="s">
        <v>127</v>
      </c>
      <c r="B94">
        <f t="shared" si="4"/>
        <v>3380</v>
      </c>
      <c r="C94" t="str">
        <f t="shared" si="5"/>
        <v xml:space="preserve"> Servicios de vigilancia</v>
      </c>
    </row>
    <row r="95" spans="1:3">
      <c r="A95" t="s">
        <v>128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>
      <c r="A96" t="s">
        <v>129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>
      <c r="A97" t="s">
        <v>130</v>
      </c>
      <c r="B97">
        <f t="shared" si="4"/>
        <v>3410</v>
      </c>
      <c r="C97" t="str">
        <f t="shared" si="5"/>
        <v xml:space="preserve"> Servicios financieros y bancarios</v>
      </c>
    </row>
    <row r="98" spans="1:3">
      <c r="A98" t="s">
        <v>131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>
      <c r="A99" t="s">
        <v>132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>
      <c r="A100" t="s">
        <v>133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>
      <c r="A101" t="s">
        <v>134</v>
      </c>
      <c r="B101">
        <f t="shared" si="4"/>
        <v>3450</v>
      </c>
      <c r="C101" t="str">
        <f t="shared" si="5"/>
        <v xml:space="preserve"> Seguros de bienes patrimoniales</v>
      </c>
    </row>
    <row r="102" spans="1:3">
      <c r="A102" t="s">
        <v>135</v>
      </c>
      <c r="B102">
        <f t="shared" si="4"/>
        <v>3460</v>
      </c>
      <c r="C102" t="str">
        <f t="shared" si="5"/>
        <v xml:space="preserve"> Almacenaje, envase y embalaje</v>
      </c>
    </row>
    <row r="103" spans="1:3">
      <c r="A103" t="s">
        <v>136</v>
      </c>
      <c r="B103">
        <f t="shared" si="4"/>
        <v>3470</v>
      </c>
      <c r="C103" t="str">
        <f t="shared" si="5"/>
        <v xml:space="preserve"> Fletes y maniobras</v>
      </c>
    </row>
    <row r="104" spans="1:3">
      <c r="A104" t="s">
        <v>137</v>
      </c>
      <c r="B104">
        <f t="shared" si="4"/>
        <v>3480</v>
      </c>
      <c r="C104" t="str">
        <f t="shared" si="5"/>
        <v xml:space="preserve"> Comisiones por ventas</v>
      </c>
    </row>
    <row r="105" spans="1:3">
      <c r="A105" t="s">
        <v>138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>
      <c r="A106" t="s">
        <v>139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>
      <c r="A107" t="s">
        <v>140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>
      <c r="A108" t="s">
        <v>141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>
      <c r="A109" t="s">
        <v>142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>
      <c r="A110" t="s">
        <v>143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>
      <c r="A111" t="s">
        <v>144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>
      <c r="A112" t="s">
        <v>145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>
      <c r="A113" t="s">
        <v>146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>
      <c r="A114" t="s">
        <v>147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>
      <c r="A115" t="s">
        <v>148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>
      <c r="A116" t="s">
        <v>149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>
      <c r="A117" t="s">
        <v>150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>
      <c r="A118" t="s">
        <v>151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>
      <c r="A119" t="s">
        <v>152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>
      <c r="A120" t="s">
        <v>153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>
      <c r="A121" t="s">
        <v>154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>
      <c r="A122" t="s">
        <v>155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>
      <c r="A123" t="s">
        <v>156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>
      <c r="A124" t="s">
        <v>157</v>
      </c>
      <c r="B124">
        <f t="shared" si="6"/>
        <v>3690</v>
      </c>
      <c r="C124" t="str">
        <f t="shared" si="7"/>
        <v xml:space="preserve"> Otros servicios de información</v>
      </c>
    </row>
    <row r="125" spans="1:3">
      <c r="A125" t="s">
        <v>158</v>
      </c>
      <c r="B125">
        <f t="shared" si="6"/>
        <v>3700</v>
      </c>
      <c r="C125" t="str">
        <f t="shared" si="7"/>
        <v xml:space="preserve"> SERVICIOS DE TRASLADO Y VIÁTICOS</v>
      </c>
    </row>
    <row r="126" spans="1:3">
      <c r="A126" t="s">
        <v>159</v>
      </c>
      <c r="B126">
        <f t="shared" si="6"/>
        <v>3710</v>
      </c>
      <c r="C126" t="str">
        <f t="shared" si="7"/>
        <v xml:space="preserve"> Pasajes aéreos</v>
      </c>
    </row>
    <row r="127" spans="1:3">
      <c r="A127" t="s">
        <v>160</v>
      </c>
      <c r="B127">
        <f t="shared" si="6"/>
        <v>3720</v>
      </c>
      <c r="C127" t="str">
        <f t="shared" si="7"/>
        <v xml:space="preserve"> Pasajes terrestres</v>
      </c>
    </row>
    <row r="128" spans="1:3">
      <c r="A128" t="s">
        <v>161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>
      <c r="A129" t="s">
        <v>162</v>
      </c>
      <c r="B129">
        <f t="shared" si="6"/>
        <v>3740</v>
      </c>
      <c r="C129" t="str">
        <f t="shared" si="7"/>
        <v xml:space="preserve"> Autotransporte</v>
      </c>
    </row>
    <row r="130" spans="1:3">
      <c r="A130" t="s">
        <v>163</v>
      </c>
      <c r="B130">
        <f t="shared" si="6"/>
        <v>3750</v>
      </c>
      <c r="C130" t="str">
        <f t="shared" si="7"/>
        <v xml:space="preserve"> Viáticos en el país</v>
      </c>
    </row>
    <row r="131" spans="1:3">
      <c r="A131" t="s">
        <v>164</v>
      </c>
      <c r="B131">
        <f t="shared" si="6"/>
        <v>3760</v>
      </c>
      <c r="C131" t="str">
        <f t="shared" si="7"/>
        <v xml:space="preserve"> Viáticos en el extranjero</v>
      </c>
    </row>
    <row r="132" spans="1:3">
      <c r="A132" t="s">
        <v>165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>
      <c r="A133" t="s">
        <v>166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>
      <c r="A134" t="s">
        <v>167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>
      <c r="A135" t="s">
        <v>168</v>
      </c>
      <c r="B135">
        <f t="shared" si="6"/>
        <v>3800</v>
      </c>
      <c r="C135" t="str">
        <f t="shared" si="7"/>
        <v xml:space="preserve"> SERVICIOS OFICIALES</v>
      </c>
    </row>
    <row r="136" spans="1:3">
      <c r="A136" t="s">
        <v>169</v>
      </c>
      <c r="B136">
        <f t="shared" si="6"/>
        <v>3810</v>
      </c>
      <c r="C136" t="str">
        <f t="shared" si="7"/>
        <v xml:space="preserve"> Gastos de ceremonial</v>
      </c>
    </row>
    <row r="137" spans="1:3">
      <c r="A137" t="s">
        <v>170</v>
      </c>
      <c r="B137">
        <f t="shared" si="6"/>
        <v>3820</v>
      </c>
      <c r="C137" t="str">
        <f t="shared" si="7"/>
        <v xml:space="preserve"> Gastos de orden social y cultural</v>
      </c>
    </row>
    <row r="138" spans="1:3">
      <c r="A138" t="s">
        <v>171</v>
      </c>
      <c r="B138">
        <f t="shared" si="6"/>
        <v>3830</v>
      </c>
      <c r="C138" t="str">
        <f t="shared" si="7"/>
        <v xml:space="preserve"> Congresos y convenciones</v>
      </c>
    </row>
    <row r="139" spans="1:3">
      <c r="A139" t="s">
        <v>172</v>
      </c>
      <c r="B139">
        <f t="shared" si="6"/>
        <v>3840</v>
      </c>
      <c r="C139" t="str">
        <f t="shared" si="7"/>
        <v xml:space="preserve"> Exposiciones</v>
      </c>
    </row>
    <row r="140" spans="1:3">
      <c r="A140" t="s">
        <v>173</v>
      </c>
      <c r="B140">
        <f t="shared" si="6"/>
        <v>3850</v>
      </c>
      <c r="C140" t="str">
        <f t="shared" si="7"/>
        <v xml:space="preserve"> Gastos de representación</v>
      </c>
    </row>
    <row r="141" spans="1:3">
      <c r="A141" t="s">
        <v>174</v>
      </c>
      <c r="B141">
        <f t="shared" si="6"/>
        <v>3900</v>
      </c>
      <c r="C141" t="str">
        <f t="shared" si="7"/>
        <v xml:space="preserve"> OTROS SERVICIOS GENERALES</v>
      </c>
    </row>
    <row r="142" spans="1:3">
      <c r="A142" t="s">
        <v>175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>
      <c r="A143" t="s">
        <v>176</v>
      </c>
      <c r="B143">
        <f t="shared" si="6"/>
        <v>3920</v>
      </c>
      <c r="C143" t="str">
        <f t="shared" si="7"/>
        <v xml:space="preserve"> Impuestos y derechos</v>
      </c>
    </row>
    <row r="144" spans="1:3">
      <c r="A144" t="s">
        <v>177</v>
      </c>
      <c r="B144">
        <f t="shared" si="6"/>
        <v>3930</v>
      </c>
      <c r="C144" t="str">
        <f t="shared" si="7"/>
        <v xml:space="preserve"> Impuestos y derechos de importación</v>
      </c>
    </row>
    <row r="145" spans="1:3">
      <c r="A145" t="s">
        <v>178</v>
      </c>
      <c r="B145">
        <f t="shared" si="6"/>
        <v>3940</v>
      </c>
      <c r="C145" t="str">
        <f t="shared" si="7"/>
        <v xml:space="preserve"> Sentencias y resoluciones judiciales</v>
      </c>
    </row>
    <row r="146" spans="1:3">
      <c r="A146" t="s">
        <v>179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>
      <c r="A147" t="s">
        <v>180</v>
      </c>
      <c r="B147">
        <f t="shared" si="6"/>
        <v>3960</v>
      </c>
      <c r="C147" t="str">
        <f t="shared" si="7"/>
        <v xml:space="preserve"> Otros gastos por responsabilidades</v>
      </c>
    </row>
    <row r="148" spans="1:3">
      <c r="A148" t="s">
        <v>181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>
      <c r="A149" t="s">
        <v>182</v>
      </c>
      <c r="B149">
        <f t="shared" si="6"/>
        <v>3990</v>
      </c>
      <c r="C149" t="str">
        <f t="shared" si="7"/>
        <v xml:space="preserve"> Otros servicios generales</v>
      </c>
    </row>
    <row r="150" spans="1:3">
      <c r="A150" t="s">
        <v>183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>
      <c r="A151" t="s">
        <v>184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>
      <c r="A152" t="s">
        <v>185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>
      <c r="A153" t="s">
        <v>186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>
      <c r="A154" t="s">
        <v>187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>
      <c r="A155" t="s">
        <v>188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>
      <c r="A156" t="s">
        <v>189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>
      <c r="A157" t="s">
        <v>190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>
      <c r="A158" t="s">
        <v>191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>
      <c r="A159" t="s">
        <v>192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>
      <c r="A160" t="s">
        <v>193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>
      <c r="A161" t="s">
        <v>194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>
      <c r="A162" t="s">
        <v>195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>
      <c r="A163" t="s">
        <v>196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>
      <c r="A164" t="s">
        <v>197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>
      <c r="A165" t="s">
        <v>198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>
      <c r="A166" t="s">
        <v>199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>
      <c r="A167" t="s">
        <v>200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>
      <c r="A168" t="s">
        <v>201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>
      <c r="A169" t="s">
        <v>202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>
      <c r="A170" t="s">
        <v>203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>
      <c r="A171" t="s">
        <v>204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>
      <c r="A172" t="s">
        <v>205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>
      <c r="A173" t="s">
        <v>206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>
      <c r="A174" t="s">
        <v>207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>
      <c r="A175" t="s">
        <v>208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>
      <c r="A176" t="s">
        <v>209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>
      <c r="A177" t="s">
        <v>210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>
      <c r="A178" t="s">
        <v>211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>
      <c r="A179" t="s">
        <v>212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>
      <c r="A180" t="s">
        <v>213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>
      <c r="A181" t="s">
        <v>214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>
      <c r="A182" t="s">
        <v>215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>
      <c r="A183" t="s">
        <v>216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>
      <c r="A184" t="s">
        <v>217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>
      <c r="A185" t="s">
        <v>218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>
      <c r="A186" t="s">
        <v>219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>
      <c r="A187" t="s">
        <v>220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>
      <c r="A188" t="s">
        <v>221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>
      <c r="A189" t="s">
        <v>222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>
      <c r="A190" t="s">
        <v>223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>
      <c r="A191" t="s">
        <v>224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>
      <c r="A192" t="s">
        <v>225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>
      <c r="A193" t="s">
        <v>226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>
      <c r="A194" t="s">
        <v>227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>
      <c r="A195" t="s">
        <v>228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>
      <c r="A196" t="s">
        <v>229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>
      <c r="A197" t="s">
        <v>230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>
      <c r="A198" t="s">
        <v>231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>
      <c r="A199" t="s">
        <v>232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>
      <c r="A200" t="s">
        <v>233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>
      <c r="A201" t="s">
        <v>234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>
      <c r="A202" t="s">
        <v>235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>
      <c r="A203" t="s">
        <v>236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>
      <c r="A204" t="s">
        <v>237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>
      <c r="A205" t="s">
        <v>238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>
      <c r="A206" t="s">
        <v>239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>
      <c r="A207" t="s">
        <v>240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>
      <c r="A208" t="s">
        <v>241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>
      <c r="A209" t="s">
        <v>242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>
      <c r="A210" t="s">
        <v>243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>
      <c r="A211" t="s">
        <v>244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>
      <c r="A212" t="s">
        <v>245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>
      <c r="A213" t="s">
        <v>246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>
      <c r="A214" t="s">
        <v>247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>
      <c r="A215" t="s">
        <v>248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>
      <c r="A216" t="s">
        <v>249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>
      <c r="A217" t="s">
        <v>250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>
      <c r="A218" t="s">
        <v>251</v>
      </c>
      <c r="B218">
        <f t="shared" si="10"/>
        <v>4300</v>
      </c>
      <c r="C218" t="str">
        <f t="shared" si="11"/>
        <v xml:space="preserve"> SUBSIDIOS Y SUBVENCIONES</v>
      </c>
    </row>
    <row r="219" spans="1:3">
      <c r="A219" t="s">
        <v>252</v>
      </c>
      <c r="B219">
        <f t="shared" si="10"/>
        <v>4310</v>
      </c>
      <c r="C219" t="str">
        <f t="shared" si="11"/>
        <v xml:space="preserve"> Subsidios a la producción</v>
      </c>
    </row>
    <row r="220" spans="1:3">
      <c r="A220" t="s">
        <v>253</v>
      </c>
      <c r="B220">
        <f t="shared" si="10"/>
        <v>4320</v>
      </c>
      <c r="C220" t="str">
        <f t="shared" si="11"/>
        <v xml:space="preserve"> Subsidios a la distribución</v>
      </c>
    </row>
    <row r="221" spans="1:3">
      <c r="A221" t="s">
        <v>254</v>
      </c>
      <c r="B221">
        <f t="shared" si="10"/>
        <v>4330</v>
      </c>
      <c r="C221" t="str">
        <f t="shared" si="11"/>
        <v xml:space="preserve"> Subsidios a la inversión</v>
      </c>
    </row>
    <row r="222" spans="1:3">
      <c r="A222" t="s">
        <v>255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>
      <c r="A223" t="s">
        <v>256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>
      <c r="A224" t="s">
        <v>257</v>
      </c>
      <c r="B224">
        <f t="shared" si="10"/>
        <v>4360</v>
      </c>
      <c r="C224" t="str">
        <f t="shared" si="11"/>
        <v xml:space="preserve"> Subsidios a la vivienda</v>
      </c>
    </row>
    <row r="225" spans="1:3">
      <c r="A225" t="s">
        <v>258</v>
      </c>
      <c r="B225">
        <f t="shared" si="10"/>
        <v>4370</v>
      </c>
      <c r="C225" t="str">
        <f t="shared" si="11"/>
        <v xml:space="preserve"> Subvenciones al consumo</v>
      </c>
    </row>
    <row r="226" spans="1:3">
      <c r="A226" t="s">
        <v>259</v>
      </c>
      <c r="B226">
        <f t="shared" si="10"/>
        <v>4400</v>
      </c>
      <c r="C226" t="str">
        <f t="shared" si="11"/>
        <v xml:space="preserve"> AYUDAS SOCIALES</v>
      </c>
    </row>
    <row r="227" spans="1:3">
      <c r="A227" t="s">
        <v>260</v>
      </c>
      <c r="B227">
        <f t="shared" si="10"/>
        <v>4410</v>
      </c>
      <c r="C227" t="str">
        <f t="shared" si="11"/>
        <v xml:space="preserve"> Ayudas sociales a personas</v>
      </c>
    </row>
    <row r="228" spans="1:3">
      <c r="A228" t="s">
        <v>261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>
      <c r="A229" t="s">
        <v>262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>
      <c r="A230" t="s">
        <v>263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>
      <c r="A231" t="s">
        <v>264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>
      <c r="A232" t="s">
        <v>265</v>
      </c>
      <c r="B232">
        <f t="shared" si="10"/>
        <v>4460</v>
      </c>
      <c r="C232" t="str">
        <f t="shared" si="11"/>
        <v xml:space="preserve"> Ayudas sociales a cooperativas</v>
      </c>
    </row>
    <row r="233" spans="1:3">
      <c r="A233" t="s">
        <v>266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>
      <c r="A234" t="s">
        <v>267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>
      <c r="A235" t="s">
        <v>268</v>
      </c>
      <c r="B235">
        <f t="shared" si="10"/>
        <v>4500</v>
      </c>
      <c r="C235" t="str">
        <f t="shared" si="11"/>
        <v xml:space="preserve"> PENSIONES Y JUBILACIONES</v>
      </c>
    </row>
    <row r="236" spans="1:3">
      <c r="A236" t="s">
        <v>269</v>
      </c>
      <c r="B236">
        <f t="shared" si="10"/>
        <v>4510</v>
      </c>
      <c r="C236" t="str">
        <f t="shared" si="11"/>
        <v xml:space="preserve"> Pensiones</v>
      </c>
    </row>
    <row r="237" spans="1:3">
      <c r="A237" t="s">
        <v>270</v>
      </c>
      <c r="B237">
        <f t="shared" si="10"/>
        <v>4520</v>
      </c>
      <c r="C237" t="str">
        <f t="shared" si="11"/>
        <v xml:space="preserve"> Jubilaciones</v>
      </c>
    </row>
    <row r="238" spans="1:3">
      <c r="A238" t="s">
        <v>271</v>
      </c>
      <c r="B238">
        <f t="shared" si="10"/>
        <v>4590</v>
      </c>
      <c r="C238" t="str">
        <f t="shared" si="11"/>
        <v xml:space="preserve"> Otras pensiones y jubilaciones</v>
      </c>
    </row>
    <row r="239" spans="1:3">
      <c r="A239" t="s">
        <v>272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>
      <c r="A240" t="s">
        <v>273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>
      <c r="A241" t="s">
        <v>274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>
      <c r="A242" t="s">
        <v>275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>
      <c r="A243" t="s">
        <v>276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>
      <c r="A244" t="s">
        <v>277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>
      <c r="A245" t="s">
        <v>278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>
      <c r="A246" t="s">
        <v>279</v>
      </c>
      <c r="B246">
        <f t="shared" si="10"/>
        <v>4900</v>
      </c>
      <c r="C246" t="str">
        <f t="shared" si="11"/>
        <v xml:space="preserve"> TRANSFERENCIAS AL EXTERIOR</v>
      </c>
    </row>
    <row r="247" spans="1:3">
      <c r="A247" t="s">
        <v>280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>
      <c r="A248" t="s">
        <v>281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>
      <c r="A249" t="s">
        <v>282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GO</vt:lpstr>
      <vt:lpstr>ENCABEZADO</vt:lpstr>
      <vt:lpstr>DESGLOSE 3750 -3760</vt:lpstr>
      <vt:lpstr>Hoja1</vt:lpstr>
      <vt:lpstr>PROYECTO</vt:lpstr>
      <vt:lpstr>Hoja3</vt:lpstr>
      <vt:lpstr>DIRECTOR</vt:lpstr>
      <vt:lpstr>PARTIDA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2021-01-29T16:57:52Z</cp:lastPrinted>
  <dcterms:created xsi:type="dcterms:W3CDTF">2016-02-08T15:52:06Z</dcterms:created>
  <dcterms:modified xsi:type="dcterms:W3CDTF">2022-05-30T20:09:55Z</dcterms:modified>
</cp:coreProperties>
</file>