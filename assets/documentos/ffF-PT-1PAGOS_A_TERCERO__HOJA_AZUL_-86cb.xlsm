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amendozat\Google Drive\FORMATOS\"/>
    </mc:Choice>
  </mc:AlternateContent>
  <bookViews>
    <workbookView xWindow="0" yWindow="0" windowWidth="20490" windowHeight="8445"/>
  </bookViews>
  <sheets>
    <sheet name="PT" sheetId="20" r:id="rId1"/>
    <sheet name="Hoja1" sheetId="23" state="hidden" r:id="rId2"/>
    <sheet name="Hoja2" sheetId="24" state="hidden" r:id="rId3"/>
  </sheets>
  <functionGroups builtInGroupCount="18"/>
  <definedNames>
    <definedName name="PROYECTO">Hoja2!$A$2:$A$33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9" i="20" l="1"/>
  <c r="G40" i="20" l="1"/>
  <c r="D52" i="20" l="1"/>
  <c r="H9" i="20" s="1"/>
  <c r="C117" i="23"/>
  <c r="B6" i="23"/>
  <c r="C185" i="23"/>
  <c r="B238" i="23"/>
  <c r="C163" i="23"/>
  <c r="B190" i="23"/>
  <c r="C161" i="23"/>
  <c r="B128" i="23"/>
  <c r="B168" i="23"/>
  <c r="B42" i="23"/>
  <c r="C94" i="23"/>
  <c r="C162" i="23"/>
  <c r="C93" i="23"/>
  <c r="B193" i="23"/>
  <c r="B48" i="23"/>
  <c r="C68" i="23"/>
  <c r="B199" i="23"/>
  <c r="B249" i="23"/>
  <c r="C176" i="23"/>
  <c r="C247" i="23"/>
  <c r="C40" i="23"/>
  <c r="C233" i="23"/>
  <c r="C212" i="23"/>
  <c r="B205" i="23"/>
  <c r="C71" i="23"/>
  <c r="B103" i="23"/>
  <c r="B23" i="23"/>
  <c r="B28" i="23"/>
  <c r="B93" i="23"/>
  <c r="B242" i="23"/>
  <c r="B139" i="23"/>
  <c r="B71" i="23"/>
  <c r="C65" i="23"/>
  <c r="B112" i="23"/>
  <c r="C105" i="23"/>
  <c r="B185" i="23"/>
  <c r="B74" i="23"/>
  <c r="B223" i="23"/>
  <c r="C196" i="23"/>
  <c r="B169" i="23"/>
  <c r="C178" i="23"/>
  <c r="B49" i="23"/>
  <c r="B126" i="23"/>
  <c r="B215" i="23"/>
  <c r="C2" i="23"/>
  <c r="C234" i="23"/>
  <c r="B145" i="23"/>
  <c r="B38" i="23"/>
  <c r="B135" i="23"/>
  <c r="B90" i="23"/>
  <c r="B130" i="23"/>
  <c r="B119" i="23"/>
  <c r="C184" i="23"/>
  <c r="C72" i="23"/>
  <c r="C35" i="23"/>
  <c r="C45" i="23"/>
  <c r="B210" i="23"/>
  <c r="B248" i="23"/>
  <c r="C150" i="23"/>
  <c r="C240" i="23"/>
  <c r="C34" i="23"/>
  <c r="B98" i="23"/>
  <c r="B154" i="23"/>
  <c r="C156" i="23"/>
  <c r="B209" i="23"/>
  <c r="C152" i="23"/>
  <c r="C204" i="23"/>
  <c r="B101" i="23"/>
  <c r="C77" i="23"/>
  <c r="B2" i="23"/>
  <c r="C4" i="23"/>
  <c r="B3" i="23"/>
  <c r="C207" i="23"/>
  <c r="B116" i="23"/>
  <c r="C109" i="23"/>
  <c r="B186" i="23"/>
  <c r="B125" i="23"/>
  <c r="C164" i="23"/>
  <c r="C188" i="23"/>
  <c r="B109" i="23"/>
  <c r="C183" i="23"/>
  <c r="B124" i="23"/>
  <c r="B19" i="23"/>
  <c r="B149" i="23"/>
  <c r="C216" i="23"/>
  <c r="B172" i="23"/>
  <c r="B182" i="23"/>
  <c r="C177" i="23"/>
  <c r="B5" i="23"/>
  <c r="B189" i="23"/>
  <c r="B87" i="23"/>
  <c r="C92" i="23"/>
  <c r="C144" i="23"/>
  <c r="C236" i="23"/>
  <c r="B76" i="23"/>
  <c r="B173" i="23"/>
  <c r="B159" i="23"/>
  <c r="B162" i="23"/>
  <c r="B115" i="23"/>
  <c r="B114" i="23"/>
  <c r="B225" i="23"/>
  <c r="B80" i="23"/>
  <c r="C101" i="23"/>
  <c r="C235" i="23"/>
  <c r="C224" i="23"/>
  <c r="C182" i="23"/>
  <c r="C12" i="23"/>
  <c r="B179" i="23"/>
  <c r="B227" i="23"/>
  <c r="C248" i="23"/>
  <c r="B97" i="23"/>
  <c r="C16" i="23"/>
  <c r="C75" i="23"/>
  <c r="C114" i="23"/>
  <c r="C193" i="23"/>
  <c r="C134" i="23"/>
  <c r="B59" i="23"/>
  <c r="B206" i="23"/>
  <c r="B217" i="23"/>
  <c r="C110" i="23"/>
  <c r="C153" i="23"/>
  <c r="C73" i="23"/>
  <c r="B13" i="23"/>
  <c r="B142" i="23"/>
  <c r="F52" i="20"/>
  <c r="B200" i="23"/>
  <c r="B75" i="23"/>
  <c r="C37" i="23"/>
  <c r="C107" i="23"/>
  <c r="C239" i="23"/>
  <c r="C118" i="23"/>
  <c r="C20" i="23"/>
  <c r="B33" i="23"/>
  <c r="C89" i="23"/>
  <c r="B129" i="23"/>
  <c r="C145" i="23"/>
  <c r="C142" i="23"/>
  <c r="C60" i="23"/>
  <c r="C55" i="23"/>
  <c r="C19" i="23"/>
  <c r="C155" i="23"/>
  <c r="C139" i="23"/>
  <c r="C86" i="23"/>
  <c r="B180" i="23"/>
  <c r="B155" i="23"/>
  <c r="C78" i="23"/>
  <c r="B197" i="23"/>
  <c r="C217" i="23"/>
  <c r="C56" i="23"/>
  <c r="C181" i="23"/>
  <c r="B60" i="23"/>
  <c r="B82" i="23"/>
  <c r="B9" i="23"/>
  <c r="C242" i="23"/>
  <c r="B138" i="23"/>
  <c r="C61" i="23"/>
  <c r="B244" i="23"/>
  <c r="C136" i="23"/>
  <c r="C180" i="23"/>
  <c r="B171" i="23"/>
  <c r="C243" i="23"/>
  <c r="C187" i="23"/>
  <c r="C215" i="23"/>
  <c r="C222" i="23"/>
  <c r="C126" i="23"/>
  <c r="C52" i="23"/>
  <c r="B25" i="23"/>
  <c r="B151" i="23"/>
  <c r="C210" i="23"/>
  <c r="B150" i="23"/>
  <c r="B234" i="23"/>
  <c r="B134" i="23"/>
  <c r="C218" i="23"/>
  <c r="B86" i="23"/>
  <c r="C232" i="23"/>
  <c r="B63" i="23"/>
  <c r="C191" i="23"/>
  <c r="C85" i="23"/>
  <c r="B161" i="23"/>
  <c r="B239" i="23"/>
  <c r="C166" i="23"/>
  <c r="C18" i="23"/>
  <c r="C225" i="23"/>
  <c r="C219" i="23"/>
  <c r="B35" i="23"/>
  <c r="B160" i="23"/>
  <c r="C24" i="23"/>
  <c r="C228" i="23"/>
  <c r="C203" i="23"/>
  <c r="B44" i="23"/>
  <c r="B47" i="23"/>
  <c r="C137" i="23"/>
  <c r="B84" i="23"/>
  <c r="C208" i="23"/>
  <c r="B36" i="23"/>
  <c r="C249" i="23"/>
  <c r="C36" i="23"/>
  <c r="C90" i="23"/>
  <c r="C238" i="23"/>
  <c r="C10" i="23"/>
  <c r="C158" i="23"/>
  <c r="B174" i="23"/>
  <c r="B88" i="23"/>
  <c r="B121" i="23"/>
  <c r="C50" i="23"/>
  <c r="B233" i="23"/>
  <c r="B158" i="23"/>
  <c r="B203" i="23"/>
  <c r="C6" i="23"/>
  <c r="B40" i="23"/>
  <c r="B54" i="23"/>
  <c r="B120" i="23"/>
  <c r="C241" i="23"/>
  <c r="B228" i="23"/>
  <c r="C122" i="23"/>
  <c r="B17" i="23"/>
  <c r="B68" i="23"/>
  <c r="B153" i="23"/>
  <c r="C201" i="23"/>
  <c r="B117" i="23"/>
  <c r="B64" i="23"/>
  <c r="B94" i="23"/>
  <c r="C33" i="23"/>
  <c r="B62" i="23"/>
  <c r="C200" i="23"/>
  <c r="B57" i="23"/>
  <c r="B96" i="23"/>
  <c r="C132" i="23"/>
  <c r="B243" i="23"/>
  <c r="B226" i="23"/>
  <c r="B152" i="23"/>
  <c r="B110" i="23"/>
  <c r="B247" i="23"/>
  <c r="C3" i="23"/>
  <c r="C27" i="23"/>
  <c r="C95" i="23"/>
  <c r="B220" i="23"/>
  <c r="C195" i="23"/>
  <c r="B144" i="23"/>
  <c r="C206" i="23"/>
  <c r="B51" i="23"/>
  <c r="B235" i="23"/>
  <c r="C133" i="23"/>
  <c r="C148" i="23"/>
  <c r="C237" i="23"/>
  <c r="C57" i="23"/>
  <c r="C104" i="23"/>
  <c r="B22" i="23"/>
  <c r="B236" i="23"/>
  <c r="C30" i="23"/>
  <c r="B191" i="23"/>
  <c r="C39" i="23"/>
  <c r="B56" i="23"/>
  <c r="C58" i="23"/>
  <c r="B107" i="23"/>
  <c r="C91" i="23"/>
  <c r="B83" i="23"/>
  <c r="C146" i="23"/>
  <c r="B163" i="23"/>
  <c r="C97" i="23"/>
  <c r="B15" i="23"/>
  <c r="B72" i="23"/>
  <c r="C165" i="23"/>
  <c r="B164" i="23"/>
  <c r="C5" i="23"/>
  <c r="B16" i="23"/>
  <c r="C83" i="23"/>
  <c r="C43" i="23"/>
  <c r="C69" i="23"/>
  <c r="C189" i="23"/>
  <c r="C160" i="23"/>
  <c r="B91" i="23"/>
  <c r="B7" i="23"/>
  <c r="B113" i="23"/>
  <c r="C81" i="23"/>
  <c r="C120" i="23"/>
  <c r="C159" i="23"/>
  <c r="B61" i="23"/>
  <c r="C84" i="23"/>
  <c r="C108" i="23"/>
  <c r="C174" i="23"/>
  <c r="C82" i="23"/>
  <c r="C38" i="23"/>
  <c r="C197" i="23"/>
  <c r="C59" i="23"/>
  <c r="B118" i="23"/>
  <c r="C192" i="23"/>
  <c r="B167" i="23"/>
  <c r="C88" i="23"/>
  <c r="B31" i="23"/>
  <c r="B219" i="23"/>
  <c r="B53" i="23"/>
  <c r="B8" i="23"/>
  <c r="C149" i="23"/>
  <c r="B218" i="23"/>
  <c r="C100" i="23"/>
  <c r="C113" i="23"/>
  <c r="B231" i="23"/>
  <c r="C230" i="23"/>
  <c r="B143" i="23"/>
  <c r="B166" i="23"/>
  <c r="B229" i="23"/>
  <c r="B73" i="23"/>
  <c r="C119" i="23"/>
  <c r="B137" i="23"/>
  <c r="C123" i="23"/>
  <c r="B192" i="23"/>
  <c r="C111" i="23"/>
  <c r="B95" i="23"/>
  <c r="B175" i="23"/>
  <c r="C42" i="23"/>
  <c r="B214" i="23"/>
  <c r="B69" i="23"/>
  <c r="C223" i="23"/>
  <c r="B148" i="23"/>
  <c r="B212" i="23"/>
  <c r="B21" i="23"/>
  <c r="B50" i="23"/>
  <c r="C128" i="23"/>
  <c r="C49" i="23"/>
  <c r="B105" i="23"/>
  <c r="C220" i="23"/>
  <c r="C172" i="23"/>
  <c r="B241" i="23"/>
  <c r="B213" i="23"/>
  <c r="B232" i="23"/>
  <c r="C26" i="23"/>
  <c r="C80" i="23"/>
  <c r="B79" i="23"/>
  <c r="C141" i="23"/>
  <c r="C227" i="23"/>
  <c r="C46" i="23"/>
  <c r="C179" i="23"/>
  <c r="B70" i="23"/>
  <c r="B216" i="23"/>
  <c r="C140" i="23"/>
  <c r="C41" i="23"/>
  <c r="B221" i="23"/>
  <c r="B198" i="23"/>
  <c r="B81" i="23"/>
  <c r="C99" i="23"/>
  <c r="B29" i="23"/>
  <c r="C25" i="23"/>
  <c r="C51" i="23"/>
  <c r="B67" i="23"/>
  <c r="C23" i="23"/>
  <c r="B58" i="23"/>
  <c r="B246" i="23"/>
  <c r="C64" i="23"/>
  <c r="C213" i="23"/>
  <c r="B202" i="23"/>
  <c r="B108" i="23"/>
  <c r="C115" i="23"/>
  <c r="B34" i="23"/>
  <c r="C47" i="23"/>
  <c r="B45" i="23"/>
  <c r="C121" i="23"/>
  <c r="B32" i="23"/>
  <c r="B201" i="23"/>
  <c r="C103" i="23"/>
  <c r="C15" i="23"/>
  <c r="C102" i="23"/>
  <c r="C221" i="23"/>
  <c r="B181" i="23"/>
  <c r="C11" i="23"/>
  <c r="C74" i="23"/>
  <c r="C154" i="23"/>
  <c r="B187" i="23"/>
  <c r="B104" i="23"/>
  <c r="B204" i="23"/>
  <c r="B157" i="23"/>
  <c r="B208" i="23"/>
  <c r="C13" i="23"/>
  <c r="B30" i="23"/>
  <c r="C151" i="23"/>
  <c r="B26" i="23"/>
  <c r="C246" i="23"/>
  <c r="B77" i="23"/>
  <c r="C127" i="23"/>
  <c r="B230" i="23"/>
  <c r="B99" i="23"/>
  <c r="C147" i="23"/>
  <c r="B65" i="23"/>
  <c r="C130" i="23"/>
  <c r="C96" i="23"/>
  <c r="B14" i="23"/>
  <c r="B122" i="23"/>
  <c r="B10" i="23"/>
  <c r="C7" i="23"/>
  <c r="C209" i="23"/>
  <c r="B111" i="23"/>
  <c r="C76" i="23"/>
  <c r="C106" i="23"/>
  <c r="C170" i="23"/>
  <c r="B140" i="23"/>
  <c r="B37" i="23"/>
  <c r="B11" i="23"/>
  <c r="C67" i="23"/>
  <c r="B43" i="23"/>
  <c r="C214" i="23"/>
  <c r="B55" i="23"/>
  <c r="C79" i="23"/>
  <c r="B132" i="23"/>
  <c r="B123" i="23"/>
  <c r="C186" i="23"/>
  <c r="B176" i="23"/>
  <c r="C9" i="23"/>
  <c r="B20" i="23"/>
  <c r="C53" i="23"/>
  <c r="B178" i="23"/>
  <c r="C21" i="23"/>
  <c r="C112" i="23"/>
  <c r="C205" i="23"/>
  <c r="B24" i="23"/>
  <c r="C169" i="23"/>
  <c r="B224" i="23"/>
  <c r="C98" i="23"/>
  <c r="B41" i="23"/>
  <c r="C8" i="23"/>
  <c r="B136" i="23"/>
  <c r="B165" i="23"/>
  <c r="B18" i="23"/>
  <c r="C171" i="23"/>
  <c r="C31" i="23"/>
  <c r="B222" i="23"/>
  <c r="C190" i="23"/>
  <c r="B188" i="23"/>
  <c r="B240" i="23"/>
  <c r="C245" i="23"/>
  <c r="C87" i="23"/>
  <c r="B12" i="23"/>
  <c r="C54" i="23"/>
  <c r="C167" i="23"/>
  <c r="B39" i="23"/>
  <c r="B92" i="23"/>
  <c r="B78" i="23"/>
  <c r="C175" i="23"/>
  <c r="C62" i="23"/>
  <c r="B207" i="23"/>
  <c r="B102" i="23"/>
  <c r="C124" i="23"/>
  <c r="C173" i="23"/>
  <c r="C231" i="23"/>
  <c r="B147" i="23"/>
  <c r="B184" i="23"/>
  <c r="B183" i="23"/>
  <c r="C22" i="23"/>
  <c r="C211" i="23"/>
  <c r="C29" i="23"/>
  <c r="C244" i="23"/>
  <c r="C157" i="23"/>
  <c r="B27" i="23"/>
  <c r="C135" i="23"/>
  <c r="B141" i="23"/>
  <c r="C28" i="23"/>
  <c r="C226" i="23"/>
  <c r="B4" i="23"/>
  <c r="C63" i="23"/>
  <c r="B194" i="23"/>
  <c r="B146" i="23"/>
  <c r="C229" i="23"/>
  <c r="B100" i="23"/>
  <c r="B85" i="23"/>
  <c r="B245" i="23"/>
  <c r="C125" i="23"/>
  <c r="C17" i="23"/>
  <c r="C194" i="23"/>
  <c r="B211" i="23"/>
  <c r="B89" i="23"/>
  <c r="B133" i="23"/>
  <c r="C14" i="23"/>
  <c r="C48" i="23"/>
  <c r="C44" i="23"/>
  <c r="C32" i="23"/>
  <c r="B196" i="23"/>
  <c r="C143" i="23"/>
  <c r="C116" i="23"/>
  <c r="C168" i="23"/>
  <c r="B131" i="23"/>
  <c r="C202" i="23"/>
  <c r="B52" i="23"/>
  <c r="B46" i="23"/>
  <c r="B237" i="23"/>
  <c r="C199" i="23"/>
  <c r="C131" i="23"/>
  <c r="B127" i="23"/>
  <c r="B195" i="23"/>
  <c r="B66" i="23"/>
  <c r="B177" i="23"/>
  <c r="B156" i="23"/>
  <c r="C138" i="23"/>
  <c r="B170" i="23"/>
  <c r="C70" i="23"/>
  <c r="C198" i="23"/>
  <c r="C129" i="23"/>
  <c r="B106" i="23"/>
  <c r="C66" i="23"/>
</calcChain>
</file>

<file path=xl/sharedStrings.xml><?xml version="1.0" encoding="utf-8"?>
<sst xmlns="http://schemas.openxmlformats.org/spreadsheetml/2006/main" count="376" uniqueCount="356">
  <si>
    <t>GOBIERNO DEL ESTADO DE GUANAJUATO</t>
  </si>
  <si>
    <t>FORMATO DE PAGO A TERCEROS</t>
  </si>
  <si>
    <t xml:space="preserve">Relación de </t>
  </si>
  <si>
    <t>documentos que amparan un importe de</t>
  </si>
  <si>
    <t>que se envían para su revisión y trámite de pago</t>
  </si>
  <si>
    <t>RAMO O ENTIDAD REMITENTE</t>
  </si>
  <si>
    <t>21 SECRETARIA DE TURISMO</t>
  </si>
  <si>
    <t>PROGRAMA</t>
  </si>
  <si>
    <t>PROYECTO</t>
  </si>
  <si>
    <t>FECHA</t>
  </si>
  <si>
    <t>FOLIO</t>
  </si>
  <si>
    <t>SUBPROGRAMA</t>
  </si>
  <si>
    <t>UNIDAD RESPONSABLE</t>
  </si>
  <si>
    <t>21.10.01</t>
  </si>
  <si>
    <t>DATOS PROPORCIONADOS POR LA DEPENDENCIA</t>
  </si>
  <si>
    <t>REFERENCIA AL DOCUMENTO</t>
  </si>
  <si>
    <t>COMPROBANTE No.</t>
  </si>
  <si>
    <t>PARTIDA No.</t>
  </si>
  <si>
    <t>IMPORTE</t>
  </si>
  <si>
    <t>OBSERVACIONES</t>
  </si>
  <si>
    <t>DATOS DEL CONTRIBUYENTE</t>
  </si>
  <si>
    <t>RFC</t>
  </si>
  <si>
    <t>No. Proveedor:</t>
  </si>
  <si>
    <t>DEPOSITO EN CUENTA:</t>
  </si>
  <si>
    <t xml:space="preserve">NOMBRE: </t>
  </si>
  <si>
    <t>No. CUENTA:</t>
  </si>
  <si>
    <t>CLABE INTERBANCARIA:</t>
  </si>
  <si>
    <t>SUCURSAL:</t>
  </si>
  <si>
    <t>BANCO:</t>
  </si>
  <si>
    <t>CIUDAD:</t>
  </si>
  <si>
    <t>ELABORA</t>
  </si>
  <si>
    <t>AUTORIZA</t>
  </si>
  <si>
    <t>DIRECTORA ADMINISTRATIVA</t>
  </si>
  <si>
    <t>C.P. LILIA ANAYANSI TAPIA CURIEL</t>
  </si>
  <si>
    <t>LIC. FERNANDO OLIVERA ROCHA</t>
  </si>
  <si>
    <t>REGISTROS DE CONTROL</t>
  </si>
  <si>
    <t>INGRESO</t>
  </si>
  <si>
    <t>CLAVE PRESUPUESTARIA</t>
  </si>
  <si>
    <t>NOMBRE DE RESPONSABLE DE ENLACE</t>
  </si>
  <si>
    <t>Lic. Betzahira Sarai Mendoza Montoya</t>
  </si>
  <si>
    <t xml:space="preserve">Lic. Monica Rico Gamiño </t>
  </si>
  <si>
    <t>Lic. Stephanie Yunuen Jimenez Mejía</t>
  </si>
  <si>
    <t>C.P. Karina Lopez Ortega</t>
  </si>
  <si>
    <t>Lic. Zurizadai Mariana Torres Torrres</t>
  </si>
  <si>
    <t>Lic. Luz Margarita Robledo Olivares</t>
  </si>
  <si>
    <t>Lic. Jorge Alberto Caballero Cordova</t>
  </si>
  <si>
    <t>Lic. Ana Karina Palmas Espinosa</t>
  </si>
  <si>
    <t>Lic. Paulo Yañez Quintero</t>
  </si>
  <si>
    <t>C.P. Ma. Consuelo Hernández Pérez</t>
  </si>
  <si>
    <t>Lic. Doris Lorena Alba Gonzalez</t>
  </si>
  <si>
    <t>Lic. Astrid Berenice Rangel Perez</t>
  </si>
  <si>
    <t>partida</t>
  </si>
  <si>
    <t>descripcion</t>
  </si>
  <si>
    <t>2100 MATERIALES DE ADMINISTRACIÓN, EMISIÓN DE DOCUMENTOS Y ARTÍCULOS OFICIALES</t>
  </si>
  <si>
    <t>2110 Materiales, útiles y equipos menores de oficina</t>
  </si>
  <si>
    <t>2120 Materiales y útiles de impresión y reproducción</t>
  </si>
  <si>
    <t>2130 Material estadístico y geográfico</t>
  </si>
  <si>
    <t>2140 Materiales, útiles y equipos menores de tecnologías de la información y comunicaciones</t>
  </si>
  <si>
    <t>2150 Material impreso e información digital</t>
  </si>
  <si>
    <t>2160 Material de limpieza</t>
  </si>
  <si>
    <t>2180 Materiales para el registro e identificación de bienes y personas</t>
  </si>
  <si>
    <t>2200 ALIMENTOS Y UTENSILIOS</t>
  </si>
  <si>
    <t>2210 Productos alimenticios para personas</t>
  </si>
  <si>
    <t>2220 Productos alimenticios para animales</t>
  </si>
  <si>
    <t>2230 Utensilios para el servicio de alimentación</t>
  </si>
  <si>
    <t>2300 MATERIAS PRIMAS Y MATERIALES DE PRODUCCIÓN Y  COMERCIALIZACIÓN</t>
  </si>
  <si>
    <t>2310 Productos alimenticios, agropecuarios y forestales adquiridos como materia prima</t>
  </si>
  <si>
    <t>2320 Insumos textiles adquiridos como materia prima</t>
  </si>
  <si>
    <t>2330 Productos de papel, cartón e impresos adquiridos como materia prima</t>
  </si>
  <si>
    <t>2340 Combustibles, lubricantes, aditivos, carbón y sus derivados adquiridos como materia prima</t>
  </si>
  <si>
    <t>2350 Productos químicos, farmacéuticos y de laboratorio adquiridos como materia prima</t>
  </si>
  <si>
    <t>2360 Productos metálicos y a base de minerales no metálicos adquiridos como materia prima</t>
  </si>
  <si>
    <t>2370 Productos de cuero, piel, plástico y hule adquiridos como materia prima</t>
  </si>
  <si>
    <t>2380 Mercancías adquiridas para su comercialización</t>
  </si>
  <si>
    <t>2390 Otros productos adquiridos como materia prima</t>
  </si>
  <si>
    <t>2400 MATERIALES Y ARTÍCULOS DE CONSTRUCCIÓN Y DE REPARACIÓN</t>
  </si>
  <si>
    <t>2410 Productos minerales no metálicos</t>
  </si>
  <si>
    <t>2420 Cemento y productos de concreto</t>
  </si>
  <si>
    <t>2430 Cal, yeso y productos de yeso</t>
  </si>
  <si>
    <t>2440 Madera y productos de madera</t>
  </si>
  <si>
    <t>2450 Vidrio y productos de vidrio</t>
  </si>
  <si>
    <t>2460 Material eléctrico y electrónico</t>
  </si>
  <si>
    <t>2470 Artículos metálicos para la construcción</t>
  </si>
  <si>
    <t>2480 Materiales complementarios</t>
  </si>
  <si>
    <t>2490 Otros materiales y artículos de construcción y reparación</t>
  </si>
  <si>
    <t>2500 PRODUCTOS QUÍMICOS, FARMACÉUTICOS Y DE LABORATORIO</t>
  </si>
  <si>
    <t>2510 Productos químicos básicos</t>
  </si>
  <si>
    <t>2520 Fertilizantes, pesticidas y otros agroquímicos</t>
  </si>
  <si>
    <t>2530 Medicinas y productos farmacéuticos</t>
  </si>
  <si>
    <t>2540 Materiales, accesorios y suministros médicos</t>
  </si>
  <si>
    <t>2550 Materiales, accesorios y suministros de laboratorio</t>
  </si>
  <si>
    <t>2560 Fibras sintéticas, hules, plásticos y derivados</t>
  </si>
  <si>
    <t>2590 Otros productos químicos</t>
  </si>
  <si>
    <t>2600 COMBUSTIBLES, LUBRICANTES Y ADITIVOS</t>
  </si>
  <si>
    <t>2610 Combustibles, lubricantes y aditivos</t>
  </si>
  <si>
    <t>2620 Carbón y sus derivados</t>
  </si>
  <si>
    <t xml:space="preserve">2700 VESTUARIO, BLANCOS, PRENDAS DE PROTECCIÓN Y ARTÍCULOS </t>
  </si>
  <si>
    <t>2710 Vestuario y uniformes</t>
  </si>
  <si>
    <t>2720 Prendas de seguridad y protección personal</t>
  </si>
  <si>
    <t>2730 Artículos deportivos</t>
  </si>
  <si>
    <t>2740 Productos textiles</t>
  </si>
  <si>
    <t>2750 Blancos y otros productos textiles, excepto prendas de vestir</t>
  </si>
  <si>
    <t>2800 MATERIALES Y SUMINISTROS PARA SEGURIDAD</t>
  </si>
  <si>
    <t>2810 Sustancias y materiales explosivos</t>
  </si>
  <si>
    <t>2820 Materiales de seguridad pública</t>
  </si>
  <si>
    <t>2830 Prendas de protección para seguridad pública y nacional</t>
  </si>
  <si>
    <t>2900 HERRAMIENTAS, REFACCIONES Y ACCESORIOS MENORES</t>
  </si>
  <si>
    <t>2910 Herramientas menores</t>
  </si>
  <si>
    <t>2920 Refacciones y accesorios menores de edificios</t>
  </si>
  <si>
    <t>2930 Refacciones y accesorios menores de mobiliario y equipo de administración, educacional y recreativo</t>
  </si>
  <si>
    <t>2940 Refacciones y accesorios menores de equipo de cómputo y tecnologías de la información</t>
  </si>
  <si>
    <t>2950 Refacciones y accesorios menores de equipo e instrumental médico y de laboratorio</t>
  </si>
  <si>
    <t>2960 Refacciones y accesorios menores de equipo de transporte</t>
  </si>
  <si>
    <t>2970 Refacciones y accesorios menores de equipo de defensa y seguridad</t>
  </si>
  <si>
    <t>2980 Refacciones y accesorios menores de maquinaria y otros equipos</t>
  </si>
  <si>
    <t>2990 Refacciones y accesorios menores otros bienes muebles</t>
  </si>
  <si>
    <t>3000 SERVICIOS GENERALES</t>
  </si>
  <si>
    <t>3100 SERVICIOS BÁSICOS</t>
  </si>
  <si>
    <t>3110 Energía eléctrica</t>
  </si>
  <si>
    <t>3120 Gas</t>
  </si>
  <si>
    <t>3130 Agua</t>
  </si>
  <si>
    <t>3140 Telefonía tradicional</t>
  </si>
  <si>
    <t>3150 Telefonía celular</t>
  </si>
  <si>
    <t>3160 Servicios de telecomunicaciones y satélites</t>
  </si>
  <si>
    <t>3170 Servicios de acceso a Internet, redes y procesamiento de información</t>
  </si>
  <si>
    <t>3180 Servicios postales y telegráficos</t>
  </si>
  <si>
    <t>3190 Servicios integrales y otros servicios</t>
  </si>
  <si>
    <t>3200 SERVICIOS DE ARRENDAMIENTO</t>
  </si>
  <si>
    <t>3210 Arrendamiento de terrenos</t>
  </si>
  <si>
    <t>3220 Arrendamiento de edificios</t>
  </si>
  <si>
    <t>3230 Arrendamiento de mobiliario y equipo de administración, educacional y recreativo</t>
  </si>
  <si>
    <t>3240 Arrendamiento de equipo e instrumental médico y de laboratorio</t>
  </si>
  <si>
    <t>3250 Arrendamiento de equipo de transporte</t>
  </si>
  <si>
    <t>3260 Arrendamiento de maquinaria, otros equipos y herramientas</t>
  </si>
  <si>
    <t>3270 Arrendamiento de activos intangibles</t>
  </si>
  <si>
    <t>3280 Arrendamiento financiero</t>
  </si>
  <si>
    <t>3290 Otros arrendamientos</t>
  </si>
  <si>
    <t>3300 SERVICIOS PROFESIONALES, CIENTÍFICOS, TÉCNICOS Y OTROS SERVICIOS</t>
  </si>
  <si>
    <t>3310 Servicios legales, de contabilidad, auditoría y relacionados</t>
  </si>
  <si>
    <t>3320 Servicios de diseño, arquitectura, ingeniería y actividades relacionadas</t>
  </si>
  <si>
    <t>3330 Servicios de consultoría administrativa, procesos, técnica y en tecnologías de la información</t>
  </si>
  <si>
    <t>3340 Servicios de capacitación</t>
  </si>
  <si>
    <t>3350 Servicios de investigación científica y desarrollo</t>
  </si>
  <si>
    <t>3360 Servicios de apoyo administrativo, traducción, fotocopiado e impresión</t>
  </si>
  <si>
    <t>3370 Servicios de protección y seguridad</t>
  </si>
  <si>
    <t>3380 Servicios de vigilancia</t>
  </si>
  <si>
    <t>3390 Servicios profesionales, científicos y técnicos integrales</t>
  </si>
  <si>
    <t>3400 SERVICIOS FINANCIEROS, BANCARIOS Y COMERCIALES</t>
  </si>
  <si>
    <t>3410 Servicios financieros y bancarios</t>
  </si>
  <si>
    <t>3420 Servicios de cobranza, investigación crediticia y similar</t>
  </si>
  <si>
    <t>3430 Servicios de recaudación, traslado y custodia de valores</t>
  </si>
  <si>
    <t>3440 Seguros de responsabilidad patrimonial y fianzas</t>
  </si>
  <si>
    <t>3450 Seguros de bienes patrimoniales</t>
  </si>
  <si>
    <t>3460 Almacenaje, envase y embalaje</t>
  </si>
  <si>
    <t>3470 Fletes y maniobras</t>
  </si>
  <si>
    <t>3480 Comisiones por ventas</t>
  </si>
  <si>
    <t>3490 Servicios financieros, bancarios y comerciales integrales</t>
  </si>
  <si>
    <t>3500 SERVICIOS DE INSTALACIÓN, REPARACIÓN, MANTENIMIENTO Y CONSERVACIÓN</t>
  </si>
  <si>
    <t>3510 Conservación y mantenimiento menor de inmuebles</t>
  </si>
  <si>
    <t>3520 Instalación, reparación y mantenimiento de mobiliario y equipo de administración, educacional y recreativo</t>
  </si>
  <si>
    <t>3530 Instalación, reparación y mantenimiento de equipo de cómputo y tecnologías de la información</t>
  </si>
  <si>
    <t>3540 Instalación, reparación y mantenimiento de equipo e instrumental médico y de laboratorio</t>
  </si>
  <si>
    <t>3550 Reparación y mantenimiento de equipo de transporte</t>
  </si>
  <si>
    <t>3560 Reparación y mantenimiento de equipo de defensa y seguridad</t>
  </si>
  <si>
    <t>3570 Instalación, reparación y mantenimiento de maquinaria, otros equipos y herramienta</t>
  </si>
  <si>
    <t>3580 Servicios de limpieza y manejo de desechos</t>
  </si>
  <si>
    <t>3590 Servicios de jardinería y fumigación</t>
  </si>
  <si>
    <t>3600 SERVICIOS DE COMUNICACIÓN SOCIAL Y PUBLICIDAD</t>
  </si>
  <si>
    <t>3611 Difusión por radio, televisión y prensa sobre programas y actividades gubernamentales</t>
  </si>
  <si>
    <t>3612 Difusión por medio alternativos sobre programas y actividades gubernamentales</t>
  </si>
  <si>
    <t>3620 Difusión por radio, televisión, y otros medios de mensajes comerciales para promover la venta de bienes y servicios</t>
  </si>
  <si>
    <t>3630 Servicios de creatividad, preproducción y producción de publicidad, excepto Internet</t>
  </si>
  <si>
    <t>3640 Servicios de revelado de fotografías</t>
  </si>
  <si>
    <t>3650 Servicios de la industria fílmica, del sonido y del video</t>
  </si>
  <si>
    <t>3660 Servicio de creación y difusión de contenido exclusivamente a través de Internet</t>
  </si>
  <si>
    <t>3690 Otros servicios de información</t>
  </si>
  <si>
    <t>3700 SERVICIOS DE TRASLADO Y VIÁTICOS</t>
  </si>
  <si>
    <t>3710 Pasajes aéreos</t>
  </si>
  <si>
    <t>3720 Pasajes terrestres</t>
  </si>
  <si>
    <t>3730 Pasajes marítimos, lacustres y fluviales</t>
  </si>
  <si>
    <t>3740 Autotransporte</t>
  </si>
  <si>
    <t>3750 Viáticos en el país</t>
  </si>
  <si>
    <t>3760 Viáticos en el extranjero</t>
  </si>
  <si>
    <t>3770 Gastos de instalación y traslado de menaje</t>
  </si>
  <si>
    <t>3780 Servicios integrales de traslado y viáticos</t>
  </si>
  <si>
    <t>3790 Otros servicios de traslado y hospedaje</t>
  </si>
  <si>
    <t>3800 SERVICIOS OFICIALES</t>
  </si>
  <si>
    <t>3810 Gastos de ceremonial</t>
  </si>
  <si>
    <t>3820 Gastos de orden social y cultural</t>
  </si>
  <si>
    <t>3830 Congresos y convenciones</t>
  </si>
  <si>
    <t>3840 Exposiciones</t>
  </si>
  <si>
    <t>3850 Gastos de representación</t>
  </si>
  <si>
    <t>3900 OTROS SERVICIOS GENERALES</t>
  </si>
  <si>
    <t>3910 Servicios funerarios y de cementerios</t>
  </si>
  <si>
    <t>3920 Impuestos y derechos</t>
  </si>
  <si>
    <t>3930 Impuestos y derechos de importación</t>
  </si>
  <si>
    <t>3940 Sentencias y resoluciones judiciales</t>
  </si>
  <si>
    <t>3950 Penas, multas, accesorios y actualizaciones</t>
  </si>
  <si>
    <t>3960 Otros gastos por responsabilidades</t>
  </si>
  <si>
    <t>3980 Impuesto sobre nóminas y otros que se deriven de una relación laboral (Entra en</t>
  </si>
  <si>
    <t>3990 Otros servicios generales</t>
  </si>
  <si>
    <t>4000 TRANSFERENCIAS, ASIGNACIONES, SUBSIDIOS Y OTRAS AYUDAS</t>
  </si>
  <si>
    <t>4100 TRANSFERENCIAS INTERNAS Y ASIGNACIONES AL SECTOR PÚBLICO</t>
  </si>
  <si>
    <t>4111 Asignaciones presupuestarias al Poder Ejecutivo para servicios personales</t>
  </si>
  <si>
    <t>4112 Asignaciones presupuestarias al Poder Ejecutivo para materiales y suministros</t>
  </si>
  <si>
    <t>4113 Asignaciones presupuestarias al Poder Ejecutivo para servicios generales</t>
  </si>
  <si>
    <t>4114 Asignaciones presupuestarias al Poder Ejecutivo de gasto corriente para asignaciones, subsidios y otras ayudas</t>
  </si>
  <si>
    <t>4115 Asignaciones presupuestarias al Poder Ejecutivo para bienes muebles, inmuebles e intangibles</t>
  </si>
  <si>
    <t>4116 Asignaciones presupuestarias al Poder Ejecutivo para inversión pública</t>
  </si>
  <si>
    <t>4117 Asignaciones presupuestarias al Poder Ejecutivo de gasto corriente para inversiones financieras y otras provisiones</t>
  </si>
  <si>
    <t>4118 Asignaciones presupuestarias al Poder Ejecutivo de gasto de capital para asignaciones, subsidios y otras ayudas</t>
  </si>
  <si>
    <t>4119 Asignaciones presupuestarias al Poder Ejecutivo de gasto de capital para inversiones financieras y otras provisiones</t>
  </si>
  <si>
    <t>4121 Asignaciones presupuestarias al Poder Legislativo para servicios personales</t>
  </si>
  <si>
    <t>4122 Asignaciones presupuestarias al Poder Legislativo para materiales y suministros</t>
  </si>
  <si>
    <t>4123 Asignaciones presupuestarias al Poder Legislativo para servicios generales</t>
  </si>
  <si>
    <t>4124 Asignaciones presupuestarias al Poder Legislativo de gasto corriente para asignaciones, subsidios y otras ayudas</t>
  </si>
  <si>
    <t>4125 Asignaciones presupuestarias al Poder Legislativo para bienes muebles, inmuebles e intangibles</t>
  </si>
  <si>
    <t>4126 Asignaciones presupuestarias al Poder Legislativo para inversión pública</t>
  </si>
  <si>
    <t>4127 Asignaciones presupuestarias al Poder Legislativo de gasto corriente para inversiones financieras y otras provisiones</t>
  </si>
  <si>
    <t>4128 Asignaciones presupuestarias al Poder Legislativo de gasto de capital para asignaciones, subsidios y otras ayudas</t>
  </si>
  <si>
    <t>4129 Asignaciones presupuestarias al Poder Legislativo de gasto de capital para inversiones financieras y otras provisiones</t>
  </si>
  <si>
    <t>4131 Asignaciones presupuestarias al Poder Judicial para servicios personales</t>
  </si>
  <si>
    <t>4132 Asignaciones presupuestarias al Poder Judicial para materiales y suministros</t>
  </si>
  <si>
    <t>4133 Asignaciones presupuestarias al Poder Judicial para servicios generales</t>
  </si>
  <si>
    <t>4134 Asignaciones presupuestarias al Poder Judicial de gasto corriente para asignaciones, subsidios y otras ayudas</t>
  </si>
  <si>
    <t>4135 Asignaciones presupuestarias al Poder Judicial para bienes muebles, inmuebles e intangibles</t>
  </si>
  <si>
    <t>4136 Asignaciones presupuestarias al Poder Judicial para inversión pública</t>
  </si>
  <si>
    <t>4137 Asignaciones presupuestarias al Poder Judicial de gasto corriente para inversiones financieras y otras provisiones</t>
  </si>
  <si>
    <t>4138 Asignaciones presupuestarias al Poder Judicial de gasto de capital para asignaciones, subsidios y otras ayudas</t>
  </si>
  <si>
    <t>4139 Asignaciones presupuestarias al Poder Judicial de gasto de capital para inversiones financieras y otras provisiones</t>
  </si>
  <si>
    <t>4141 Asignaciones presupuestarias a Organismos Autónomos para servicios personales</t>
  </si>
  <si>
    <t>4142 Asignaciones presupuestarias a Organismos Autónomos para materiales y suministros</t>
  </si>
  <si>
    <t>4143 Asignaciones presupuestarias a Organismos Autónomos para servicios generales</t>
  </si>
  <si>
    <t>4144 Asignaciones presupuestarias a Organismos Autónomos de gasto corriente para asignaciones, subsidios y otras ayudas</t>
  </si>
  <si>
    <t>4145 Asignaciones presupuestarias a Organismos Autónomos para bienes muebles, inmuebles e intangibles</t>
  </si>
  <si>
    <t>4146 Asignaciones presupuestarias a Organismos Autónomos para inversión pública</t>
  </si>
  <si>
    <t>4147 Asignaciones presupuestarias a Organismos Autónomos de gasto corriente para inversiones financieras y otras provisiones</t>
  </si>
  <si>
    <t>4148 Asignaciones presupuestarias a Organismos Autónomos de gasto de capital para asignaciones, subsidios y otras ayudas</t>
  </si>
  <si>
    <t>4149 Asignaciones presupuestarias a Organismos Autónomos de gasto de capital para inversiones financieras y otras provisiones</t>
  </si>
  <si>
    <t>4151 Transferencias internas otorgadas a entidades paraestatales no empresariales y no financieras para servicios personales</t>
  </si>
  <si>
    <t>4152 Transferencias internas otorgadas a entidades paraestatales no empresariales y no financieras para materiales y suministros</t>
  </si>
  <si>
    <t>4153 Transferencias internas otorgadas a entidades paraestatales no empresariales y no financieras para servicios generales</t>
  </si>
  <si>
    <t>4154 Transferencias internas otorgadas a entidades paraestatales no empresariales y no financieras de gasto corriente para asignaciones, subsidios y otras ayudas</t>
  </si>
  <si>
    <t>4155 Transferencias internas otorgadas a entidades paraestatales no empresariales y no financieras para bienes muebles, inmuebles e intangibles</t>
  </si>
  <si>
    <t>4156 Transferencias internas otorgadas a entidades paraestatales no empresariales y no financieras para inversión pública</t>
  </si>
  <si>
    <t>4157 Transferencias internas otorgadas a entidades paraestatales no empresariales y no financieras de gasto corriente para inversiones financieras y otras provisiones</t>
  </si>
  <si>
    <t>4158 Transferencias internas otorgadas a entidades paraestatales no empresariales y no financieras de gasto de capital para asignaciones, subsidios y otras ayudas</t>
  </si>
  <si>
    <t>4159 Transferencias internas otorgadas a entidades paraestatales no empresariales y no financieras de gasto de capital para inversiones financieras y otras provisiones</t>
  </si>
  <si>
    <t>4161 Transferencias internas otorgadas a entidades paraestatales empresariales y no financieras para servicios personales</t>
  </si>
  <si>
    <t>4162 Transferencias internas otorgadas a entidades paraestatales empresariales y no financieras para materiales y suministros</t>
  </si>
  <si>
    <t>4163 Transferencias internas otorgadas a entidades paraestatales empresariales y no financieras para servicios generales</t>
  </si>
  <si>
    <t>4164 Transferencias internas otorgadas a entidades paraestatales empresariales y no financieras de gasto corriente para asignaciones, subsidios y otras ayudas</t>
  </si>
  <si>
    <t>4165 Transferencias internas otorgadas a entidades paraestatales empresariales y no financieras para bienes muebles, inmuebles e intangibles</t>
  </si>
  <si>
    <t>4166 Transferencias internas otorgadas a entidades paraestatales empresariales y no financieras para inversión pública</t>
  </si>
  <si>
    <t>4167 Transferencias internas otorgadas a entidades paraestatales empresariales y no financieras de gasto corriente para inversiones financieras y otras provisiones</t>
  </si>
  <si>
    <t>4168 Transferencias internas otorgadas a entidades paraestatales empresariales y no financieras de gasto de capital para asignaciones, subsidios y otras ayudas</t>
  </si>
  <si>
    <t>4169 Transferencias internas otorgadas a entidades paraestatales empresariales y no financieras de gasto de capital para inversiones financieras y otras provisiones</t>
  </si>
  <si>
    <t>4170 Transferencias internas otorgadas a fideicomisos públicos empresariales y no</t>
  </si>
  <si>
    <t>4180 Transferencias internas otorgadas a instituciones paraestatales públicas financieras</t>
  </si>
  <si>
    <t>4190 Transferencias internas otorgadas a fideicomisos públicos financieros</t>
  </si>
  <si>
    <t>4200 TRANSFERENCIAS AL RESTO DEL SECTOR PÚBLICO</t>
  </si>
  <si>
    <t>4211 Transferencias otorgadas a entidades paraestatales no empresariales y no financieras para gasto corriente</t>
  </si>
  <si>
    <t>4212 Transferencias otorgadas a entidades paraestatales no empresariales y no financieras para gasto de capital</t>
  </si>
  <si>
    <t>4221 Transferencias otorgadas a entidades paraestatales empresariales y no financieras para gasto corriente</t>
  </si>
  <si>
    <t>4222 Transferencias otorgadas a entidades paraestatales empresariales y no financieras para gasto de capital</t>
  </si>
  <si>
    <t>4230 Transferencias otorgadas a instituciones paraestatales públicas financieras</t>
  </si>
  <si>
    <t>4241 Transferencias otorgadas a entidades federativas y municipios para gasto corriente</t>
  </si>
  <si>
    <t>4242 Transferencias otorgadas a entidades federativas y municipios para gasto de capital</t>
  </si>
  <si>
    <t>4250 Transferencias a fideicomisos de entidades federativas y municipios</t>
  </si>
  <si>
    <t>4300 SUBSIDIOS Y SUBVENCIONES</t>
  </si>
  <si>
    <t>4310 Subsidios a la producción</t>
  </si>
  <si>
    <t>4320 Subsidios a la distribución</t>
  </si>
  <si>
    <t>4330 Subsidios a la inversión</t>
  </si>
  <si>
    <t>4340 Subsidios a la prestación de servicios públicos</t>
  </si>
  <si>
    <t>4350 Subsidios para cubrir diferenciales de tasas de interés</t>
  </si>
  <si>
    <t>4360 Subsidios a la vivienda</t>
  </si>
  <si>
    <t>4370 Subvenciones al consumo</t>
  </si>
  <si>
    <t>4400 AYUDAS SOCIALES</t>
  </si>
  <si>
    <t>4410 Ayudas sociales a personas</t>
  </si>
  <si>
    <t>4420 Becas y otras ayudas para programas de capacitación</t>
  </si>
  <si>
    <t>4430 Ayudas sociales a instituciones de enseñanza</t>
  </si>
  <si>
    <t>4440 Ayudas sociales a actividades científicas o académicas</t>
  </si>
  <si>
    <t>4450 Ayudas sociales a instituciones sin fines de lucro</t>
  </si>
  <si>
    <t>4460 Ayudas sociales a cooperativas</t>
  </si>
  <si>
    <t>4470 Ayudas sociales a entidades de interés público</t>
  </si>
  <si>
    <t>4480 Ayudas por desastres naturales y otros siniestros</t>
  </si>
  <si>
    <t>4500 PENSIONES Y JUBILACIONES</t>
  </si>
  <si>
    <t>4510 Pensiones</t>
  </si>
  <si>
    <t>4520 Jubilaciones</t>
  </si>
  <si>
    <t>4590 Otras pensiones y jubilaciones</t>
  </si>
  <si>
    <t>4600 TRANSFERENCIAS A FIDEICOMISOS, MANDATOS Y OTROS ANÁLOGOS</t>
  </si>
  <si>
    <t>4610 Transferencias a fideicomisos del Poder Ejecutivo</t>
  </si>
  <si>
    <t>4620 Transferencias a fideicomisos del Poder Legislativo</t>
  </si>
  <si>
    <t>4630 Transferencias a fideicomisos del Poder Judicial</t>
  </si>
  <si>
    <t>4640 Transferencias a fideicomisos públicos de entidades paraestatales no empresariales y no financieras</t>
  </si>
  <si>
    <t>4650 Transferencias a fideicomisos públicos de entidades paraestatales empresariales y no financieras</t>
  </si>
  <si>
    <t>4660 Transferencias a fideicomisos de instituciones públicas financieras</t>
  </si>
  <si>
    <t>4900 TRANSFERENCIAS AL EXTERIOR</t>
  </si>
  <si>
    <t>4910 Transferencias para gobiernos extranjeros</t>
  </si>
  <si>
    <t>4920 Transferencias para organismos internacionales</t>
  </si>
  <si>
    <t>4930 Transferencias para el sector privado externo</t>
  </si>
  <si>
    <t>SELLO Y FIRMA DE LA DIRECCIÓN GENERAL DE PRESUPUESTO</t>
  </si>
  <si>
    <t>SELLO Y FIRMA RECIBIDO DE LA DIRECCIÓN GENERAL DE EGRESOS</t>
  </si>
  <si>
    <t>FORMATO PT - 1 17</t>
  </si>
  <si>
    <t>REFERENCIA ALFANUMERICA O NUMERICA</t>
  </si>
  <si>
    <t>BANAMEX</t>
  </si>
  <si>
    <t>DGI224</t>
  </si>
  <si>
    <t>JUAN CARLOS GONZALEZ MORALES</t>
  </si>
  <si>
    <t>GOMJ710721MK4</t>
  </si>
  <si>
    <t>002225902042580498</t>
  </si>
  <si>
    <t>LEON</t>
  </si>
  <si>
    <t>TITULAR DE LA DEPENDENCIA</t>
  </si>
  <si>
    <t>18.GG.G1074</t>
  </si>
  <si>
    <t>18.GG.G2061</t>
  </si>
  <si>
    <t>18.GG.P0292</t>
  </si>
  <si>
    <t xml:space="preserve">18.GG.P0293 </t>
  </si>
  <si>
    <t>18.GG.P0293.002</t>
  </si>
  <si>
    <t xml:space="preserve">18.GG.Q0340  </t>
  </si>
  <si>
    <t xml:space="preserve">18.GG.Q0341  </t>
  </si>
  <si>
    <t xml:space="preserve">18.GG.Q0342  </t>
  </si>
  <si>
    <t xml:space="preserve">18.GG.Q0343 </t>
  </si>
  <si>
    <t xml:space="preserve">18.GG.Q0344  </t>
  </si>
  <si>
    <t xml:space="preserve">18.GG.Q0345  </t>
  </si>
  <si>
    <t xml:space="preserve">18.GG.Q0347  </t>
  </si>
  <si>
    <t xml:space="preserve">18.GG.Q0358  </t>
  </si>
  <si>
    <t xml:space="preserve">18.GG.Q0360 </t>
  </si>
  <si>
    <t xml:space="preserve">18.GG.Q0367  </t>
  </si>
  <si>
    <t xml:space="preserve">18.GG.Q0368  </t>
  </si>
  <si>
    <t xml:space="preserve">18.GG.Q0373  </t>
  </si>
  <si>
    <t xml:space="preserve">18.GG.Q0374  </t>
  </si>
  <si>
    <t xml:space="preserve">18.GG.Q0375 </t>
  </si>
  <si>
    <t xml:space="preserve">18.GG.Q0376  </t>
  </si>
  <si>
    <t>18.GG.Q0377</t>
  </si>
  <si>
    <t>18.GG.Q0378</t>
  </si>
  <si>
    <t>18.GG.Q0379</t>
  </si>
  <si>
    <t>18.GG.Q0380</t>
  </si>
  <si>
    <t>18.GG.Q0381</t>
  </si>
  <si>
    <t>18.GG.Q0418</t>
  </si>
  <si>
    <t>18.GG.Q0498</t>
  </si>
  <si>
    <t>18.GG.Q0621</t>
  </si>
  <si>
    <t>18.GG.Q0622</t>
  </si>
  <si>
    <t>18.GG.Q0623</t>
  </si>
  <si>
    <t>18.GG.Q0624</t>
  </si>
  <si>
    <t>18.GG.Q0723</t>
  </si>
  <si>
    <t>18.GG.Q0797</t>
  </si>
  <si>
    <t>18.GG.Q0799</t>
  </si>
  <si>
    <t>18.GG.Q1545</t>
  </si>
  <si>
    <t>18.GG.Q1896</t>
  </si>
  <si>
    <t>18.GG.Q2390</t>
  </si>
  <si>
    <t>18.GG.Q2442</t>
  </si>
  <si>
    <t>18.GG.Q2523</t>
  </si>
  <si>
    <t>18.GG.Q2561</t>
  </si>
  <si>
    <t>18.GG.Q2699</t>
  </si>
  <si>
    <t>18.GG.Q2701</t>
  </si>
  <si>
    <t>18.GG.G2062</t>
  </si>
  <si>
    <t>PT SECTUR/SSPT/DPD/       /2018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</si>
</sst>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4" formatCode="_-&quot;$&quot;* #,##0.00_-;\-&quot;$&quot;* #,##0.00_-;_-&quot;$&quot;* &quot;-&quot;??_-;_-@_-"/>
    <numFmt numFmtId="164" formatCode="&quot;$&quot;#,##0.00"/>
    <numFmt numFmtId="165" formatCode="00000"/>
  </numFmts>
  <fonts count="1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name val="Arial"/>
      <family val="2"/>
    </font>
    <font>
      <sz val="14"/>
      <name val="Arial"/>
      <family val="2"/>
    </font>
    <font>
      <sz val="11"/>
      <color theme="1"/>
      <name val="Arial"/>
      <family val="2"/>
    </font>
    <font>
      <sz val="14"/>
      <color theme="1"/>
      <name val="Calibri"/>
      <family val="2"/>
      <scheme val="minor"/>
    </font>
    <font>
      <b/>
      <sz val="14"/>
      <color theme="0" tint="-0.499984740745262"/>
      <name val="Arial"/>
      <family val="2"/>
    </font>
    <font>
      <sz val="16"/>
      <name val="Arial"/>
      <family val="2"/>
    </font>
    <font>
      <b/>
      <sz val="16"/>
      <name val="Arial"/>
      <family val="2"/>
    </font>
    <font>
      <sz val="16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5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/>
      <bottom/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/>
      <right style="double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/>
      <top/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double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/>
      <top/>
      <bottom style="medium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167">
    <xf numFmtId="0" fontId="0" fillId="0" borderId="0" xfId="0"/>
    <xf numFmtId="165" fontId="3" fillId="0" borderId="0" xfId="0" applyNumberFormat="1" applyFont="1" applyFill="1" applyBorder="1" applyAlignment="1" applyProtection="1">
      <alignment horizontal="center" vertical="center"/>
    </xf>
    <xf numFmtId="165" fontId="3" fillId="0" borderId="5" xfId="0" applyNumberFormat="1" applyFont="1" applyFill="1" applyBorder="1" applyAlignment="1" applyProtection="1">
      <alignment horizontal="center" vertical="center"/>
    </xf>
    <xf numFmtId="0" fontId="0" fillId="0" borderId="0" xfId="0" applyAlignment="1">
      <alignment horizontal="left"/>
    </xf>
    <xf numFmtId="0" fontId="4" fillId="0" borderId="0" xfId="0" applyFont="1" applyFill="1" applyBorder="1" applyAlignment="1">
      <alignment horizontal="left"/>
    </xf>
    <xf numFmtId="0" fontId="4" fillId="0" borderId="0" xfId="0" applyFont="1" applyBorder="1"/>
    <xf numFmtId="0" fontId="4" fillId="0" borderId="0" xfId="0" applyFont="1" applyBorder="1" applyAlignment="1">
      <alignment horizontal="left"/>
    </xf>
    <xf numFmtId="0" fontId="4" fillId="0" borderId="0" xfId="0" applyFont="1" applyBorder="1" applyAlignment="1">
      <alignment horizontal="left" wrapText="1"/>
    </xf>
    <xf numFmtId="0" fontId="0" fillId="2" borderId="0" xfId="0" applyFill="1"/>
    <xf numFmtId="0" fontId="2" fillId="0" borderId="5" xfId="0" applyFont="1" applyFill="1" applyBorder="1" applyAlignment="1" applyProtection="1">
      <alignment horizontal="center"/>
    </xf>
    <xf numFmtId="0" fontId="5" fillId="0" borderId="1" xfId="0" applyFont="1" applyFill="1" applyBorder="1" applyProtection="1"/>
    <xf numFmtId="0" fontId="5" fillId="0" borderId="2" xfId="0" applyFont="1" applyFill="1" applyBorder="1" applyProtection="1"/>
    <xf numFmtId="0" fontId="5" fillId="0" borderId="0" xfId="0" applyFont="1" applyFill="1" applyProtection="1"/>
    <xf numFmtId="0" fontId="5" fillId="0" borderId="4" xfId="0" applyFont="1" applyFill="1" applyBorder="1" applyProtection="1"/>
    <xf numFmtId="0" fontId="5" fillId="0" borderId="0" xfId="0" applyFont="1" applyFill="1" applyBorder="1" applyProtection="1"/>
    <xf numFmtId="0" fontId="2" fillId="0" borderId="0" xfId="0" applyFont="1" applyFill="1" applyBorder="1" applyAlignment="1" applyProtection="1"/>
    <xf numFmtId="0" fontId="2" fillId="0" borderId="5" xfId="0" applyFont="1" applyFill="1" applyBorder="1" applyAlignment="1" applyProtection="1"/>
    <xf numFmtId="0" fontId="5" fillId="0" borderId="5" xfId="0" applyFont="1" applyFill="1" applyBorder="1" applyProtection="1"/>
    <xf numFmtId="0" fontId="3" fillId="0" borderId="0" xfId="0" applyFont="1" applyFill="1" applyBorder="1" applyAlignment="1" applyProtection="1"/>
    <xf numFmtId="0" fontId="3" fillId="0" borderId="0" xfId="0" applyFont="1" applyFill="1" applyBorder="1" applyProtection="1"/>
    <xf numFmtId="0" fontId="3" fillId="0" borderId="4" xfId="0" applyFont="1" applyFill="1" applyBorder="1" applyProtection="1"/>
    <xf numFmtId="0" fontId="2" fillId="0" borderId="14" xfId="0" applyFont="1" applyFill="1" applyBorder="1" applyAlignment="1" applyProtection="1">
      <alignment horizontal="center" vertical="center"/>
    </xf>
    <xf numFmtId="0" fontId="2" fillId="0" borderId="15" xfId="0" applyFont="1" applyFill="1" applyBorder="1" applyAlignment="1" applyProtection="1">
      <alignment horizontal="center" vertical="center"/>
    </xf>
    <xf numFmtId="0" fontId="2" fillId="0" borderId="18" xfId="0" applyFont="1" applyFill="1" applyBorder="1" applyAlignment="1" applyProtection="1">
      <alignment horizontal="center" vertical="center"/>
    </xf>
    <xf numFmtId="0" fontId="2" fillId="0" borderId="19" xfId="0" applyFont="1" applyFill="1" applyBorder="1" applyAlignment="1" applyProtection="1">
      <alignment horizontal="center" vertical="center" wrapText="1"/>
    </xf>
    <xf numFmtId="0" fontId="3" fillId="0" borderId="0" xfId="0" applyFont="1" applyFill="1" applyProtection="1"/>
    <xf numFmtId="0" fontId="2" fillId="0" borderId="0" xfId="0" applyFont="1" applyBorder="1" applyAlignment="1" applyProtection="1">
      <alignment horizontal="center"/>
    </xf>
    <xf numFmtId="0" fontId="3" fillId="0" borderId="0" xfId="0" applyFont="1" applyFill="1" applyBorder="1" applyAlignment="1" applyProtection="1">
      <alignment horizontal="center"/>
    </xf>
    <xf numFmtId="0" fontId="2" fillId="0" borderId="0" xfId="0" applyFont="1" applyFill="1" applyBorder="1" applyProtection="1"/>
    <xf numFmtId="49" fontId="3" fillId="0" borderId="0" xfId="0" applyNumberFormat="1" applyFont="1" applyFill="1" applyBorder="1" applyAlignment="1" applyProtection="1">
      <alignment horizontal="center" vertical="center" wrapText="1"/>
    </xf>
    <xf numFmtId="0" fontId="3" fillId="0" borderId="0" xfId="0" applyFont="1" applyFill="1" applyBorder="1" applyAlignment="1" applyProtection="1">
      <alignment horizontal="center" vertical="center"/>
    </xf>
    <xf numFmtId="0" fontId="3" fillId="0" borderId="5" xfId="0" applyFont="1" applyFill="1" applyBorder="1" applyProtection="1"/>
    <xf numFmtId="0" fontId="3" fillId="0" borderId="27" xfId="0" applyFont="1" applyFill="1" applyBorder="1" applyAlignment="1" applyProtection="1">
      <alignment horizontal="center" vertical="center"/>
    </xf>
    <xf numFmtId="0" fontId="3" fillId="0" borderId="30" xfId="0" applyFont="1" applyFill="1" applyBorder="1" applyAlignment="1" applyProtection="1">
      <alignment horizontal="center"/>
    </xf>
    <xf numFmtId="164" fontId="3" fillId="0" borderId="31" xfId="0" applyNumberFormat="1" applyFont="1" applyFill="1" applyBorder="1" applyAlignment="1" applyProtection="1"/>
    <xf numFmtId="39" fontId="3" fillId="0" borderId="32" xfId="0" applyNumberFormat="1" applyFont="1" applyFill="1" applyBorder="1" applyAlignment="1" applyProtection="1"/>
    <xf numFmtId="0" fontId="2" fillId="0" borderId="0" xfId="0" applyFont="1" applyFill="1" applyProtection="1"/>
    <xf numFmtId="0" fontId="2" fillId="0" borderId="5" xfId="0" applyFont="1" applyFill="1" applyBorder="1" applyAlignment="1" applyProtection="1">
      <alignment horizontal="left"/>
    </xf>
    <xf numFmtId="0" fontId="3" fillId="0" borderId="30" xfId="0" applyFont="1" applyFill="1" applyBorder="1" applyAlignment="1" applyProtection="1">
      <alignment horizontal="center" wrapText="1"/>
      <protection locked="0"/>
    </xf>
    <xf numFmtId="0" fontId="2" fillId="0" borderId="31" xfId="0" applyFont="1" applyFill="1" applyBorder="1" applyAlignment="1" applyProtection="1"/>
    <xf numFmtId="0" fontId="2" fillId="0" borderId="31" xfId="0" applyFont="1" applyFill="1" applyBorder="1" applyAlignment="1" applyProtection="1">
      <alignment horizontal="left"/>
    </xf>
    <xf numFmtId="0" fontId="2" fillId="0" borderId="0" xfId="0" applyFont="1" applyFill="1" applyAlignment="1" applyProtection="1">
      <alignment horizontal="left"/>
    </xf>
    <xf numFmtId="0" fontId="3" fillId="0" borderId="18" xfId="0" applyFont="1" applyFill="1" applyBorder="1" applyAlignment="1" applyProtection="1">
      <alignment horizontal="center" wrapText="1"/>
      <protection locked="0"/>
    </xf>
    <xf numFmtId="0" fontId="3" fillId="0" borderId="4" xfId="0" applyFont="1" applyFill="1" applyBorder="1" applyAlignment="1" applyProtection="1">
      <alignment horizontal="center" vertical="center"/>
    </xf>
    <xf numFmtId="0" fontId="3" fillId="0" borderId="34" xfId="0" applyFont="1" applyFill="1" applyBorder="1" applyProtection="1"/>
    <xf numFmtId="0" fontId="5" fillId="0" borderId="34" xfId="0" applyFont="1" applyFill="1" applyBorder="1" applyProtection="1"/>
    <xf numFmtId="0" fontId="5" fillId="0" borderId="6" xfId="0" applyFont="1" applyFill="1" applyBorder="1" applyProtection="1"/>
    <xf numFmtId="0" fontId="5" fillId="0" borderId="7" xfId="0" applyFont="1" applyFill="1" applyBorder="1" applyProtection="1"/>
    <xf numFmtId="0" fontId="3" fillId="0" borderId="6" xfId="0" applyFont="1" applyFill="1" applyBorder="1" applyProtection="1"/>
    <xf numFmtId="0" fontId="3" fillId="0" borderId="47" xfId="0" applyFont="1" applyFill="1" applyBorder="1" applyProtection="1"/>
    <xf numFmtId="0" fontId="3" fillId="0" borderId="42" xfId="0" applyFont="1" applyFill="1" applyBorder="1" applyProtection="1"/>
    <xf numFmtId="0" fontId="3" fillId="0" borderId="41" xfId="0" applyFont="1" applyFill="1" applyBorder="1" applyProtection="1"/>
    <xf numFmtId="0" fontId="3" fillId="0" borderId="43" xfId="0" applyFont="1" applyFill="1" applyBorder="1" applyProtection="1"/>
    <xf numFmtId="0" fontId="2" fillId="0" borderId="0" xfId="0" applyFont="1" applyFill="1" applyAlignment="1" applyProtection="1">
      <alignment horizontal="center"/>
    </xf>
    <xf numFmtId="0" fontId="8" fillId="0" borderId="6" xfId="0" applyFont="1" applyFill="1" applyBorder="1" applyAlignment="1" applyProtection="1">
      <alignment horizontal="center"/>
    </xf>
    <xf numFmtId="0" fontId="9" fillId="0" borderId="0" xfId="0" applyFont="1" applyFill="1" applyBorder="1" applyProtection="1"/>
    <xf numFmtId="0" fontId="3" fillId="0" borderId="20" xfId="0" applyFont="1" applyFill="1" applyBorder="1" applyAlignment="1" applyProtection="1">
      <alignment horizontal="center" vertical="center"/>
    </xf>
    <xf numFmtId="0" fontId="2" fillId="0" borderId="4" xfId="0" applyFont="1" applyFill="1" applyBorder="1" applyAlignment="1" applyProtection="1">
      <alignment horizontal="center"/>
    </xf>
    <xf numFmtId="0" fontId="2" fillId="0" borderId="0" xfId="0" applyFont="1" applyFill="1" applyBorder="1" applyAlignment="1" applyProtection="1">
      <alignment horizontal="center"/>
    </xf>
    <xf numFmtId="0" fontId="3" fillId="0" borderId="8" xfId="0" applyFont="1" applyFill="1" applyBorder="1" applyAlignment="1" applyProtection="1">
      <alignment horizontal="center"/>
    </xf>
    <xf numFmtId="0" fontId="3" fillId="0" borderId="9" xfId="0" applyFont="1" applyFill="1" applyBorder="1" applyAlignment="1" applyProtection="1">
      <alignment horizontal="center"/>
    </xf>
    <xf numFmtId="0" fontId="3" fillId="0" borderId="10" xfId="0" applyFont="1" applyFill="1" applyBorder="1" applyAlignment="1" applyProtection="1">
      <alignment horizontal="center"/>
    </xf>
    <xf numFmtId="49" fontId="2" fillId="0" borderId="1" xfId="0" applyNumberFormat="1" applyFont="1" applyFill="1" applyBorder="1" applyAlignment="1" applyProtection="1">
      <alignment horizontal="center" vertical="center" wrapText="1"/>
    </xf>
    <xf numFmtId="49" fontId="2" fillId="0" borderId="2" xfId="0" applyNumberFormat="1" applyFont="1" applyFill="1" applyBorder="1" applyAlignment="1" applyProtection="1">
      <alignment horizontal="center" vertical="center" wrapText="1"/>
    </xf>
    <xf numFmtId="49" fontId="2" fillId="0" borderId="3" xfId="0" applyNumberFormat="1" applyFont="1" applyFill="1" applyBorder="1" applyAlignment="1" applyProtection="1">
      <alignment horizontal="center" vertical="center" wrapText="1"/>
    </xf>
    <xf numFmtId="49" fontId="2" fillId="0" borderId="11" xfId="0" applyNumberFormat="1" applyFont="1" applyFill="1" applyBorder="1" applyAlignment="1" applyProtection="1">
      <alignment horizontal="center" vertical="center" wrapText="1"/>
    </xf>
    <xf numFmtId="49" fontId="2" fillId="0" borderId="12" xfId="0" applyNumberFormat="1" applyFont="1" applyFill="1" applyBorder="1" applyAlignment="1" applyProtection="1">
      <alignment horizontal="center" vertical="center" wrapText="1"/>
    </xf>
    <xf numFmtId="49" fontId="2" fillId="0" borderId="13" xfId="0" applyNumberFormat="1" applyFont="1" applyFill="1" applyBorder="1" applyAlignment="1" applyProtection="1">
      <alignment horizontal="center" vertical="center" wrapText="1"/>
    </xf>
    <xf numFmtId="0" fontId="2" fillId="0" borderId="16" xfId="0" applyFont="1" applyFill="1" applyBorder="1" applyAlignment="1" applyProtection="1">
      <alignment horizontal="center" vertical="center"/>
    </xf>
    <xf numFmtId="0" fontId="2" fillId="0" borderId="20" xfId="0" applyFont="1" applyFill="1" applyBorder="1" applyAlignment="1" applyProtection="1">
      <alignment horizontal="center" vertical="center"/>
    </xf>
    <xf numFmtId="0" fontId="6" fillId="0" borderId="2" xfId="0" applyFont="1" applyFill="1" applyBorder="1" applyAlignment="1" applyProtection="1">
      <alignment horizontal="center"/>
    </xf>
    <xf numFmtId="0" fontId="6" fillId="0" borderId="3" xfId="0" applyFont="1" applyFill="1" applyBorder="1" applyAlignment="1" applyProtection="1">
      <alignment horizontal="center"/>
    </xf>
    <xf numFmtId="0" fontId="2" fillId="0" borderId="5" xfId="0" applyFont="1" applyFill="1" applyBorder="1" applyAlignment="1" applyProtection="1">
      <alignment horizontal="center"/>
    </xf>
    <xf numFmtId="0" fontId="2" fillId="0" borderId="4" xfId="0" applyFont="1" applyFill="1" applyBorder="1" applyAlignment="1" applyProtection="1">
      <alignment horizontal="right"/>
    </xf>
    <xf numFmtId="0" fontId="2" fillId="0" borderId="0" xfId="0" applyFont="1" applyFill="1" applyBorder="1" applyAlignment="1" applyProtection="1">
      <alignment horizontal="right"/>
    </xf>
    <xf numFmtId="0" fontId="7" fillId="0" borderId="0" xfId="0" applyFont="1" applyFill="1" applyBorder="1" applyAlignment="1" applyProtection="1">
      <alignment horizontal="left"/>
    </xf>
    <xf numFmtId="164" fontId="2" fillId="0" borderId="6" xfId="0" applyNumberFormat="1" applyFont="1" applyFill="1" applyBorder="1" applyAlignment="1" applyProtection="1">
      <alignment horizontal="center"/>
    </xf>
    <xf numFmtId="164" fontId="2" fillId="0" borderId="7" xfId="0" applyNumberFormat="1" applyFont="1" applyFill="1" applyBorder="1" applyAlignment="1" applyProtection="1">
      <alignment horizontal="center"/>
    </xf>
    <xf numFmtId="49" fontId="3" fillId="0" borderId="22" xfId="0" applyNumberFormat="1" applyFont="1" applyFill="1" applyBorder="1" applyAlignment="1" applyProtection="1">
      <alignment horizontal="center" vertical="center" wrapText="1"/>
    </xf>
    <xf numFmtId="49" fontId="3" fillId="0" borderId="30" xfId="0" applyNumberFormat="1" applyFont="1" applyFill="1" applyBorder="1" applyAlignment="1" applyProtection="1">
      <alignment horizontal="center" vertical="center" wrapText="1"/>
    </xf>
    <xf numFmtId="49" fontId="3" fillId="0" borderId="24" xfId="0" applyNumberFormat="1" applyFont="1" applyFill="1" applyBorder="1" applyAlignment="1" applyProtection="1">
      <alignment horizontal="center" vertical="center" wrapText="1"/>
    </xf>
    <xf numFmtId="14" fontId="3" fillId="0" borderId="20" xfId="0" applyNumberFormat="1" applyFont="1" applyFill="1" applyBorder="1" applyAlignment="1" applyProtection="1">
      <alignment horizontal="center" vertical="center"/>
      <protection locked="0"/>
    </xf>
    <xf numFmtId="14" fontId="3" fillId="0" borderId="45" xfId="0" applyNumberFormat="1" applyFont="1" applyFill="1" applyBorder="1" applyAlignment="1" applyProtection="1">
      <alignment horizontal="center" vertical="center"/>
      <protection locked="0"/>
    </xf>
    <xf numFmtId="0" fontId="3" fillId="0" borderId="25" xfId="0" applyFont="1" applyFill="1" applyBorder="1" applyAlignment="1" applyProtection="1">
      <alignment horizontal="center" vertical="center"/>
      <protection locked="0"/>
    </xf>
    <xf numFmtId="165" fontId="2" fillId="0" borderId="20" xfId="0" applyNumberFormat="1" applyFont="1" applyFill="1" applyBorder="1" applyAlignment="1" applyProtection="1">
      <alignment horizontal="center" vertical="center"/>
      <protection locked="0"/>
    </xf>
    <xf numFmtId="165" fontId="2" fillId="0" borderId="21" xfId="0" applyNumberFormat="1" applyFont="1" applyFill="1" applyBorder="1" applyAlignment="1" applyProtection="1">
      <alignment horizontal="center" vertical="center"/>
      <protection locked="0"/>
    </xf>
    <xf numFmtId="165" fontId="2" fillId="0" borderId="45" xfId="0" applyNumberFormat="1" applyFont="1" applyFill="1" applyBorder="1" applyAlignment="1" applyProtection="1">
      <alignment horizontal="center" vertical="center"/>
      <protection locked="0"/>
    </xf>
    <xf numFmtId="165" fontId="2" fillId="0" borderId="46" xfId="0" applyNumberFormat="1" applyFont="1" applyFill="1" applyBorder="1" applyAlignment="1" applyProtection="1">
      <alignment horizontal="center" vertical="center"/>
      <protection locked="0"/>
    </xf>
    <xf numFmtId="165" fontId="2" fillId="0" borderId="25" xfId="0" applyNumberFormat="1" applyFont="1" applyFill="1" applyBorder="1" applyAlignment="1" applyProtection="1">
      <alignment horizontal="center" vertical="center"/>
      <protection locked="0"/>
    </xf>
    <xf numFmtId="165" fontId="2" fillId="0" borderId="26" xfId="0" applyNumberFormat="1" applyFont="1" applyFill="1" applyBorder="1" applyAlignment="1" applyProtection="1">
      <alignment horizontal="center" vertical="center"/>
      <protection locked="0"/>
    </xf>
    <xf numFmtId="49" fontId="2" fillId="0" borderId="0" xfId="0" applyNumberFormat="1" applyFont="1" applyFill="1" applyBorder="1" applyAlignment="1" applyProtection="1">
      <alignment horizontal="center"/>
    </xf>
    <xf numFmtId="49" fontId="3" fillId="0" borderId="23" xfId="0" applyNumberFormat="1" applyFont="1" applyFill="1" applyBorder="1" applyAlignment="1" applyProtection="1">
      <alignment horizontal="center" vertical="center" wrapText="1"/>
      <protection locked="0"/>
    </xf>
    <xf numFmtId="49" fontId="3" fillId="0" borderId="44" xfId="0" applyNumberFormat="1" applyFont="1" applyFill="1" applyBorder="1" applyAlignment="1" applyProtection="1">
      <alignment horizontal="center" vertical="center" wrapText="1"/>
      <protection locked="0"/>
    </xf>
    <xf numFmtId="0" fontId="7" fillId="0" borderId="0" xfId="0" applyFont="1" applyFill="1" applyBorder="1" applyAlignment="1" applyProtection="1">
      <alignment horizontal="right"/>
    </xf>
    <xf numFmtId="0" fontId="2" fillId="0" borderId="17" xfId="0" applyFont="1" applyFill="1" applyBorder="1" applyAlignment="1" applyProtection="1">
      <alignment horizontal="center" vertical="center"/>
    </xf>
    <xf numFmtId="0" fontId="2" fillId="0" borderId="21" xfId="0" applyFont="1" applyFill="1" applyBorder="1" applyAlignment="1" applyProtection="1">
      <alignment horizontal="center" vertical="center"/>
    </xf>
    <xf numFmtId="44" fontId="3" fillId="0" borderId="31" xfId="1" applyFont="1" applyBorder="1" applyAlignment="1" applyProtection="1">
      <alignment horizontal="left"/>
      <protection locked="0"/>
    </xf>
    <xf numFmtId="44" fontId="3" fillId="0" borderId="33" xfId="1" applyFont="1" applyBorder="1" applyAlignment="1" applyProtection="1">
      <alignment horizontal="left"/>
      <protection locked="0"/>
    </xf>
    <xf numFmtId="0" fontId="2" fillId="0" borderId="29" xfId="0" applyFont="1" applyFill="1" applyBorder="1" applyAlignment="1" applyProtection="1">
      <alignment horizontal="left"/>
      <protection locked="0"/>
    </xf>
    <xf numFmtId="0" fontId="2" fillId="0" borderId="30" xfId="0" applyFont="1" applyFill="1" applyBorder="1" applyAlignment="1" applyProtection="1">
      <alignment horizontal="left"/>
      <protection locked="0"/>
    </xf>
    <xf numFmtId="0" fontId="2" fillId="0" borderId="31" xfId="0" applyFont="1" applyFill="1" applyBorder="1" applyAlignment="1" applyProtection="1">
      <alignment horizontal="left" vertical="center" wrapText="1"/>
    </xf>
    <xf numFmtId="0" fontId="2" fillId="0" borderId="0" xfId="0" applyFont="1" applyFill="1" applyAlignment="1" applyProtection="1">
      <alignment horizontal="center" vertical="center" wrapText="1"/>
      <protection locked="0"/>
    </xf>
    <xf numFmtId="0" fontId="2" fillId="0" borderId="5" xfId="0" applyFont="1" applyFill="1" applyBorder="1" applyAlignment="1" applyProtection="1">
      <alignment horizontal="center" vertical="center" wrapText="1"/>
      <protection locked="0"/>
    </xf>
    <xf numFmtId="0" fontId="2" fillId="0" borderId="0" xfId="0" applyFont="1" applyFill="1" applyAlignment="1" applyProtection="1">
      <alignment horizontal="center" vertical="center"/>
      <protection locked="0"/>
    </xf>
    <xf numFmtId="0" fontId="2" fillId="0" borderId="5" xfId="0" applyFont="1" applyFill="1" applyBorder="1" applyAlignment="1" applyProtection="1">
      <alignment horizontal="center" vertical="center"/>
      <protection locked="0"/>
    </xf>
    <xf numFmtId="0" fontId="2" fillId="0" borderId="0" xfId="0" applyFont="1" applyFill="1" applyAlignment="1" applyProtection="1">
      <alignment horizontal="center"/>
      <protection locked="0"/>
    </xf>
    <xf numFmtId="0" fontId="2" fillId="0" borderId="5" xfId="0" applyFont="1" applyFill="1" applyBorder="1" applyAlignment="1" applyProtection="1">
      <alignment horizontal="center"/>
      <protection locked="0"/>
    </xf>
    <xf numFmtId="0" fontId="3" fillId="0" borderId="21" xfId="0" applyFont="1" applyFill="1" applyBorder="1" applyAlignment="1" applyProtection="1">
      <alignment horizontal="center" vertical="center"/>
    </xf>
    <xf numFmtId="0" fontId="3" fillId="0" borderId="27" xfId="0" applyFont="1" applyFill="1" applyBorder="1" applyAlignment="1" applyProtection="1">
      <alignment horizontal="center" vertical="center"/>
    </xf>
    <xf numFmtId="0" fontId="3" fillId="0" borderId="28" xfId="0" applyFont="1" applyFill="1" applyBorder="1" applyAlignment="1" applyProtection="1">
      <alignment horizontal="center" vertical="center"/>
    </xf>
    <xf numFmtId="0" fontId="2" fillId="0" borderId="29" xfId="0" applyFont="1" applyFill="1" applyBorder="1" applyAlignment="1" applyProtection="1">
      <alignment horizontal="left"/>
    </xf>
    <xf numFmtId="0" fontId="2" fillId="0" borderId="30" xfId="0" applyFont="1" applyFill="1" applyBorder="1" applyAlignment="1" applyProtection="1">
      <alignment horizontal="left"/>
    </xf>
    <xf numFmtId="0" fontId="2" fillId="0" borderId="4" xfId="0" applyFont="1" applyFill="1" applyBorder="1" applyAlignment="1" applyProtection="1">
      <alignment horizontal="left"/>
      <protection locked="0"/>
    </xf>
    <xf numFmtId="0" fontId="2" fillId="0" borderId="33" xfId="0" applyFont="1" applyFill="1" applyBorder="1" applyAlignment="1" applyProtection="1">
      <alignment horizontal="left"/>
      <protection locked="0"/>
    </xf>
    <xf numFmtId="0" fontId="3" fillId="0" borderId="48" xfId="0" applyFont="1" applyFill="1" applyBorder="1" applyAlignment="1" applyProtection="1">
      <alignment horizontal="center"/>
    </xf>
    <xf numFmtId="0" fontId="3" fillId="0" borderId="49" xfId="0" applyFont="1" applyFill="1" applyBorder="1" applyAlignment="1" applyProtection="1">
      <alignment horizontal="center"/>
    </xf>
    <xf numFmtId="0" fontId="3" fillId="0" borderId="50" xfId="0" applyFont="1" applyFill="1" applyBorder="1" applyAlignment="1" applyProtection="1">
      <alignment horizontal="center"/>
    </xf>
    <xf numFmtId="0" fontId="3" fillId="0" borderId="31" xfId="0" applyFont="1" applyFill="1" applyBorder="1" applyAlignment="1" applyProtection="1">
      <alignment horizontal="center"/>
    </xf>
    <xf numFmtId="0" fontId="3" fillId="0" borderId="0" xfId="0" applyFont="1" applyFill="1" applyBorder="1" applyAlignment="1" applyProtection="1">
      <alignment horizontal="center"/>
    </xf>
    <xf numFmtId="0" fontId="3" fillId="0" borderId="33" xfId="0" applyFont="1" applyFill="1" applyBorder="1" applyAlignment="1" applyProtection="1">
      <alignment horizontal="center"/>
    </xf>
    <xf numFmtId="0" fontId="3" fillId="0" borderId="36" xfId="0" applyFont="1" applyFill="1" applyBorder="1" applyAlignment="1" applyProtection="1">
      <alignment horizontal="center"/>
    </xf>
    <xf numFmtId="0" fontId="3" fillId="0" borderId="6" xfId="0" applyFont="1" applyFill="1" applyBorder="1" applyAlignment="1" applyProtection="1">
      <alignment horizontal="center"/>
    </xf>
    <xf numFmtId="0" fontId="3" fillId="0" borderId="35" xfId="0" applyFont="1" applyFill="1" applyBorder="1" applyAlignment="1" applyProtection="1">
      <alignment horizontal="center"/>
    </xf>
    <xf numFmtId="0" fontId="2" fillId="0" borderId="51" xfId="0" applyFont="1" applyFill="1" applyBorder="1" applyAlignment="1" applyProtection="1">
      <alignment horizontal="center" vertical="center"/>
    </xf>
    <xf numFmtId="0" fontId="2" fillId="0" borderId="52" xfId="0" applyFont="1" applyFill="1" applyBorder="1" applyAlignment="1" applyProtection="1">
      <alignment horizontal="center" vertical="center"/>
    </xf>
    <xf numFmtId="0" fontId="2" fillId="0" borderId="53" xfId="0" applyFont="1" applyFill="1" applyBorder="1" applyAlignment="1" applyProtection="1">
      <alignment horizontal="center" vertical="center"/>
    </xf>
    <xf numFmtId="0" fontId="2" fillId="0" borderId="54" xfId="0" applyFont="1" applyFill="1" applyBorder="1" applyAlignment="1" applyProtection="1">
      <alignment horizontal="center" vertical="center"/>
      <protection locked="0"/>
    </xf>
    <xf numFmtId="0" fontId="2" fillId="0" borderId="12" xfId="0" applyFont="1" applyFill="1" applyBorder="1" applyAlignment="1" applyProtection="1">
      <alignment horizontal="center" vertical="center"/>
      <protection locked="0"/>
    </xf>
    <xf numFmtId="0" fontId="2" fillId="0" borderId="55" xfId="0" applyFont="1" applyFill="1" applyBorder="1" applyAlignment="1" applyProtection="1">
      <alignment horizontal="center" vertical="center"/>
      <protection locked="0"/>
    </xf>
    <xf numFmtId="0" fontId="3" fillId="0" borderId="54" xfId="0" applyFont="1" applyFill="1" applyBorder="1" applyAlignment="1" applyProtection="1">
      <alignment horizontal="center"/>
    </xf>
    <xf numFmtId="0" fontId="3" fillId="0" borderId="55" xfId="0" applyFont="1" applyFill="1" applyBorder="1" applyAlignment="1" applyProtection="1">
      <alignment horizontal="center"/>
    </xf>
    <xf numFmtId="0" fontId="3" fillId="0" borderId="38" xfId="0" applyFont="1" applyFill="1" applyBorder="1" applyAlignment="1" applyProtection="1">
      <alignment horizontal="center" vertical="center"/>
    </xf>
    <xf numFmtId="0" fontId="3" fillId="0" borderId="9" xfId="0" applyFont="1" applyFill="1" applyBorder="1" applyAlignment="1" applyProtection="1">
      <alignment horizontal="center" vertical="center"/>
    </xf>
    <xf numFmtId="0" fontId="3" fillId="0" borderId="10" xfId="0" applyFont="1" applyFill="1" applyBorder="1" applyAlignment="1" applyProtection="1">
      <alignment horizontal="center" vertical="center"/>
    </xf>
    <xf numFmtId="44" fontId="3" fillId="0" borderId="36" xfId="1" applyFont="1" applyBorder="1" applyAlignment="1" applyProtection="1">
      <alignment horizontal="left"/>
      <protection locked="0"/>
    </xf>
    <xf numFmtId="44" fontId="3" fillId="0" borderId="35" xfId="1" applyFont="1" applyBorder="1" applyAlignment="1" applyProtection="1">
      <alignment horizontal="left"/>
      <protection locked="0"/>
    </xf>
    <xf numFmtId="44" fontId="3" fillId="0" borderId="40" xfId="1" applyFont="1" applyFill="1" applyBorder="1" applyAlignment="1" applyProtection="1">
      <alignment horizontal="center"/>
    </xf>
    <xf numFmtId="44" fontId="3" fillId="0" borderId="37" xfId="1" applyFont="1" applyFill="1" applyBorder="1" applyAlignment="1" applyProtection="1">
      <alignment horizontal="center"/>
    </xf>
    <xf numFmtId="0" fontId="2" fillId="0" borderId="0" xfId="0" applyFont="1" applyFill="1" applyBorder="1" applyAlignment="1" applyProtection="1">
      <alignment horizontal="left" vertical="center"/>
      <protection locked="0"/>
    </xf>
    <xf numFmtId="0" fontId="2" fillId="0" borderId="41" xfId="0" applyFont="1" applyFill="1" applyBorder="1" applyAlignment="1" applyProtection="1">
      <alignment horizontal="left" vertical="center"/>
      <protection locked="0"/>
    </xf>
    <xf numFmtId="0" fontId="2" fillId="0" borderId="0" xfId="0" applyFont="1" applyFill="1" applyAlignment="1" applyProtection="1">
      <alignment horizontal="left"/>
      <protection locked="0"/>
    </xf>
    <xf numFmtId="0" fontId="2" fillId="0" borderId="5" xfId="0" applyFont="1" applyFill="1" applyBorder="1" applyAlignment="1" applyProtection="1">
      <alignment horizontal="left"/>
      <protection locked="0"/>
    </xf>
    <xf numFmtId="49" fontId="2" fillId="0" borderId="0" xfId="0" applyNumberFormat="1" applyFont="1" applyFill="1" applyAlignment="1" applyProtection="1">
      <alignment horizontal="left"/>
      <protection locked="0"/>
    </xf>
    <xf numFmtId="49" fontId="2" fillId="0" borderId="5" xfId="0" applyNumberFormat="1" applyFont="1" applyFill="1" applyBorder="1" applyAlignment="1" applyProtection="1">
      <alignment horizontal="left"/>
      <protection locked="0"/>
    </xf>
    <xf numFmtId="0" fontId="3" fillId="0" borderId="7" xfId="0" applyFont="1" applyFill="1" applyBorder="1" applyAlignment="1" applyProtection="1">
      <alignment horizontal="center"/>
    </xf>
    <xf numFmtId="0" fontId="3" fillId="0" borderId="4" xfId="0" applyFont="1" applyFill="1" applyBorder="1" applyAlignment="1" applyProtection="1">
      <alignment horizontal="center"/>
    </xf>
    <xf numFmtId="0" fontId="3" fillId="0" borderId="5" xfId="0" applyFont="1" applyFill="1" applyBorder="1" applyAlignment="1" applyProtection="1">
      <alignment horizontal="center"/>
    </xf>
    <xf numFmtId="0" fontId="3" fillId="0" borderId="8" xfId="0" applyFont="1" applyFill="1" applyBorder="1" applyAlignment="1" applyProtection="1">
      <alignment horizontal="left" vertical="center"/>
    </xf>
    <xf numFmtId="0" fontId="3" fillId="0" borderId="9" xfId="0" applyFont="1" applyFill="1" applyBorder="1" applyAlignment="1" applyProtection="1">
      <alignment horizontal="left" vertical="center"/>
    </xf>
    <xf numFmtId="0" fontId="3" fillId="0" borderId="10" xfId="0" applyFont="1" applyFill="1" applyBorder="1" applyAlignment="1" applyProtection="1">
      <alignment horizontal="left" vertical="center"/>
    </xf>
    <xf numFmtId="0" fontId="3" fillId="0" borderId="1" xfId="0" applyFont="1" applyFill="1" applyBorder="1" applyAlignment="1" applyProtection="1">
      <alignment horizontal="center" vertical="center" wrapText="1"/>
    </xf>
    <xf numFmtId="0" fontId="3" fillId="0" borderId="2" xfId="0" applyFont="1" applyFill="1" applyBorder="1" applyAlignment="1" applyProtection="1">
      <alignment horizontal="center" vertical="center" wrapText="1"/>
    </xf>
    <xf numFmtId="0" fontId="3" fillId="0" borderId="3" xfId="0" applyFont="1" applyFill="1" applyBorder="1" applyAlignment="1" applyProtection="1">
      <alignment horizontal="center" vertical="center" wrapText="1"/>
    </xf>
    <xf numFmtId="0" fontId="3" fillId="0" borderId="34" xfId="0" applyFont="1" applyFill="1" applyBorder="1" applyAlignment="1" applyProtection="1">
      <alignment horizontal="center" vertical="center" wrapText="1"/>
    </xf>
    <xf numFmtId="0" fontId="3" fillId="0" borderId="6" xfId="0" applyFont="1" applyFill="1" applyBorder="1" applyAlignment="1" applyProtection="1">
      <alignment horizontal="center" vertical="center" wrapText="1"/>
    </xf>
    <xf numFmtId="0" fontId="3" fillId="0" borderId="7" xfId="0" applyFont="1" applyFill="1" applyBorder="1" applyAlignment="1" applyProtection="1">
      <alignment horizontal="center" vertical="center" wrapText="1"/>
    </xf>
    <xf numFmtId="0" fontId="3" fillId="0" borderId="1" xfId="0" applyFont="1" applyFill="1" applyBorder="1" applyAlignment="1" applyProtection="1">
      <alignment horizontal="center"/>
    </xf>
    <xf numFmtId="0" fontId="3" fillId="0" borderId="2" xfId="0" applyFont="1" applyFill="1" applyBorder="1" applyAlignment="1" applyProtection="1">
      <alignment horizontal="center"/>
    </xf>
    <xf numFmtId="0" fontId="3" fillId="0" borderId="3" xfId="0" applyFont="1" applyFill="1" applyBorder="1" applyAlignment="1" applyProtection="1">
      <alignment horizontal="center"/>
    </xf>
    <xf numFmtId="0" fontId="2" fillId="0" borderId="31" xfId="0" applyFont="1" applyFill="1" applyBorder="1" applyAlignment="1" applyProtection="1">
      <alignment horizontal="center"/>
    </xf>
    <xf numFmtId="0" fontId="2" fillId="0" borderId="0" xfId="0" applyFont="1" applyFill="1" applyAlignment="1" applyProtection="1">
      <alignment horizontal="left"/>
    </xf>
    <xf numFmtId="0" fontId="2" fillId="0" borderId="5" xfId="0" applyFont="1" applyFill="1" applyBorder="1" applyAlignment="1" applyProtection="1">
      <alignment horizontal="left"/>
    </xf>
    <xf numFmtId="0" fontId="3" fillId="0" borderId="8" xfId="0" applyFont="1" applyFill="1" applyBorder="1" applyAlignment="1" applyProtection="1">
      <alignment horizontal="center" vertical="center"/>
    </xf>
    <xf numFmtId="0" fontId="2" fillId="0" borderId="39" xfId="0" applyFont="1" applyFill="1" applyBorder="1" applyAlignment="1" applyProtection="1">
      <alignment horizontal="left"/>
      <protection locked="0"/>
    </xf>
    <xf numFmtId="0" fontId="2" fillId="0" borderId="18" xfId="0" applyFont="1" applyFill="1" applyBorder="1" applyAlignment="1" applyProtection="1">
      <alignment horizontal="left"/>
      <protection locked="0"/>
    </xf>
    <xf numFmtId="0" fontId="3" fillId="0" borderId="4" xfId="0" applyFont="1" applyFill="1" applyBorder="1" applyAlignment="1" applyProtection="1">
      <alignment horizontal="left"/>
    </xf>
    <xf numFmtId="0" fontId="3" fillId="0" borderId="0" xfId="0" applyFont="1" applyFill="1" applyBorder="1" applyAlignment="1" applyProtection="1">
      <alignment horizontal="left"/>
    </xf>
  </cellXfs>
  <cellStyles count="3">
    <cellStyle name="Moneda" xfId="1" builtinId="4"/>
    <cellStyle name="Moneda 2" xfId="2"/>
    <cellStyle name="Normal" xfId="0" builtinId="0"/>
  </cellStyles>
  <dxfs count="1"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85725</xdr:colOff>
      <xdr:row>0</xdr:row>
      <xdr:rowOff>57149</xdr:rowOff>
    </xdr:from>
    <xdr:to>
      <xdr:col>0</xdr:col>
      <xdr:colOff>1190625</xdr:colOff>
      <xdr:row>6</xdr:row>
      <xdr:rowOff>135255</xdr:rowOff>
    </xdr:to>
    <xdr:pic>
      <xdr:nvPicPr>
        <xdr:cNvPr id="2" name="2 Imagen" descr="C:\Documents and Settings\Paty Dominguez\Escritorio\RF - DA (PATY)\LOGO GEG - 2012-2018\b0b659.jpg"/>
        <xdr:cNvPicPr/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85725" y="57149"/>
          <a:ext cx="1127760" cy="1615441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pageSetUpPr fitToPage="1"/>
  </sheetPr>
  <dimension ref="A1:J74"/>
  <sheetViews>
    <sheetView showZeros="0" tabSelected="1" topLeftCell="A4" zoomScale="80" zoomScaleNormal="80" workbookViewId="0">
      <selection activeCell="G30" sqref="G30:I30"/>
    </sheetView>
  </sheetViews>
  <sheetFormatPr baseColWidth="10" defaultColWidth="11.42578125" defaultRowHeight="18.75" x14ac:dyDescent="0.3"/>
  <cols>
    <col min="1" max="1" width="20.7109375" style="12" customWidth="1"/>
    <col min="2" max="2" width="11.42578125" style="12"/>
    <col min="3" max="3" width="20.7109375" style="12" customWidth="1"/>
    <col min="4" max="4" width="11.42578125" style="12"/>
    <col min="5" max="5" width="23.28515625" style="12" bestFit="1" customWidth="1"/>
    <col min="6" max="6" width="33.28515625" style="12" customWidth="1"/>
    <col min="7" max="7" width="20.5703125" style="12" customWidth="1"/>
    <col min="8" max="8" width="13.5703125" style="12" customWidth="1"/>
    <col min="9" max="9" width="29.42578125" style="12" customWidth="1"/>
    <col min="10" max="16384" width="11.42578125" style="12"/>
  </cols>
  <sheetData>
    <row r="1" spans="1:9" x14ac:dyDescent="0.3">
      <c r="A1" s="10"/>
      <c r="B1" s="11"/>
      <c r="C1" s="11"/>
      <c r="D1" s="11"/>
      <c r="E1" s="11"/>
      <c r="F1" s="11"/>
      <c r="G1" s="11"/>
      <c r="H1" s="70" t="s">
        <v>303</v>
      </c>
      <c r="I1" s="71"/>
    </row>
    <row r="2" spans="1:9" ht="26.25" customHeight="1" x14ac:dyDescent="0.3">
      <c r="A2" s="13"/>
      <c r="B2" s="14"/>
      <c r="C2" s="58" t="s">
        <v>0</v>
      </c>
      <c r="D2" s="58"/>
      <c r="E2" s="58"/>
      <c r="F2" s="58"/>
      <c r="G2" s="58"/>
      <c r="H2" s="58"/>
      <c r="I2" s="72"/>
    </row>
    <row r="3" spans="1:9" ht="26.25" customHeight="1" x14ac:dyDescent="0.3">
      <c r="A3" s="13"/>
      <c r="B3" s="14"/>
      <c r="C3" s="58" t="s">
        <v>1</v>
      </c>
      <c r="D3" s="58"/>
      <c r="E3" s="58"/>
      <c r="F3" s="58"/>
      <c r="G3" s="58"/>
      <c r="H3" s="58"/>
      <c r="I3" s="72"/>
    </row>
    <row r="4" spans="1:9" ht="15.75" customHeight="1" x14ac:dyDescent="0.3">
      <c r="A4" s="73"/>
      <c r="B4" s="74"/>
      <c r="C4" s="74"/>
      <c r="D4" s="74"/>
      <c r="E4" s="74"/>
      <c r="F4" s="15"/>
      <c r="G4" s="15"/>
      <c r="H4" s="15"/>
      <c r="I4" s="16"/>
    </row>
    <row r="5" spans="1:9" x14ac:dyDescent="0.3">
      <c r="A5" s="13"/>
      <c r="B5" s="14"/>
      <c r="C5" s="14"/>
      <c r="D5" s="14"/>
      <c r="E5" s="14"/>
      <c r="F5" s="14"/>
      <c r="G5" s="14"/>
      <c r="H5" s="14"/>
      <c r="I5" s="17"/>
    </row>
    <row r="6" spans="1:9" x14ac:dyDescent="0.3">
      <c r="A6" s="57"/>
      <c r="B6" s="58"/>
      <c r="C6" s="58"/>
      <c r="D6" s="58"/>
      <c r="E6" s="58"/>
      <c r="F6" s="58"/>
      <c r="G6" s="58"/>
      <c r="H6" s="58"/>
      <c r="I6" s="72"/>
    </row>
    <row r="7" spans="1:9" x14ac:dyDescent="0.3">
      <c r="A7" s="13"/>
      <c r="B7" s="14"/>
      <c r="C7" s="14"/>
      <c r="D7" s="18"/>
      <c r="E7" s="18"/>
      <c r="F7" s="18"/>
      <c r="G7" s="18"/>
      <c r="H7" s="14"/>
      <c r="I7" s="17"/>
    </row>
    <row r="8" spans="1:9" ht="12.75" customHeight="1" x14ac:dyDescent="0.3">
      <c r="A8" s="13"/>
      <c r="B8" s="14"/>
      <c r="C8" s="14"/>
      <c r="D8" s="14"/>
      <c r="E8" s="14"/>
      <c r="F8" s="14"/>
      <c r="G8" s="14"/>
      <c r="H8" s="14"/>
      <c r="I8" s="17"/>
    </row>
    <row r="9" spans="1:9" ht="17.25" customHeight="1" x14ac:dyDescent="0.3">
      <c r="A9" s="13"/>
      <c r="B9" s="93" t="s">
        <v>2</v>
      </c>
      <c r="C9" s="93"/>
      <c r="D9" s="54">
        <f>COUNTA(A27:B50)</f>
        <v>1</v>
      </c>
      <c r="E9" s="75" t="s">
        <v>3</v>
      </c>
      <c r="F9" s="75"/>
      <c r="G9" s="75"/>
      <c r="H9" s="76">
        <f>D52</f>
        <v>600</v>
      </c>
      <c r="I9" s="77"/>
    </row>
    <row r="10" spans="1:9" ht="17.25" customHeight="1" x14ac:dyDescent="0.35">
      <c r="A10" s="13"/>
      <c r="B10" s="55"/>
      <c r="C10" s="75" t="s">
        <v>4</v>
      </c>
      <c r="D10" s="75"/>
      <c r="E10" s="75"/>
      <c r="F10" s="75"/>
      <c r="G10" s="75"/>
      <c r="H10" s="14"/>
      <c r="I10" s="17"/>
    </row>
    <row r="11" spans="1:9" x14ac:dyDescent="0.3">
      <c r="A11" s="13"/>
      <c r="B11" s="14"/>
      <c r="C11" s="14"/>
      <c r="D11" s="14"/>
      <c r="E11" s="14"/>
      <c r="F11" s="14"/>
      <c r="G11" s="14"/>
      <c r="H11" s="14"/>
      <c r="I11" s="17"/>
    </row>
    <row r="12" spans="1:9" x14ac:dyDescent="0.3">
      <c r="A12" s="57"/>
      <c r="B12" s="58"/>
      <c r="C12" s="58"/>
      <c r="D12" s="14"/>
      <c r="E12" s="59" t="s">
        <v>5</v>
      </c>
      <c r="F12" s="60"/>
      <c r="G12" s="60"/>
      <c r="H12" s="60"/>
      <c r="I12" s="61"/>
    </row>
    <row r="13" spans="1:9" ht="7.9" customHeight="1" x14ac:dyDescent="0.3">
      <c r="A13" s="13"/>
      <c r="B13" s="14"/>
      <c r="C13" s="14"/>
      <c r="D13" s="14"/>
      <c r="E13" s="62" t="s">
        <v>6</v>
      </c>
      <c r="F13" s="63"/>
      <c r="G13" s="63"/>
      <c r="H13" s="63"/>
      <c r="I13" s="64"/>
    </row>
    <row r="14" spans="1:9" ht="19.5" thickBot="1" x14ac:dyDescent="0.35">
      <c r="A14" s="20"/>
      <c r="B14" s="14"/>
      <c r="C14" s="14"/>
      <c r="D14" s="14"/>
      <c r="E14" s="65"/>
      <c r="F14" s="66"/>
      <c r="G14" s="66"/>
      <c r="H14" s="66"/>
      <c r="I14" s="67"/>
    </row>
    <row r="15" spans="1:9" ht="19.5" thickTop="1" x14ac:dyDescent="0.3">
      <c r="A15" s="57"/>
      <c r="B15" s="58"/>
      <c r="C15" s="58"/>
      <c r="D15" s="58"/>
      <c r="E15" s="21" t="s">
        <v>7</v>
      </c>
      <c r="F15" s="22" t="s">
        <v>8</v>
      </c>
      <c r="G15" s="68" t="s">
        <v>9</v>
      </c>
      <c r="H15" s="68" t="s">
        <v>10</v>
      </c>
      <c r="I15" s="94"/>
    </row>
    <row r="16" spans="1:9" ht="36" x14ac:dyDescent="0.3">
      <c r="A16" s="13"/>
      <c r="B16" s="14"/>
      <c r="C16" s="14"/>
      <c r="D16" s="14"/>
      <c r="E16" s="23" t="s">
        <v>11</v>
      </c>
      <c r="F16" s="24" t="s">
        <v>12</v>
      </c>
      <c r="G16" s="69"/>
      <c r="H16" s="69"/>
      <c r="I16" s="95"/>
    </row>
    <row r="17" spans="1:9" s="25" customFormat="1" ht="12.75" customHeight="1" x14ac:dyDescent="0.25">
      <c r="A17" s="20"/>
      <c r="B17" s="19"/>
      <c r="C17" s="19"/>
      <c r="D17" s="19"/>
      <c r="E17" s="78" t="s">
        <v>13</v>
      </c>
      <c r="F17" s="91" t="s">
        <v>313</v>
      </c>
      <c r="G17" s="81">
        <v>43265</v>
      </c>
      <c r="H17" s="84" t="s">
        <v>355</v>
      </c>
      <c r="I17" s="85"/>
    </row>
    <row r="18" spans="1:9" s="25" customFormat="1" ht="12.75" customHeight="1" x14ac:dyDescent="0.25">
      <c r="A18" s="20"/>
      <c r="B18" s="19"/>
      <c r="C18" s="19"/>
      <c r="D18" s="19"/>
      <c r="E18" s="79"/>
      <c r="F18" s="92"/>
      <c r="G18" s="82"/>
      <c r="H18" s="86"/>
      <c r="I18" s="87"/>
    </row>
    <row r="19" spans="1:9" s="25" customFormat="1" ht="12.75" customHeight="1" x14ac:dyDescent="0.25">
      <c r="A19" s="20"/>
      <c r="B19" s="19"/>
      <c r="C19" s="19"/>
      <c r="D19" s="19"/>
      <c r="E19" s="79"/>
      <c r="F19" s="91" t="s">
        <v>354</v>
      </c>
      <c r="G19" s="82"/>
      <c r="H19" s="86"/>
      <c r="I19" s="87"/>
    </row>
    <row r="20" spans="1:9" s="25" customFormat="1" ht="12.75" customHeight="1" thickBot="1" x14ac:dyDescent="0.3">
      <c r="A20" s="20"/>
      <c r="B20" s="90"/>
      <c r="C20" s="90"/>
      <c r="D20" s="90"/>
      <c r="E20" s="80"/>
      <c r="F20" s="92"/>
      <c r="G20" s="83"/>
      <c r="H20" s="88"/>
      <c r="I20" s="89"/>
    </row>
    <row r="21" spans="1:9" s="25" customFormat="1" thickTop="1" x14ac:dyDescent="0.25">
      <c r="A21" s="20"/>
      <c r="B21" s="26"/>
      <c r="C21" s="27"/>
      <c r="D21" s="28"/>
      <c r="E21" s="29"/>
      <c r="F21" s="29"/>
      <c r="G21" s="30"/>
      <c r="H21" s="1"/>
      <c r="I21" s="2"/>
    </row>
    <row r="22" spans="1:9" s="25" customFormat="1" ht="16.5" customHeight="1" x14ac:dyDescent="0.25">
      <c r="A22" s="56" t="s">
        <v>14</v>
      </c>
      <c r="B22" s="56"/>
      <c r="C22" s="56"/>
      <c r="D22" s="56"/>
      <c r="E22" s="56"/>
      <c r="F22" s="56"/>
      <c r="G22" s="56"/>
      <c r="H22" s="56"/>
      <c r="I22" s="56"/>
    </row>
    <row r="23" spans="1:9" s="25" customFormat="1" ht="17.25" customHeight="1" x14ac:dyDescent="0.25">
      <c r="A23" s="56" t="s">
        <v>15</v>
      </c>
      <c r="B23" s="56"/>
      <c r="C23" s="56"/>
      <c r="D23" s="56"/>
      <c r="E23" s="56"/>
      <c r="F23" s="56"/>
      <c r="G23" s="56"/>
      <c r="H23" s="56"/>
      <c r="I23" s="56"/>
    </row>
    <row r="24" spans="1:9" s="25" customFormat="1" ht="7.5" customHeight="1" x14ac:dyDescent="0.25">
      <c r="A24" s="20"/>
      <c r="B24" s="19"/>
      <c r="C24" s="19"/>
      <c r="D24" s="19"/>
      <c r="E24" s="19"/>
      <c r="F24" s="19"/>
      <c r="G24" s="19"/>
      <c r="H24" s="19"/>
      <c r="I24" s="31"/>
    </row>
    <row r="25" spans="1:9" s="25" customFormat="1" ht="15" customHeight="1" x14ac:dyDescent="0.25">
      <c r="A25" s="107" t="s">
        <v>16</v>
      </c>
      <c r="B25" s="108"/>
      <c r="C25" s="32" t="s">
        <v>17</v>
      </c>
      <c r="D25" s="108" t="s">
        <v>18</v>
      </c>
      <c r="E25" s="108"/>
      <c r="F25" s="108" t="s">
        <v>19</v>
      </c>
      <c r="G25" s="108"/>
      <c r="H25" s="108"/>
      <c r="I25" s="109"/>
    </row>
    <row r="26" spans="1:9" s="25" customFormat="1" ht="7.5" customHeight="1" x14ac:dyDescent="0.25">
      <c r="A26" s="110"/>
      <c r="B26" s="111"/>
      <c r="C26" s="33"/>
      <c r="D26" s="34"/>
      <c r="E26" s="35"/>
      <c r="F26" s="36"/>
      <c r="I26" s="37"/>
    </row>
    <row r="27" spans="1:9" s="25" customFormat="1" ht="24" customHeight="1" x14ac:dyDescent="0.25">
      <c r="A27" s="98" t="s">
        <v>306</v>
      </c>
      <c r="B27" s="99"/>
      <c r="C27" s="38">
        <v>3612</v>
      </c>
      <c r="D27" s="96">
        <v>600</v>
      </c>
      <c r="E27" s="97"/>
      <c r="F27" s="100" t="s">
        <v>20</v>
      </c>
      <c r="G27" s="101" t="s">
        <v>307</v>
      </c>
      <c r="H27" s="101"/>
      <c r="I27" s="102"/>
    </row>
    <row r="28" spans="1:9" s="25" customFormat="1" ht="16.5" customHeight="1" x14ac:dyDescent="0.25">
      <c r="A28" s="98"/>
      <c r="B28" s="99"/>
      <c r="C28" s="38"/>
      <c r="D28" s="96"/>
      <c r="E28" s="97"/>
      <c r="F28" s="100"/>
      <c r="G28" s="101"/>
      <c r="H28" s="101"/>
      <c r="I28" s="102"/>
    </row>
    <row r="29" spans="1:9" s="25" customFormat="1" ht="16.5" customHeight="1" x14ac:dyDescent="0.25">
      <c r="A29" s="98"/>
      <c r="B29" s="99"/>
      <c r="C29" s="38"/>
      <c r="D29" s="96"/>
      <c r="E29" s="97"/>
      <c r="F29" s="39" t="s">
        <v>21</v>
      </c>
      <c r="G29" s="103" t="s">
        <v>308</v>
      </c>
      <c r="H29" s="103"/>
      <c r="I29" s="104"/>
    </row>
    <row r="30" spans="1:9" s="25" customFormat="1" ht="16.5" customHeight="1" x14ac:dyDescent="0.25">
      <c r="A30" s="98"/>
      <c r="B30" s="99"/>
      <c r="C30" s="38"/>
      <c r="D30" s="96"/>
      <c r="E30" s="97"/>
      <c r="F30" s="39" t="s">
        <v>22</v>
      </c>
      <c r="G30" s="105">
        <v>43642</v>
      </c>
      <c r="H30" s="105"/>
      <c r="I30" s="106"/>
    </row>
    <row r="31" spans="1:9" s="25" customFormat="1" ht="16.5" customHeight="1" x14ac:dyDescent="0.25">
      <c r="A31" s="112"/>
      <c r="B31" s="113"/>
      <c r="C31" s="38"/>
      <c r="D31" s="96"/>
      <c r="E31" s="97"/>
      <c r="F31" s="39"/>
      <c r="G31" s="53"/>
      <c r="H31" s="53"/>
      <c r="I31" s="9"/>
    </row>
    <row r="32" spans="1:9" s="25" customFormat="1" ht="16.5" customHeight="1" x14ac:dyDescent="0.25">
      <c r="A32" s="112"/>
      <c r="B32" s="113"/>
      <c r="C32" s="38"/>
      <c r="D32" s="96"/>
      <c r="E32" s="97"/>
      <c r="F32" s="39"/>
      <c r="G32" s="53"/>
      <c r="H32" s="53"/>
      <c r="I32" s="9"/>
    </row>
    <row r="33" spans="1:9" s="25" customFormat="1" ht="16.5" customHeight="1" x14ac:dyDescent="0.25">
      <c r="A33" s="112"/>
      <c r="B33" s="113"/>
      <c r="C33" s="38"/>
      <c r="D33" s="96"/>
      <c r="E33" s="97"/>
      <c r="F33" s="39"/>
      <c r="G33" s="53"/>
      <c r="H33" s="53"/>
      <c r="I33" s="9"/>
    </row>
    <row r="34" spans="1:9" s="25" customFormat="1" ht="16.5" customHeight="1" x14ac:dyDescent="0.25">
      <c r="A34" s="112"/>
      <c r="B34" s="113"/>
      <c r="C34" s="38"/>
      <c r="D34" s="96"/>
      <c r="E34" s="97"/>
      <c r="F34" s="39"/>
      <c r="G34" s="53"/>
      <c r="H34" s="53"/>
      <c r="I34" s="9"/>
    </row>
    <row r="35" spans="1:9" s="25" customFormat="1" ht="16.5" customHeight="1" x14ac:dyDescent="0.25">
      <c r="A35" s="98"/>
      <c r="B35" s="99"/>
      <c r="C35" s="38"/>
      <c r="D35" s="96"/>
      <c r="E35" s="97"/>
      <c r="F35" s="40"/>
      <c r="G35" s="41"/>
      <c r="H35" s="41"/>
      <c r="I35" s="37"/>
    </row>
    <row r="36" spans="1:9" s="25" customFormat="1" ht="16.5" customHeight="1" x14ac:dyDescent="0.25">
      <c r="A36" s="98"/>
      <c r="B36" s="99"/>
      <c r="C36" s="38"/>
      <c r="D36" s="96"/>
      <c r="E36" s="97"/>
      <c r="F36" s="40"/>
      <c r="G36" s="41"/>
      <c r="H36" s="41"/>
      <c r="I36" s="37"/>
    </row>
    <row r="37" spans="1:9" s="25" customFormat="1" ht="16.5" customHeight="1" x14ac:dyDescent="0.25">
      <c r="A37" s="98"/>
      <c r="B37" s="99"/>
      <c r="C37" s="38"/>
      <c r="D37" s="96"/>
      <c r="E37" s="97"/>
      <c r="F37" s="40"/>
      <c r="G37" s="41"/>
      <c r="H37" s="41"/>
      <c r="I37" s="37"/>
    </row>
    <row r="38" spans="1:9" s="25" customFormat="1" ht="16.5" customHeight="1" x14ac:dyDescent="0.25">
      <c r="A38" s="98"/>
      <c r="B38" s="99"/>
      <c r="C38" s="38"/>
      <c r="D38" s="96"/>
      <c r="E38" s="97"/>
      <c r="F38" s="40"/>
      <c r="G38" s="41"/>
      <c r="H38" s="41"/>
      <c r="I38" s="37"/>
    </row>
    <row r="39" spans="1:9" s="25" customFormat="1" ht="16.5" customHeight="1" x14ac:dyDescent="0.25">
      <c r="A39" s="98"/>
      <c r="B39" s="99"/>
      <c r="C39" s="38"/>
      <c r="D39" s="96"/>
      <c r="E39" s="97"/>
      <c r="F39" s="159" t="s">
        <v>23</v>
      </c>
      <c r="G39" s="58"/>
      <c r="H39" s="58"/>
      <c r="I39" s="72"/>
    </row>
    <row r="40" spans="1:9" s="25" customFormat="1" ht="16.5" customHeight="1" x14ac:dyDescent="0.25">
      <c r="A40" s="98"/>
      <c r="B40" s="99"/>
      <c r="C40" s="38"/>
      <c r="D40" s="96"/>
      <c r="E40" s="97"/>
      <c r="F40" s="36" t="s">
        <v>24</v>
      </c>
      <c r="G40" s="160" t="str">
        <f>G27</f>
        <v>JUAN CARLOS GONZALEZ MORALES</v>
      </c>
      <c r="H40" s="160"/>
      <c r="I40" s="161"/>
    </row>
    <row r="41" spans="1:9" s="25" customFormat="1" ht="16.5" customHeight="1" x14ac:dyDescent="0.25">
      <c r="A41" s="98"/>
      <c r="B41" s="99"/>
      <c r="C41" s="38"/>
      <c r="D41" s="96"/>
      <c r="E41" s="97"/>
      <c r="F41" s="36" t="s">
        <v>25</v>
      </c>
      <c r="G41" s="140">
        <v>4258049</v>
      </c>
      <c r="H41" s="140"/>
      <c r="I41" s="141"/>
    </row>
    <row r="42" spans="1:9" s="25" customFormat="1" ht="16.5" customHeight="1" x14ac:dyDescent="0.25">
      <c r="A42" s="98"/>
      <c r="B42" s="99"/>
      <c r="C42" s="38"/>
      <c r="D42" s="96"/>
      <c r="E42" s="97"/>
      <c r="F42" s="36" t="s">
        <v>26</v>
      </c>
      <c r="G42" s="142" t="s">
        <v>309</v>
      </c>
      <c r="H42" s="142"/>
      <c r="I42" s="143"/>
    </row>
    <row r="43" spans="1:9" s="25" customFormat="1" ht="16.5" customHeight="1" x14ac:dyDescent="0.25">
      <c r="A43" s="98"/>
      <c r="B43" s="99"/>
      <c r="C43" s="38"/>
      <c r="D43" s="96"/>
      <c r="E43" s="97"/>
      <c r="F43" s="36" t="s">
        <v>27</v>
      </c>
      <c r="G43" s="140">
        <v>9020</v>
      </c>
      <c r="H43" s="140"/>
      <c r="I43" s="141"/>
    </row>
    <row r="44" spans="1:9" s="25" customFormat="1" ht="16.5" customHeight="1" x14ac:dyDescent="0.25">
      <c r="A44" s="98"/>
      <c r="B44" s="99"/>
      <c r="C44" s="38"/>
      <c r="D44" s="96"/>
      <c r="E44" s="97"/>
      <c r="F44" s="36" t="s">
        <v>28</v>
      </c>
      <c r="G44" s="140" t="s">
        <v>305</v>
      </c>
      <c r="H44" s="140"/>
      <c r="I44" s="141"/>
    </row>
    <row r="45" spans="1:9" s="25" customFormat="1" ht="18.600000000000001" customHeight="1" x14ac:dyDescent="0.25">
      <c r="A45" s="98"/>
      <c r="B45" s="99"/>
      <c r="C45" s="38"/>
      <c r="D45" s="96"/>
      <c r="E45" s="97"/>
      <c r="F45" s="36" t="s">
        <v>29</v>
      </c>
      <c r="G45" s="140" t="s">
        <v>310</v>
      </c>
      <c r="H45" s="140"/>
      <c r="I45" s="141"/>
    </row>
    <row r="46" spans="1:9" s="25" customFormat="1" ht="26.45" customHeight="1" x14ac:dyDescent="0.25">
      <c r="A46" s="98"/>
      <c r="B46" s="99"/>
      <c r="C46" s="38"/>
      <c r="D46" s="96"/>
      <c r="E46" s="97"/>
      <c r="F46" s="100" t="s">
        <v>304</v>
      </c>
      <c r="G46" s="138"/>
      <c r="H46" s="138"/>
      <c r="I46" s="139"/>
    </row>
    <row r="47" spans="1:9" s="25" customFormat="1" ht="25.15" customHeight="1" x14ac:dyDescent="0.25">
      <c r="A47" s="98"/>
      <c r="B47" s="99"/>
      <c r="C47" s="38"/>
      <c r="D47" s="96"/>
      <c r="E47" s="97"/>
      <c r="F47" s="100"/>
      <c r="G47" s="138"/>
      <c r="H47" s="138"/>
      <c r="I47" s="139"/>
    </row>
    <row r="48" spans="1:9" s="25" customFormat="1" ht="16.5" customHeight="1" x14ac:dyDescent="0.25">
      <c r="A48" s="98"/>
      <c r="B48" s="99"/>
      <c r="C48" s="38"/>
      <c r="D48" s="96"/>
      <c r="E48" s="97"/>
      <c r="F48" s="100"/>
      <c r="G48" s="138"/>
      <c r="H48" s="138"/>
      <c r="I48" s="139"/>
    </row>
    <row r="49" spans="1:10" s="25" customFormat="1" ht="16.5" customHeight="1" x14ac:dyDescent="0.25">
      <c r="A49" s="98"/>
      <c r="B49" s="99"/>
      <c r="C49" s="38"/>
      <c r="D49" s="96"/>
      <c r="E49" s="97"/>
      <c r="G49" s="19"/>
      <c r="H49" s="19"/>
      <c r="I49" s="51"/>
    </row>
    <row r="50" spans="1:10" s="25" customFormat="1" ht="24" customHeight="1" thickBot="1" x14ac:dyDescent="0.3">
      <c r="A50" s="163"/>
      <c r="B50" s="164"/>
      <c r="C50" s="42"/>
      <c r="D50" s="134"/>
      <c r="E50" s="135"/>
      <c r="F50" s="49"/>
      <c r="G50" s="50"/>
      <c r="H50" s="50"/>
      <c r="I50" s="52"/>
    </row>
    <row r="51" spans="1:10" s="25" customFormat="1" ht="6" customHeight="1" thickBot="1" x14ac:dyDescent="0.3">
      <c r="A51" s="165"/>
      <c r="B51" s="166"/>
      <c r="C51" s="19"/>
      <c r="D51" s="19"/>
      <c r="E51" s="19"/>
      <c r="F51" s="19"/>
      <c r="G51" s="19"/>
      <c r="H51" s="19"/>
      <c r="I51" s="31"/>
    </row>
    <row r="52" spans="1:10" s="25" customFormat="1" ht="33" customHeight="1" thickTop="1" x14ac:dyDescent="0.25">
      <c r="A52" s="59"/>
      <c r="B52" s="60"/>
      <c r="C52" s="61"/>
      <c r="D52" s="136">
        <f>SUM(D27:E50)</f>
        <v>600</v>
      </c>
      <c r="E52" s="137"/>
      <c r="F52" s="131" t="str">
        <f>PesosMN(D52)</f>
        <v xml:space="preserve"> ( SEISCIENTOS PESOS 00/100 M.N.)</v>
      </c>
      <c r="G52" s="132"/>
      <c r="H52" s="132"/>
      <c r="I52" s="133"/>
    </row>
    <row r="53" spans="1:10" s="25" customFormat="1" ht="5.45" customHeight="1" thickBot="1" x14ac:dyDescent="0.3">
      <c r="A53" s="20"/>
      <c r="B53" s="19"/>
      <c r="C53" s="19"/>
      <c r="D53" s="19"/>
      <c r="E53" s="19"/>
      <c r="F53" s="19"/>
      <c r="G53" s="19"/>
      <c r="H53" s="19"/>
      <c r="I53" s="31"/>
    </row>
    <row r="54" spans="1:10" s="25" customFormat="1" ht="21" customHeight="1" thickTop="1" x14ac:dyDescent="0.25">
      <c r="A54" s="114" t="s">
        <v>30</v>
      </c>
      <c r="B54" s="115"/>
      <c r="C54" s="115"/>
      <c r="D54" s="116"/>
      <c r="E54" s="114" t="s">
        <v>31</v>
      </c>
      <c r="F54" s="115"/>
      <c r="G54" s="116"/>
      <c r="H54" s="114"/>
      <c r="I54" s="116"/>
    </row>
    <row r="55" spans="1:10" s="25" customFormat="1" ht="21" customHeight="1" x14ac:dyDescent="0.25">
      <c r="A55" s="117" t="s">
        <v>32</v>
      </c>
      <c r="B55" s="118"/>
      <c r="C55" s="118"/>
      <c r="D55" s="119"/>
      <c r="E55" s="117" t="s">
        <v>311</v>
      </c>
      <c r="F55" s="118"/>
      <c r="G55" s="119"/>
      <c r="H55" s="117"/>
      <c r="I55" s="119"/>
    </row>
    <row r="56" spans="1:10" s="25" customFormat="1" ht="30" customHeight="1" x14ac:dyDescent="0.25">
      <c r="A56" s="117"/>
      <c r="B56" s="118"/>
      <c r="C56" s="118"/>
      <c r="D56" s="119"/>
      <c r="E56" s="117"/>
      <c r="F56" s="118"/>
      <c r="G56" s="119"/>
      <c r="H56" s="117"/>
      <c r="I56" s="119"/>
      <c r="J56" s="19"/>
    </row>
    <row r="57" spans="1:10" s="25" customFormat="1" ht="15" customHeight="1" x14ac:dyDescent="0.25">
      <c r="A57" s="117"/>
      <c r="B57" s="118"/>
      <c r="C57" s="118"/>
      <c r="D57" s="119"/>
      <c r="E57" s="117"/>
      <c r="F57" s="118"/>
      <c r="G57" s="119"/>
      <c r="H57" s="117"/>
      <c r="I57" s="119"/>
      <c r="J57" s="19"/>
    </row>
    <row r="58" spans="1:10" s="25" customFormat="1" ht="15" customHeight="1" x14ac:dyDescent="0.25">
      <c r="A58" s="117"/>
      <c r="B58" s="118"/>
      <c r="C58" s="118"/>
      <c r="D58" s="119"/>
      <c r="E58" s="117"/>
      <c r="F58" s="118"/>
      <c r="G58" s="119"/>
      <c r="H58" s="117"/>
      <c r="I58" s="119"/>
      <c r="J58" s="19"/>
    </row>
    <row r="59" spans="1:10" s="25" customFormat="1" ht="15" customHeight="1" x14ac:dyDescent="0.25">
      <c r="A59" s="117"/>
      <c r="B59" s="118"/>
      <c r="C59" s="118"/>
      <c r="D59" s="119"/>
      <c r="E59" s="117"/>
      <c r="F59" s="118"/>
      <c r="G59" s="119"/>
      <c r="H59" s="117"/>
      <c r="I59" s="119"/>
      <c r="J59" s="19"/>
    </row>
    <row r="60" spans="1:10" s="25" customFormat="1" ht="62.25" customHeight="1" x14ac:dyDescent="0.25">
      <c r="A60" s="120"/>
      <c r="B60" s="121"/>
      <c r="C60" s="121"/>
      <c r="D60" s="122"/>
      <c r="E60" s="120"/>
      <c r="F60" s="121"/>
      <c r="G60" s="122"/>
      <c r="H60" s="117"/>
      <c r="I60" s="119"/>
      <c r="J60" s="19"/>
    </row>
    <row r="61" spans="1:10" s="25" customFormat="1" ht="29.25" customHeight="1" thickBot="1" x14ac:dyDescent="0.3">
      <c r="A61" s="123" t="s">
        <v>33</v>
      </c>
      <c r="B61" s="124"/>
      <c r="C61" s="124"/>
      <c r="D61" s="125"/>
      <c r="E61" s="126" t="s">
        <v>34</v>
      </c>
      <c r="F61" s="127"/>
      <c r="G61" s="128"/>
      <c r="H61" s="129"/>
      <c r="I61" s="130"/>
    </row>
    <row r="62" spans="1:10" s="25" customFormat="1" ht="6.75" customHeight="1" thickTop="1" x14ac:dyDescent="0.25">
      <c r="A62" s="20"/>
      <c r="B62" s="19"/>
      <c r="C62" s="19"/>
      <c r="D62" s="19"/>
      <c r="E62" s="19"/>
      <c r="F62" s="19"/>
      <c r="G62" s="19"/>
      <c r="H62" s="19"/>
      <c r="I62" s="31"/>
    </row>
    <row r="63" spans="1:10" s="25" customFormat="1" ht="31.5" customHeight="1" x14ac:dyDescent="0.25">
      <c r="A63" s="162" t="s">
        <v>35</v>
      </c>
      <c r="B63" s="132"/>
      <c r="C63" s="132"/>
      <c r="D63" s="132"/>
      <c r="E63" s="132"/>
      <c r="F63" s="132"/>
      <c r="G63" s="132"/>
      <c r="H63" s="132"/>
      <c r="I63" s="133"/>
    </row>
    <row r="64" spans="1:10" s="25" customFormat="1" ht="5.45" customHeight="1" x14ac:dyDescent="0.25">
      <c r="A64" s="20"/>
      <c r="B64" s="19"/>
      <c r="C64" s="19"/>
      <c r="D64" s="27"/>
      <c r="E64" s="27"/>
      <c r="F64" s="27"/>
      <c r="G64" s="27"/>
      <c r="H64" s="19"/>
      <c r="I64" s="31"/>
    </row>
    <row r="65" spans="1:9" s="25" customFormat="1" ht="15" customHeight="1" x14ac:dyDescent="0.25">
      <c r="A65" s="150" t="s">
        <v>301</v>
      </c>
      <c r="B65" s="151"/>
      <c r="C65" s="151"/>
      <c r="D65" s="152"/>
      <c r="E65" s="150" t="s">
        <v>302</v>
      </c>
      <c r="F65" s="151"/>
      <c r="G65" s="151"/>
      <c r="H65" s="151"/>
      <c r="I65" s="152"/>
    </row>
    <row r="66" spans="1:9" s="25" customFormat="1" ht="42" customHeight="1" x14ac:dyDescent="0.25">
      <c r="A66" s="153"/>
      <c r="B66" s="154"/>
      <c r="C66" s="154"/>
      <c r="D66" s="155"/>
      <c r="E66" s="153"/>
      <c r="F66" s="154"/>
      <c r="G66" s="154"/>
      <c r="H66" s="154"/>
      <c r="I66" s="155"/>
    </row>
    <row r="67" spans="1:9" s="25" customFormat="1" ht="27" customHeight="1" x14ac:dyDescent="0.25">
      <c r="A67" s="147" t="s">
        <v>36</v>
      </c>
      <c r="B67" s="148"/>
      <c r="C67" s="148"/>
      <c r="D67" s="149"/>
      <c r="E67" s="20"/>
      <c r="F67" s="19"/>
      <c r="G67" s="19"/>
      <c r="H67" s="19"/>
      <c r="I67" s="31"/>
    </row>
    <row r="68" spans="1:9" s="25" customFormat="1" ht="23.25" customHeight="1" x14ac:dyDescent="0.25">
      <c r="A68" s="156"/>
      <c r="B68" s="157"/>
      <c r="C68" s="157"/>
      <c r="D68" s="158"/>
      <c r="E68" s="43"/>
      <c r="F68" s="30"/>
      <c r="G68" s="30"/>
      <c r="H68" s="19"/>
      <c r="I68" s="31"/>
    </row>
    <row r="69" spans="1:9" s="25" customFormat="1" ht="23.25" customHeight="1" x14ac:dyDescent="0.25">
      <c r="A69" s="145"/>
      <c r="B69" s="118"/>
      <c r="C69" s="118"/>
      <c r="D69" s="146"/>
      <c r="E69" s="43"/>
      <c r="F69" s="30"/>
      <c r="G69" s="30"/>
      <c r="H69" s="19"/>
      <c r="I69" s="31"/>
    </row>
    <row r="70" spans="1:9" s="25" customFormat="1" ht="23.25" customHeight="1" x14ac:dyDescent="0.25">
      <c r="A70" s="145"/>
      <c r="B70" s="118"/>
      <c r="C70" s="118"/>
      <c r="D70" s="146"/>
      <c r="E70" s="43"/>
      <c r="F70" s="30"/>
      <c r="G70" s="30"/>
      <c r="H70" s="19"/>
      <c r="I70" s="31"/>
    </row>
    <row r="71" spans="1:9" s="25" customFormat="1" ht="23.25" customHeight="1" x14ac:dyDescent="0.25">
      <c r="A71" s="20"/>
      <c r="B71" s="118"/>
      <c r="C71" s="118"/>
      <c r="D71" s="146"/>
      <c r="E71" s="43"/>
      <c r="F71" s="30"/>
      <c r="G71" s="30"/>
      <c r="H71" s="19"/>
      <c r="I71" s="31"/>
    </row>
    <row r="72" spans="1:9" ht="23.25" customHeight="1" x14ac:dyDescent="0.3">
      <c r="A72" s="44"/>
      <c r="B72" s="121"/>
      <c r="C72" s="121"/>
      <c r="D72" s="144"/>
      <c r="E72" s="45"/>
      <c r="F72" s="46"/>
      <c r="G72" s="46"/>
      <c r="H72" s="46"/>
      <c r="I72" s="47"/>
    </row>
    <row r="73" spans="1:9" x14ac:dyDescent="0.3">
      <c r="A73" s="45"/>
      <c r="B73" s="48"/>
      <c r="C73" s="46"/>
      <c r="D73" s="46"/>
      <c r="E73" s="46"/>
      <c r="F73" s="46"/>
      <c r="G73" s="46"/>
      <c r="H73" s="46"/>
      <c r="I73" s="47"/>
    </row>
    <row r="74" spans="1:9" x14ac:dyDescent="0.3">
      <c r="A74" s="14"/>
      <c r="B74" s="14"/>
      <c r="C74" s="14"/>
      <c r="D74" s="14"/>
      <c r="E74" s="14"/>
      <c r="F74" s="14"/>
      <c r="G74" s="14"/>
      <c r="H74" s="14"/>
      <c r="I74" s="14"/>
    </row>
  </sheetData>
  <sheetProtection algorithmName="SHA-512" hashValue="vE3gADG4rVD2RwJklb6cBSUiFa+XEIS8wgUPV0/uC5ac1fMRU1g1C+Cto7vSL0q+nAWJYgfUfor0UZ4FmUTGjQ==" saltValue="2fHYih6OMrev5xgyWTkHdw==" spinCount="100000" sheet="1" formatCells="0" formatColumns="0" formatRows="0" insertColumns="0" insertRows="0" deleteColumns="0" deleteRows="0" sort="0" autoFilter="0" pivotTables="0"/>
  <mergeCells count="109">
    <mergeCell ref="B72:D72"/>
    <mergeCell ref="A69:D70"/>
    <mergeCell ref="D39:E39"/>
    <mergeCell ref="D40:E40"/>
    <mergeCell ref="A39:B39"/>
    <mergeCell ref="A40:B40"/>
    <mergeCell ref="A45:B45"/>
    <mergeCell ref="A46:B46"/>
    <mergeCell ref="A67:D67"/>
    <mergeCell ref="A65:D66"/>
    <mergeCell ref="A43:B43"/>
    <mergeCell ref="A48:B48"/>
    <mergeCell ref="D47:E47"/>
    <mergeCell ref="D48:E48"/>
    <mergeCell ref="E65:I66"/>
    <mergeCell ref="A68:D68"/>
    <mergeCell ref="B71:D71"/>
    <mergeCell ref="G45:I45"/>
    <mergeCell ref="F39:I39"/>
    <mergeCell ref="G41:I41"/>
    <mergeCell ref="G40:I40"/>
    <mergeCell ref="A63:I63"/>
    <mergeCell ref="A50:B50"/>
    <mergeCell ref="A51:B51"/>
    <mergeCell ref="A32:B32"/>
    <mergeCell ref="A33:B33"/>
    <mergeCell ref="A34:B34"/>
    <mergeCell ref="D49:E49"/>
    <mergeCell ref="A44:B44"/>
    <mergeCell ref="A36:B36"/>
    <mergeCell ref="A37:B37"/>
    <mergeCell ref="A38:B38"/>
    <mergeCell ref="G44:I44"/>
    <mergeCell ref="A41:B41"/>
    <mergeCell ref="A42:B42"/>
    <mergeCell ref="D36:E36"/>
    <mergeCell ref="G43:I43"/>
    <mergeCell ref="D37:E37"/>
    <mergeCell ref="D38:E38"/>
    <mergeCell ref="G42:I42"/>
    <mergeCell ref="D41:E41"/>
    <mergeCell ref="D42:E42"/>
    <mergeCell ref="D43:E43"/>
    <mergeCell ref="D44:E44"/>
    <mergeCell ref="D45:E45"/>
    <mergeCell ref="F52:I52"/>
    <mergeCell ref="D50:E50"/>
    <mergeCell ref="D52:E52"/>
    <mergeCell ref="A47:B47"/>
    <mergeCell ref="F46:F48"/>
    <mergeCell ref="G46:I48"/>
    <mergeCell ref="A49:B49"/>
    <mergeCell ref="D46:E46"/>
    <mergeCell ref="A52:C52"/>
    <mergeCell ref="A54:D54"/>
    <mergeCell ref="A55:D55"/>
    <mergeCell ref="A56:D60"/>
    <mergeCell ref="A61:D61"/>
    <mergeCell ref="E54:G54"/>
    <mergeCell ref="E55:G55"/>
    <mergeCell ref="E61:G61"/>
    <mergeCell ref="H54:I61"/>
    <mergeCell ref="E56:G60"/>
    <mergeCell ref="D30:E30"/>
    <mergeCell ref="D35:E35"/>
    <mergeCell ref="A28:B28"/>
    <mergeCell ref="F27:F28"/>
    <mergeCell ref="G27:I28"/>
    <mergeCell ref="G29:I29"/>
    <mergeCell ref="G30:I30"/>
    <mergeCell ref="A23:I23"/>
    <mergeCell ref="A25:B25"/>
    <mergeCell ref="D25:E25"/>
    <mergeCell ref="F25:I25"/>
    <mergeCell ref="A26:B26"/>
    <mergeCell ref="A27:B27"/>
    <mergeCell ref="D27:E27"/>
    <mergeCell ref="D28:E28"/>
    <mergeCell ref="D29:E29"/>
    <mergeCell ref="A29:B29"/>
    <mergeCell ref="A30:B30"/>
    <mergeCell ref="A35:B35"/>
    <mergeCell ref="D31:E31"/>
    <mergeCell ref="D32:E32"/>
    <mergeCell ref="D33:E33"/>
    <mergeCell ref="D34:E34"/>
    <mergeCell ref="A31:B31"/>
    <mergeCell ref="A22:I22"/>
    <mergeCell ref="A12:C12"/>
    <mergeCell ref="E12:I12"/>
    <mergeCell ref="E13:I14"/>
    <mergeCell ref="A15:D15"/>
    <mergeCell ref="G15:G16"/>
    <mergeCell ref="H1:I1"/>
    <mergeCell ref="C2:I2"/>
    <mergeCell ref="C3:I3"/>
    <mergeCell ref="A4:E4"/>
    <mergeCell ref="A6:I6"/>
    <mergeCell ref="E9:G9"/>
    <mergeCell ref="H9:I9"/>
    <mergeCell ref="E17:E20"/>
    <mergeCell ref="G17:G20"/>
    <mergeCell ref="H17:I20"/>
    <mergeCell ref="B20:D20"/>
    <mergeCell ref="F17:F18"/>
    <mergeCell ref="F19:F20"/>
    <mergeCell ref="C10:G10"/>
    <mergeCell ref="B9:C9"/>
    <mergeCell ref="H15:I16"/>
  </mergeCells>
  <conditionalFormatting sqref="B71:D72">
    <cfRule type="containsErrors" dxfId="0" priority="1">
      <formula>ISERROR(B71)</formula>
    </cfRule>
  </conditionalFormatting>
  <dataValidations count="1">
    <dataValidation type="list" showInputMessage="1" showErrorMessage="1" errorTitle="ERROR DE DATOS" error="FAVOR DE SELECCIONAR LA PARTIDA CORRECTAMENTE" sqref="F17:F20">
      <formula1>PROYECTO</formula1>
    </dataValidation>
  </dataValidations>
  <pageMargins left="0.7" right="0.7" top="0.75" bottom="0.75" header="0.3" footer="0.3"/>
  <pageSetup scale="4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 errorTitle="ERROR DE DATOS" error="FAVOR DE SELECCIONAR LA PARTIDA">
          <x14:formula1>
            <xm:f>Hoja1!$B$2:$B$249</xm:f>
          </x14:formula1>
          <xm:sqref>C27:C50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C249"/>
  <sheetViews>
    <sheetView topLeftCell="A224" workbookViewId="0">
      <selection activeCell="B2" sqref="B2"/>
    </sheetView>
  </sheetViews>
  <sheetFormatPr baseColWidth="10" defaultColWidth="11.42578125" defaultRowHeight="15" x14ac:dyDescent="0.25"/>
  <cols>
    <col min="1" max="1" width="75.7109375" customWidth="1"/>
    <col min="2" max="2" width="8.85546875" bestFit="1" customWidth="1"/>
    <col min="3" max="3" width="128.140625" bestFit="1" customWidth="1"/>
  </cols>
  <sheetData>
    <row r="1" spans="1:3" x14ac:dyDescent="0.25">
      <c r="B1" s="8" t="s">
        <v>51</v>
      </c>
      <c r="C1" s="8" t="s">
        <v>52</v>
      </c>
    </row>
    <row r="2" spans="1:3" x14ac:dyDescent="0.25">
      <c r="A2" t="s">
        <v>53</v>
      </c>
      <c r="B2">
        <f>Limpia(A2,1)</f>
        <v>2100</v>
      </c>
      <c r="C2" t="str">
        <f t="shared" ref="C2:C6" si="0">Limpia(A2,2)</f>
        <v xml:space="preserve"> MATERIALES DE ADMINISTRACIÓN, EMISIÓN DE DOCUMENTOS Y ARTÍCULOS OFICIALES</v>
      </c>
    </row>
    <row r="3" spans="1:3" x14ac:dyDescent="0.25">
      <c r="A3" t="s">
        <v>54</v>
      </c>
      <c r="B3">
        <f t="shared" ref="B3:B6" si="1">Limpia(A3,1)</f>
        <v>2110</v>
      </c>
      <c r="C3" t="str">
        <f t="shared" si="0"/>
        <v xml:space="preserve"> Materiales, útiles y equipos menores de oficina</v>
      </c>
    </row>
    <row r="4" spans="1:3" x14ac:dyDescent="0.25">
      <c r="A4" t="s">
        <v>55</v>
      </c>
      <c r="B4">
        <f t="shared" si="1"/>
        <v>2120</v>
      </c>
      <c r="C4" t="str">
        <f t="shared" si="0"/>
        <v xml:space="preserve"> Materiales y útiles de impresión y reproducción</v>
      </c>
    </row>
    <row r="5" spans="1:3" x14ac:dyDescent="0.25">
      <c r="A5" t="s">
        <v>56</v>
      </c>
      <c r="B5">
        <f t="shared" si="1"/>
        <v>2130</v>
      </c>
      <c r="C5" t="str">
        <f t="shared" si="0"/>
        <v xml:space="preserve"> Material estadístico y geográfico</v>
      </c>
    </row>
    <row r="6" spans="1:3" x14ac:dyDescent="0.25">
      <c r="A6" t="s">
        <v>57</v>
      </c>
      <c r="B6">
        <f t="shared" si="1"/>
        <v>2140</v>
      </c>
      <c r="C6" t="str">
        <f t="shared" si="0"/>
        <v xml:space="preserve"> Materiales, útiles y equipos menores de tecnologías de la información y comunicaciones</v>
      </c>
    </row>
    <row r="7" spans="1:3" x14ac:dyDescent="0.25">
      <c r="A7" t="s">
        <v>58</v>
      </c>
      <c r="B7">
        <f>Limpia(A7,1)</f>
        <v>2150</v>
      </c>
      <c r="C7" t="str">
        <f>Limpia(A7,2)</f>
        <v xml:space="preserve"> Material impreso e información digital</v>
      </c>
    </row>
    <row r="8" spans="1:3" x14ac:dyDescent="0.25">
      <c r="A8" t="s">
        <v>59</v>
      </c>
      <c r="B8">
        <f t="shared" ref="B8:B62" si="2">Limpia(A8,1)</f>
        <v>2160</v>
      </c>
      <c r="C8" t="str">
        <f t="shared" ref="C8:C62" si="3">Limpia(A8,2)</f>
        <v xml:space="preserve"> Material de limpieza</v>
      </c>
    </row>
    <row r="9" spans="1:3" x14ac:dyDescent="0.25">
      <c r="A9" t="s">
        <v>60</v>
      </c>
      <c r="B9">
        <f t="shared" si="2"/>
        <v>2180</v>
      </c>
      <c r="C9" t="str">
        <f t="shared" si="3"/>
        <v xml:space="preserve"> Materiales para el registro e identificación de bienes y personas</v>
      </c>
    </row>
    <row r="10" spans="1:3" x14ac:dyDescent="0.25">
      <c r="A10" t="s">
        <v>61</v>
      </c>
      <c r="B10">
        <f t="shared" si="2"/>
        <v>2200</v>
      </c>
      <c r="C10" t="str">
        <f t="shared" si="3"/>
        <v xml:space="preserve"> ALIMENTOS Y UTENSILIOS</v>
      </c>
    </row>
    <row r="11" spans="1:3" x14ac:dyDescent="0.25">
      <c r="A11" t="s">
        <v>62</v>
      </c>
      <c r="B11">
        <f t="shared" si="2"/>
        <v>2210</v>
      </c>
      <c r="C11" t="str">
        <f t="shared" si="3"/>
        <v xml:space="preserve"> Productos alimenticios para personas</v>
      </c>
    </row>
    <row r="12" spans="1:3" x14ac:dyDescent="0.25">
      <c r="A12" t="s">
        <v>63</v>
      </c>
      <c r="B12">
        <f t="shared" si="2"/>
        <v>2220</v>
      </c>
      <c r="C12" t="str">
        <f t="shared" si="3"/>
        <v xml:space="preserve"> Productos alimenticios para animales</v>
      </c>
    </row>
    <row r="13" spans="1:3" x14ac:dyDescent="0.25">
      <c r="A13" t="s">
        <v>64</v>
      </c>
      <c r="B13">
        <f t="shared" si="2"/>
        <v>2230</v>
      </c>
      <c r="C13" t="str">
        <f t="shared" si="3"/>
        <v xml:space="preserve"> Utensilios para el servicio de alimentación</v>
      </c>
    </row>
    <row r="14" spans="1:3" x14ac:dyDescent="0.25">
      <c r="A14" t="s">
        <v>65</v>
      </c>
      <c r="B14">
        <f t="shared" si="2"/>
        <v>2300</v>
      </c>
      <c r="C14" t="str">
        <f t="shared" si="3"/>
        <v xml:space="preserve"> MATERIAS PRIMAS Y MATERIALES DE PRODUCCIÓN Y  COMERCIALIZACIÓN</v>
      </c>
    </row>
    <row r="15" spans="1:3" x14ac:dyDescent="0.25">
      <c r="A15" t="s">
        <v>66</v>
      </c>
      <c r="B15">
        <f t="shared" si="2"/>
        <v>2310</v>
      </c>
      <c r="C15" t="str">
        <f t="shared" si="3"/>
        <v xml:space="preserve"> Productos alimenticios, agropecuarios y forestales adquiridos como materia prima</v>
      </c>
    </row>
    <row r="16" spans="1:3" x14ac:dyDescent="0.25">
      <c r="A16" t="s">
        <v>67</v>
      </c>
      <c r="B16">
        <f t="shared" si="2"/>
        <v>2320</v>
      </c>
      <c r="C16" t="str">
        <f t="shared" si="3"/>
        <v xml:space="preserve"> Insumos textiles adquiridos como materia prima</v>
      </c>
    </row>
    <row r="17" spans="1:3" x14ac:dyDescent="0.25">
      <c r="A17" t="s">
        <v>68</v>
      </c>
      <c r="B17">
        <f t="shared" si="2"/>
        <v>2330</v>
      </c>
      <c r="C17" t="str">
        <f t="shared" si="3"/>
        <v xml:space="preserve"> Productos de papel, cartón e impresos adquiridos como materia prima</v>
      </c>
    </row>
    <row r="18" spans="1:3" x14ac:dyDescent="0.25">
      <c r="A18" t="s">
        <v>69</v>
      </c>
      <c r="B18">
        <f t="shared" si="2"/>
        <v>2340</v>
      </c>
      <c r="C18" t="str">
        <f t="shared" si="3"/>
        <v xml:space="preserve"> Combustibles, lubricantes, aditivos, carbón y sus derivados adquiridos como materia prima</v>
      </c>
    </row>
    <row r="19" spans="1:3" x14ac:dyDescent="0.25">
      <c r="A19" t="s">
        <v>70</v>
      </c>
      <c r="B19">
        <f t="shared" si="2"/>
        <v>2350</v>
      </c>
      <c r="C19" t="str">
        <f t="shared" si="3"/>
        <v xml:space="preserve"> Productos químicos, farmacéuticos y de laboratorio adquiridos como materia prima</v>
      </c>
    </row>
    <row r="20" spans="1:3" x14ac:dyDescent="0.25">
      <c r="A20" t="s">
        <v>71</v>
      </c>
      <c r="B20">
        <f t="shared" si="2"/>
        <v>2360</v>
      </c>
      <c r="C20" t="str">
        <f t="shared" si="3"/>
        <v xml:space="preserve"> Productos metálicos y a base de minerales no metálicos adquiridos como materia prima</v>
      </c>
    </row>
    <row r="21" spans="1:3" x14ac:dyDescent="0.25">
      <c r="A21" t="s">
        <v>72</v>
      </c>
      <c r="B21">
        <f t="shared" si="2"/>
        <v>2370</v>
      </c>
      <c r="C21" t="str">
        <f t="shared" si="3"/>
        <v xml:space="preserve"> Productos de cuero, piel, plástico y hule adquiridos como materia prima</v>
      </c>
    </row>
    <row r="22" spans="1:3" x14ac:dyDescent="0.25">
      <c r="A22" t="s">
        <v>73</v>
      </c>
      <c r="B22">
        <f t="shared" si="2"/>
        <v>2380</v>
      </c>
      <c r="C22" t="str">
        <f t="shared" si="3"/>
        <v xml:space="preserve"> Mercancías adquiridas para su comercialización</v>
      </c>
    </row>
    <row r="23" spans="1:3" x14ac:dyDescent="0.25">
      <c r="A23" t="s">
        <v>74</v>
      </c>
      <c r="B23">
        <f t="shared" si="2"/>
        <v>2390</v>
      </c>
      <c r="C23" t="str">
        <f t="shared" si="3"/>
        <v xml:space="preserve"> Otros productos adquiridos como materia prima</v>
      </c>
    </row>
    <row r="24" spans="1:3" x14ac:dyDescent="0.25">
      <c r="A24" t="s">
        <v>75</v>
      </c>
      <c r="B24">
        <f t="shared" si="2"/>
        <v>2400</v>
      </c>
      <c r="C24" t="str">
        <f t="shared" si="3"/>
        <v xml:space="preserve"> MATERIALES Y ARTÍCULOS DE CONSTRUCCIÓN Y DE REPARACIÓN</v>
      </c>
    </row>
    <row r="25" spans="1:3" x14ac:dyDescent="0.25">
      <c r="A25" t="s">
        <v>76</v>
      </c>
      <c r="B25">
        <f t="shared" si="2"/>
        <v>2410</v>
      </c>
      <c r="C25" t="str">
        <f t="shared" si="3"/>
        <v xml:space="preserve"> Productos minerales no metálicos</v>
      </c>
    </row>
    <row r="26" spans="1:3" x14ac:dyDescent="0.25">
      <c r="A26" t="s">
        <v>77</v>
      </c>
      <c r="B26">
        <f t="shared" si="2"/>
        <v>2420</v>
      </c>
      <c r="C26" t="str">
        <f t="shared" si="3"/>
        <v xml:space="preserve"> Cemento y productos de concreto</v>
      </c>
    </row>
    <row r="27" spans="1:3" x14ac:dyDescent="0.25">
      <c r="A27" t="s">
        <v>78</v>
      </c>
      <c r="B27">
        <f t="shared" si="2"/>
        <v>2430</v>
      </c>
      <c r="C27" t="str">
        <f t="shared" si="3"/>
        <v xml:space="preserve"> Cal, yeso y productos de yeso</v>
      </c>
    </row>
    <row r="28" spans="1:3" x14ac:dyDescent="0.25">
      <c r="A28" t="s">
        <v>79</v>
      </c>
      <c r="B28">
        <f t="shared" si="2"/>
        <v>2440</v>
      </c>
      <c r="C28" t="str">
        <f t="shared" si="3"/>
        <v xml:space="preserve"> Madera y productos de madera</v>
      </c>
    </row>
    <row r="29" spans="1:3" x14ac:dyDescent="0.25">
      <c r="A29" t="s">
        <v>80</v>
      </c>
      <c r="B29">
        <f t="shared" si="2"/>
        <v>2450</v>
      </c>
      <c r="C29" t="str">
        <f t="shared" si="3"/>
        <v xml:space="preserve"> Vidrio y productos de vidrio</v>
      </c>
    </row>
    <row r="30" spans="1:3" x14ac:dyDescent="0.25">
      <c r="A30" t="s">
        <v>81</v>
      </c>
      <c r="B30">
        <f t="shared" si="2"/>
        <v>2460</v>
      </c>
      <c r="C30" t="str">
        <f t="shared" si="3"/>
        <v xml:space="preserve"> Material eléctrico y electrónico</v>
      </c>
    </row>
    <row r="31" spans="1:3" x14ac:dyDescent="0.25">
      <c r="A31" t="s">
        <v>82</v>
      </c>
      <c r="B31">
        <f t="shared" si="2"/>
        <v>2470</v>
      </c>
      <c r="C31" t="str">
        <f t="shared" si="3"/>
        <v xml:space="preserve"> Artículos metálicos para la construcción</v>
      </c>
    </row>
    <row r="32" spans="1:3" x14ac:dyDescent="0.25">
      <c r="A32" t="s">
        <v>83</v>
      </c>
      <c r="B32">
        <f t="shared" si="2"/>
        <v>2480</v>
      </c>
      <c r="C32" t="str">
        <f t="shared" si="3"/>
        <v xml:space="preserve"> Materiales complementarios</v>
      </c>
    </row>
    <row r="33" spans="1:3" x14ac:dyDescent="0.25">
      <c r="A33" t="s">
        <v>84</v>
      </c>
      <c r="B33">
        <f t="shared" si="2"/>
        <v>2490</v>
      </c>
      <c r="C33" t="str">
        <f t="shared" si="3"/>
        <v xml:space="preserve"> Otros materiales y artículos de construcción y reparación</v>
      </c>
    </row>
    <row r="34" spans="1:3" x14ac:dyDescent="0.25">
      <c r="A34" t="s">
        <v>85</v>
      </c>
      <c r="B34">
        <f t="shared" si="2"/>
        <v>2500</v>
      </c>
      <c r="C34" t="str">
        <f t="shared" si="3"/>
        <v xml:space="preserve"> PRODUCTOS QUÍMICOS, FARMACÉUTICOS Y DE LABORATORIO</v>
      </c>
    </row>
    <row r="35" spans="1:3" x14ac:dyDescent="0.25">
      <c r="A35" t="s">
        <v>86</v>
      </c>
      <c r="B35">
        <f t="shared" si="2"/>
        <v>2510</v>
      </c>
      <c r="C35" t="str">
        <f t="shared" si="3"/>
        <v xml:space="preserve"> Productos químicos básicos</v>
      </c>
    </row>
    <row r="36" spans="1:3" x14ac:dyDescent="0.25">
      <c r="A36" t="s">
        <v>87</v>
      </c>
      <c r="B36">
        <f t="shared" si="2"/>
        <v>2520</v>
      </c>
      <c r="C36" t="str">
        <f t="shared" si="3"/>
        <v xml:space="preserve"> Fertilizantes, pesticidas y otros agroquímicos</v>
      </c>
    </row>
    <row r="37" spans="1:3" x14ac:dyDescent="0.25">
      <c r="A37" t="s">
        <v>88</v>
      </c>
      <c r="B37">
        <f t="shared" si="2"/>
        <v>2530</v>
      </c>
      <c r="C37" t="str">
        <f t="shared" si="3"/>
        <v xml:space="preserve"> Medicinas y productos farmacéuticos</v>
      </c>
    </row>
    <row r="38" spans="1:3" x14ac:dyDescent="0.25">
      <c r="A38" t="s">
        <v>89</v>
      </c>
      <c r="B38">
        <f t="shared" si="2"/>
        <v>2540</v>
      </c>
      <c r="C38" t="str">
        <f t="shared" si="3"/>
        <v xml:space="preserve"> Materiales, accesorios y suministros médicos</v>
      </c>
    </row>
    <row r="39" spans="1:3" x14ac:dyDescent="0.25">
      <c r="A39" t="s">
        <v>90</v>
      </c>
      <c r="B39">
        <f t="shared" si="2"/>
        <v>2550</v>
      </c>
      <c r="C39" t="str">
        <f t="shared" si="3"/>
        <v xml:space="preserve"> Materiales, accesorios y suministros de laboratorio</v>
      </c>
    </row>
    <row r="40" spans="1:3" x14ac:dyDescent="0.25">
      <c r="A40" t="s">
        <v>91</v>
      </c>
      <c r="B40">
        <f t="shared" si="2"/>
        <v>2560</v>
      </c>
      <c r="C40" t="str">
        <f t="shared" si="3"/>
        <v xml:space="preserve"> Fibras sintéticas, hules, plásticos y derivados</v>
      </c>
    </row>
    <row r="41" spans="1:3" x14ac:dyDescent="0.25">
      <c r="A41" t="s">
        <v>92</v>
      </c>
      <c r="B41">
        <f t="shared" si="2"/>
        <v>2590</v>
      </c>
      <c r="C41" t="str">
        <f t="shared" si="3"/>
        <v xml:space="preserve"> Otros productos químicos</v>
      </c>
    </row>
    <row r="42" spans="1:3" x14ac:dyDescent="0.25">
      <c r="A42" t="s">
        <v>93</v>
      </c>
      <c r="B42">
        <f t="shared" si="2"/>
        <v>2600</v>
      </c>
      <c r="C42" t="str">
        <f t="shared" si="3"/>
        <v xml:space="preserve"> COMBUSTIBLES, LUBRICANTES Y ADITIVOS</v>
      </c>
    </row>
    <row r="43" spans="1:3" x14ac:dyDescent="0.25">
      <c r="A43" t="s">
        <v>94</v>
      </c>
      <c r="B43">
        <f t="shared" si="2"/>
        <v>2610</v>
      </c>
      <c r="C43" t="str">
        <f t="shared" si="3"/>
        <v xml:space="preserve"> Combustibles, lubricantes y aditivos</v>
      </c>
    </row>
    <row r="44" spans="1:3" x14ac:dyDescent="0.25">
      <c r="A44" t="s">
        <v>95</v>
      </c>
      <c r="B44">
        <f t="shared" si="2"/>
        <v>2620</v>
      </c>
      <c r="C44" t="str">
        <f t="shared" si="3"/>
        <v xml:space="preserve"> Carbón y sus derivados</v>
      </c>
    </row>
    <row r="45" spans="1:3" x14ac:dyDescent="0.25">
      <c r="A45" t="s">
        <v>96</v>
      </c>
      <c r="B45">
        <f t="shared" si="2"/>
        <v>2700</v>
      </c>
      <c r="C45" t="str">
        <f t="shared" si="3"/>
        <v xml:space="preserve"> VESTUARIO, BLANCOS, PRENDAS DE PROTECCIÓN Y ARTÍCULOS </v>
      </c>
    </row>
    <row r="46" spans="1:3" x14ac:dyDescent="0.25">
      <c r="A46" t="s">
        <v>97</v>
      </c>
      <c r="B46">
        <f t="shared" si="2"/>
        <v>2710</v>
      </c>
      <c r="C46" t="str">
        <f t="shared" si="3"/>
        <v xml:space="preserve"> Vestuario y uniformes</v>
      </c>
    </row>
    <row r="47" spans="1:3" x14ac:dyDescent="0.25">
      <c r="A47" t="s">
        <v>98</v>
      </c>
      <c r="B47">
        <f t="shared" si="2"/>
        <v>2720</v>
      </c>
      <c r="C47" t="str">
        <f t="shared" si="3"/>
        <v xml:space="preserve"> Prendas de seguridad y protección personal</v>
      </c>
    </row>
    <row r="48" spans="1:3" x14ac:dyDescent="0.25">
      <c r="A48" t="s">
        <v>99</v>
      </c>
      <c r="B48">
        <f t="shared" si="2"/>
        <v>2730</v>
      </c>
      <c r="C48" t="str">
        <f t="shared" si="3"/>
        <v xml:space="preserve"> Artículos deportivos</v>
      </c>
    </row>
    <row r="49" spans="1:3" x14ac:dyDescent="0.25">
      <c r="A49" t="s">
        <v>100</v>
      </c>
      <c r="B49">
        <f t="shared" si="2"/>
        <v>2740</v>
      </c>
      <c r="C49" t="str">
        <f t="shared" si="3"/>
        <v xml:space="preserve"> Productos textiles</v>
      </c>
    </row>
    <row r="50" spans="1:3" x14ac:dyDescent="0.25">
      <c r="A50" t="s">
        <v>101</v>
      </c>
      <c r="B50">
        <f t="shared" si="2"/>
        <v>2750</v>
      </c>
      <c r="C50" t="str">
        <f t="shared" si="3"/>
        <v xml:space="preserve"> Blancos y otros productos textiles, excepto prendas de vestir</v>
      </c>
    </row>
    <row r="51" spans="1:3" x14ac:dyDescent="0.25">
      <c r="A51" t="s">
        <v>102</v>
      </c>
      <c r="B51">
        <f t="shared" si="2"/>
        <v>2800</v>
      </c>
      <c r="C51" t="str">
        <f t="shared" si="3"/>
        <v xml:space="preserve"> MATERIALES Y SUMINISTROS PARA SEGURIDAD</v>
      </c>
    </row>
    <row r="52" spans="1:3" x14ac:dyDescent="0.25">
      <c r="A52" t="s">
        <v>103</v>
      </c>
      <c r="B52">
        <f t="shared" si="2"/>
        <v>2810</v>
      </c>
      <c r="C52" t="str">
        <f t="shared" si="3"/>
        <v xml:space="preserve"> Sustancias y materiales explosivos</v>
      </c>
    </row>
    <row r="53" spans="1:3" x14ac:dyDescent="0.25">
      <c r="A53" t="s">
        <v>104</v>
      </c>
      <c r="B53">
        <f t="shared" si="2"/>
        <v>2820</v>
      </c>
      <c r="C53" t="str">
        <f t="shared" si="3"/>
        <v xml:space="preserve"> Materiales de seguridad pública</v>
      </c>
    </row>
    <row r="54" spans="1:3" x14ac:dyDescent="0.25">
      <c r="A54" t="s">
        <v>105</v>
      </c>
      <c r="B54">
        <f t="shared" si="2"/>
        <v>2830</v>
      </c>
      <c r="C54" t="str">
        <f t="shared" si="3"/>
        <v xml:space="preserve"> Prendas de protección para seguridad pública y nacional</v>
      </c>
    </row>
    <row r="55" spans="1:3" x14ac:dyDescent="0.25">
      <c r="A55" t="s">
        <v>106</v>
      </c>
      <c r="B55">
        <f t="shared" si="2"/>
        <v>2900</v>
      </c>
      <c r="C55" t="str">
        <f t="shared" si="3"/>
        <v xml:space="preserve"> HERRAMIENTAS, REFACCIONES Y ACCESORIOS MENORES</v>
      </c>
    </row>
    <row r="56" spans="1:3" x14ac:dyDescent="0.25">
      <c r="A56" t="s">
        <v>107</v>
      </c>
      <c r="B56">
        <f t="shared" si="2"/>
        <v>2910</v>
      </c>
      <c r="C56" t="str">
        <f t="shared" si="3"/>
        <v xml:space="preserve"> Herramientas menores</v>
      </c>
    </row>
    <row r="57" spans="1:3" x14ac:dyDescent="0.25">
      <c r="A57" t="s">
        <v>108</v>
      </c>
      <c r="B57">
        <f t="shared" si="2"/>
        <v>2920</v>
      </c>
      <c r="C57" t="str">
        <f t="shared" si="3"/>
        <v xml:space="preserve"> Refacciones y accesorios menores de edificios</v>
      </c>
    </row>
    <row r="58" spans="1:3" x14ac:dyDescent="0.25">
      <c r="A58" t="s">
        <v>109</v>
      </c>
      <c r="B58">
        <f t="shared" si="2"/>
        <v>2930</v>
      </c>
      <c r="C58" t="str">
        <f t="shared" si="3"/>
        <v xml:space="preserve"> Refacciones y accesorios menores de mobiliario y equipo de administración, educacional y recreativo</v>
      </c>
    </row>
    <row r="59" spans="1:3" x14ac:dyDescent="0.25">
      <c r="A59" t="s">
        <v>110</v>
      </c>
      <c r="B59">
        <f t="shared" si="2"/>
        <v>2940</v>
      </c>
      <c r="C59" t="str">
        <f t="shared" si="3"/>
        <v xml:space="preserve"> Refacciones y accesorios menores de equipo de cómputo y tecnologías de la información</v>
      </c>
    </row>
    <row r="60" spans="1:3" x14ac:dyDescent="0.25">
      <c r="A60" t="s">
        <v>111</v>
      </c>
      <c r="B60">
        <f t="shared" si="2"/>
        <v>2950</v>
      </c>
      <c r="C60" t="str">
        <f t="shared" si="3"/>
        <v xml:space="preserve"> Refacciones y accesorios menores de equipo e instrumental médico y de laboratorio</v>
      </c>
    </row>
    <row r="61" spans="1:3" x14ac:dyDescent="0.25">
      <c r="A61" t="s">
        <v>112</v>
      </c>
      <c r="B61">
        <f t="shared" si="2"/>
        <v>2960</v>
      </c>
      <c r="C61" t="str">
        <f t="shared" si="3"/>
        <v xml:space="preserve"> Refacciones y accesorios menores de equipo de transporte</v>
      </c>
    </row>
    <row r="62" spans="1:3" x14ac:dyDescent="0.25">
      <c r="A62" t="s">
        <v>113</v>
      </c>
      <c r="B62">
        <f t="shared" si="2"/>
        <v>2970</v>
      </c>
      <c r="C62" t="str">
        <f t="shared" si="3"/>
        <v xml:space="preserve"> Refacciones y accesorios menores de equipo de defensa y seguridad</v>
      </c>
    </row>
    <row r="63" spans="1:3" x14ac:dyDescent="0.25">
      <c r="A63" t="s">
        <v>114</v>
      </c>
      <c r="B63">
        <f t="shared" ref="B63:B117" si="4">Limpia(A63,1)</f>
        <v>2980</v>
      </c>
      <c r="C63" t="str">
        <f t="shared" ref="C63:C117" si="5">Limpia(A63,2)</f>
        <v xml:space="preserve"> Refacciones y accesorios menores de maquinaria y otros equipos</v>
      </c>
    </row>
    <row r="64" spans="1:3" x14ac:dyDescent="0.25">
      <c r="A64" t="s">
        <v>115</v>
      </c>
      <c r="B64">
        <f t="shared" si="4"/>
        <v>2990</v>
      </c>
      <c r="C64" t="str">
        <f t="shared" si="5"/>
        <v xml:space="preserve"> Refacciones y accesorios menores otros bienes muebles</v>
      </c>
    </row>
    <row r="65" spans="1:3" x14ac:dyDescent="0.25">
      <c r="A65" t="s">
        <v>116</v>
      </c>
      <c r="B65">
        <f t="shared" si="4"/>
        <v>3000</v>
      </c>
      <c r="C65" t="str">
        <f t="shared" si="5"/>
        <v xml:space="preserve"> SERVICIOS GENERALES</v>
      </c>
    </row>
    <row r="66" spans="1:3" x14ac:dyDescent="0.25">
      <c r="A66" t="s">
        <v>117</v>
      </c>
      <c r="B66">
        <f t="shared" si="4"/>
        <v>3100</v>
      </c>
      <c r="C66" t="str">
        <f t="shared" si="5"/>
        <v xml:space="preserve"> SERVICIOS BÁSICOS</v>
      </c>
    </row>
    <row r="67" spans="1:3" x14ac:dyDescent="0.25">
      <c r="A67" t="s">
        <v>118</v>
      </c>
      <c r="B67">
        <f t="shared" si="4"/>
        <v>3110</v>
      </c>
      <c r="C67" t="str">
        <f t="shared" si="5"/>
        <v xml:space="preserve"> Energía eléctrica</v>
      </c>
    </row>
    <row r="68" spans="1:3" x14ac:dyDescent="0.25">
      <c r="A68" t="s">
        <v>119</v>
      </c>
      <c r="B68">
        <f t="shared" si="4"/>
        <v>3120</v>
      </c>
      <c r="C68" t="str">
        <f t="shared" si="5"/>
        <v xml:space="preserve"> Gas</v>
      </c>
    </row>
    <row r="69" spans="1:3" x14ac:dyDescent="0.25">
      <c r="A69" t="s">
        <v>120</v>
      </c>
      <c r="B69">
        <f t="shared" si="4"/>
        <v>3130</v>
      </c>
      <c r="C69" t="str">
        <f t="shared" si="5"/>
        <v xml:space="preserve"> Agua</v>
      </c>
    </row>
    <row r="70" spans="1:3" x14ac:dyDescent="0.25">
      <c r="A70" t="s">
        <v>121</v>
      </c>
      <c r="B70">
        <f t="shared" si="4"/>
        <v>3140</v>
      </c>
      <c r="C70" t="str">
        <f t="shared" si="5"/>
        <v xml:space="preserve"> Telefonía tradicional</v>
      </c>
    </row>
    <row r="71" spans="1:3" x14ac:dyDescent="0.25">
      <c r="A71" t="s">
        <v>122</v>
      </c>
      <c r="B71">
        <f t="shared" si="4"/>
        <v>3150</v>
      </c>
      <c r="C71" t="str">
        <f t="shared" si="5"/>
        <v xml:space="preserve"> Telefonía celular</v>
      </c>
    </row>
    <row r="72" spans="1:3" x14ac:dyDescent="0.25">
      <c r="A72" t="s">
        <v>123</v>
      </c>
      <c r="B72">
        <f t="shared" si="4"/>
        <v>3160</v>
      </c>
      <c r="C72" t="str">
        <f t="shared" si="5"/>
        <v xml:space="preserve"> Servicios de telecomunicaciones y satélites</v>
      </c>
    </row>
    <row r="73" spans="1:3" x14ac:dyDescent="0.25">
      <c r="A73" t="s">
        <v>124</v>
      </c>
      <c r="B73">
        <f t="shared" si="4"/>
        <v>3170</v>
      </c>
      <c r="C73" t="str">
        <f t="shared" si="5"/>
        <v xml:space="preserve"> Servicios de acceso a Internet, redes y procesamiento de información</v>
      </c>
    </row>
    <row r="74" spans="1:3" x14ac:dyDescent="0.25">
      <c r="A74" t="s">
        <v>125</v>
      </c>
      <c r="B74">
        <f t="shared" si="4"/>
        <v>3180</v>
      </c>
      <c r="C74" t="str">
        <f t="shared" si="5"/>
        <v xml:space="preserve"> Servicios postales y telegráficos</v>
      </c>
    </row>
    <row r="75" spans="1:3" x14ac:dyDescent="0.25">
      <c r="A75" t="s">
        <v>126</v>
      </c>
      <c r="B75">
        <f t="shared" si="4"/>
        <v>3190</v>
      </c>
      <c r="C75" t="str">
        <f t="shared" si="5"/>
        <v xml:space="preserve"> Servicios integrales y otros servicios</v>
      </c>
    </row>
    <row r="76" spans="1:3" x14ac:dyDescent="0.25">
      <c r="A76" t="s">
        <v>127</v>
      </c>
      <c r="B76">
        <f t="shared" si="4"/>
        <v>3200</v>
      </c>
      <c r="C76" t="str">
        <f t="shared" si="5"/>
        <v xml:space="preserve"> SERVICIOS DE ARRENDAMIENTO</v>
      </c>
    </row>
    <row r="77" spans="1:3" x14ac:dyDescent="0.25">
      <c r="A77" t="s">
        <v>128</v>
      </c>
      <c r="B77">
        <f t="shared" si="4"/>
        <v>3210</v>
      </c>
      <c r="C77" t="str">
        <f t="shared" si="5"/>
        <v xml:space="preserve"> Arrendamiento de terrenos</v>
      </c>
    </row>
    <row r="78" spans="1:3" x14ac:dyDescent="0.25">
      <c r="A78" t="s">
        <v>129</v>
      </c>
      <c r="B78">
        <f t="shared" si="4"/>
        <v>3220</v>
      </c>
      <c r="C78" t="str">
        <f t="shared" si="5"/>
        <v xml:space="preserve"> Arrendamiento de edificios</v>
      </c>
    </row>
    <row r="79" spans="1:3" x14ac:dyDescent="0.25">
      <c r="A79" t="s">
        <v>130</v>
      </c>
      <c r="B79">
        <f t="shared" si="4"/>
        <v>3230</v>
      </c>
      <c r="C79" t="str">
        <f t="shared" si="5"/>
        <v xml:space="preserve"> Arrendamiento de mobiliario y equipo de administración, educacional y recreativo</v>
      </c>
    </row>
    <row r="80" spans="1:3" x14ac:dyDescent="0.25">
      <c r="A80" t="s">
        <v>131</v>
      </c>
      <c r="B80">
        <f t="shared" si="4"/>
        <v>3240</v>
      </c>
      <c r="C80" t="str">
        <f t="shared" si="5"/>
        <v xml:space="preserve"> Arrendamiento de equipo e instrumental médico y de laboratorio</v>
      </c>
    </row>
    <row r="81" spans="1:3" x14ac:dyDescent="0.25">
      <c r="A81" t="s">
        <v>132</v>
      </c>
      <c r="B81">
        <f t="shared" si="4"/>
        <v>3250</v>
      </c>
      <c r="C81" t="str">
        <f t="shared" si="5"/>
        <v xml:space="preserve"> Arrendamiento de equipo de transporte</v>
      </c>
    </row>
    <row r="82" spans="1:3" x14ac:dyDescent="0.25">
      <c r="A82" t="s">
        <v>133</v>
      </c>
      <c r="B82">
        <f t="shared" si="4"/>
        <v>3260</v>
      </c>
      <c r="C82" t="str">
        <f t="shared" si="5"/>
        <v xml:space="preserve"> Arrendamiento de maquinaria, otros equipos y herramientas</v>
      </c>
    </row>
    <row r="83" spans="1:3" x14ac:dyDescent="0.25">
      <c r="A83" t="s">
        <v>134</v>
      </c>
      <c r="B83">
        <f t="shared" si="4"/>
        <v>3270</v>
      </c>
      <c r="C83" t="str">
        <f t="shared" si="5"/>
        <v xml:space="preserve"> Arrendamiento de activos intangibles</v>
      </c>
    </row>
    <row r="84" spans="1:3" x14ac:dyDescent="0.25">
      <c r="A84" t="s">
        <v>135</v>
      </c>
      <c r="B84">
        <f t="shared" si="4"/>
        <v>3280</v>
      </c>
      <c r="C84" t="str">
        <f t="shared" si="5"/>
        <v xml:space="preserve"> Arrendamiento financiero</v>
      </c>
    </row>
    <row r="85" spans="1:3" x14ac:dyDescent="0.25">
      <c r="A85" t="s">
        <v>136</v>
      </c>
      <c r="B85">
        <f t="shared" si="4"/>
        <v>3290</v>
      </c>
      <c r="C85" t="str">
        <f t="shared" si="5"/>
        <v xml:space="preserve"> Otros arrendamientos</v>
      </c>
    </row>
    <row r="86" spans="1:3" x14ac:dyDescent="0.25">
      <c r="A86" t="s">
        <v>137</v>
      </c>
      <c r="B86">
        <f t="shared" si="4"/>
        <v>3300</v>
      </c>
      <c r="C86" t="str">
        <f t="shared" si="5"/>
        <v xml:space="preserve"> SERVICIOS PROFESIONALES, CIENTÍFICOS, TÉCNICOS Y OTROS SERVICIOS</v>
      </c>
    </row>
    <row r="87" spans="1:3" x14ac:dyDescent="0.25">
      <c r="A87" t="s">
        <v>138</v>
      </c>
      <c r="B87">
        <f t="shared" si="4"/>
        <v>3310</v>
      </c>
      <c r="C87" t="str">
        <f t="shared" si="5"/>
        <v xml:space="preserve"> Servicios legales, de contabilidad, auditoría y relacionados</v>
      </c>
    </row>
    <row r="88" spans="1:3" x14ac:dyDescent="0.25">
      <c r="A88" t="s">
        <v>139</v>
      </c>
      <c r="B88">
        <f t="shared" si="4"/>
        <v>3320</v>
      </c>
      <c r="C88" t="str">
        <f t="shared" si="5"/>
        <v xml:space="preserve"> Servicios de diseño, arquitectura, ingeniería y actividades relacionadas</v>
      </c>
    </row>
    <row r="89" spans="1:3" x14ac:dyDescent="0.25">
      <c r="A89" t="s">
        <v>140</v>
      </c>
      <c r="B89">
        <f t="shared" si="4"/>
        <v>3330</v>
      </c>
      <c r="C89" t="str">
        <f t="shared" si="5"/>
        <v xml:space="preserve"> Servicios de consultoría administrativa, procesos, técnica y en tecnologías de la información</v>
      </c>
    </row>
    <row r="90" spans="1:3" x14ac:dyDescent="0.25">
      <c r="A90" t="s">
        <v>141</v>
      </c>
      <c r="B90">
        <f t="shared" si="4"/>
        <v>3340</v>
      </c>
      <c r="C90" t="str">
        <f t="shared" si="5"/>
        <v xml:space="preserve"> Servicios de capacitación</v>
      </c>
    </row>
    <row r="91" spans="1:3" x14ac:dyDescent="0.25">
      <c r="A91" t="s">
        <v>142</v>
      </c>
      <c r="B91">
        <f t="shared" si="4"/>
        <v>3350</v>
      </c>
      <c r="C91" t="str">
        <f t="shared" si="5"/>
        <v xml:space="preserve"> Servicios de investigación científica y desarrollo</v>
      </c>
    </row>
    <row r="92" spans="1:3" x14ac:dyDescent="0.25">
      <c r="A92" t="s">
        <v>143</v>
      </c>
      <c r="B92">
        <f t="shared" si="4"/>
        <v>3360</v>
      </c>
      <c r="C92" t="str">
        <f t="shared" si="5"/>
        <v xml:space="preserve"> Servicios de apoyo administrativo, traducción, fotocopiado e impresión</v>
      </c>
    </row>
    <row r="93" spans="1:3" x14ac:dyDescent="0.25">
      <c r="A93" t="s">
        <v>144</v>
      </c>
      <c r="B93">
        <f t="shared" si="4"/>
        <v>3370</v>
      </c>
      <c r="C93" t="str">
        <f t="shared" si="5"/>
        <v xml:space="preserve"> Servicios de protección y seguridad</v>
      </c>
    </row>
    <row r="94" spans="1:3" x14ac:dyDescent="0.25">
      <c r="A94" t="s">
        <v>145</v>
      </c>
      <c r="B94">
        <f t="shared" si="4"/>
        <v>3380</v>
      </c>
      <c r="C94" t="str">
        <f t="shared" si="5"/>
        <v xml:space="preserve"> Servicios de vigilancia</v>
      </c>
    </row>
    <row r="95" spans="1:3" x14ac:dyDescent="0.25">
      <c r="A95" t="s">
        <v>146</v>
      </c>
      <c r="B95">
        <f t="shared" si="4"/>
        <v>3390</v>
      </c>
      <c r="C95" t="str">
        <f t="shared" si="5"/>
        <v xml:space="preserve"> Servicios profesionales, científicos y técnicos integrales</v>
      </c>
    </row>
    <row r="96" spans="1:3" x14ac:dyDescent="0.25">
      <c r="A96" t="s">
        <v>147</v>
      </c>
      <c r="B96">
        <f t="shared" si="4"/>
        <v>3400</v>
      </c>
      <c r="C96" t="str">
        <f t="shared" si="5"/>
        <v xml:space="preserve"> SERVICIOS FINANCIEROS, BANCARIOS Y COMERCIALES</v>
      </c>
    </row>
    <row r="97" spans="1:3" x14ac:dyDescent="0.25">
      <c r="A97" t="s">
        <v>148</v>
      </c>
      <c r="B97">
        <f t="shared" si="4"/>
        <v>3410</v>
      </c>
      <c r="C97" t="str">
        <f t="shared" si="5"/>
        <v xml:space="preserve"> Servicios financieros y bancarios</v>
      </c>
    </row>
    <row r="98" spans="1:3" x14ac:dyDescent="0.25">
      <c r="A98" t="s">
        <v>149</v>
      </c>
      <c r="B98">
        <f t="shared" si="4"/>
        <v>3420</v>
      </c>
      <c r="C98" t="str">
        <f t="shared" si="5"/>
        <v xml:space="preserve"> Servicios de cobranza, investigación crediticia y similar</v>
      </c>
    </row>
    <row r="99" spans="1:3" x14ac:dyDescent="0.25">
      <c r="A99" t="s">
        <v>150</v>
      </c>
      <c r="B99">
        <f t="shared" si="4"/>
        <v>3430</v>
      </c>
      <c r="C99" t="str">
        <f t="shared" si="5"/>
        <v xml:space="preserve"> Servicios de recaudación, traslado y custodia de valores</v>
      </c>
    </row>
    <row r="100" spans="1:3" x14ac:dyDescent="0.25">
      <c r="A100" t="s">
        <v>151</v>
      </c>
      <c r="B100">
        <f t="shared" si="4"/>
        <v>3440</v>
      </c>
      <c r="C100" t="str">
        <f t="shared" si="5"/>
        <v xml:space="preserve"> Seguros de responsabilidad patrimonial y fianzas</v>
      </c>
    </row>
    <row r="101" spans="1:3" x14ac:dyDescent="0.25">
      <c r="A101" t="s">
        <v>152</v>
      </c>
      <c r="B101">
        <f t="shared" si="4"/>
        <v>3450</v>
      </c>
      <c r="C101" t="str">
        <f t="shared" si="5"/>
        <v xml:space="preserve"> Seguros de bienes patrimoniales</v>
      </c>
    </row>
    <row r="102" spans="1:3" x14ac:dyDescent="0.25">
      <c r="A102" t="s">
        <v>153</v>
      </c>
      <c r="B102">
        <f t="shared" si="4"/>
        <v>3460</v>
      </c>
      <c r="C102" t="str">
        <f t="shared" si="5"/>
        <v xml:space="preserve"> Almacenaje, envase y embalaje</v>
      </c>
    </row>
    <row r="103" spans="1:3" x14ac:dyDescent="0.25">
      <c r="A103" t="s">
        <v>154</v>
      </c>
      <c r="B103">
        <f t="shared" si="4"/>
        <v>3470</v>
      </c>
      <c r="C103" t="str">
        <f t="shared" si="5"/>
        <v xml:space="preserve"> Fletes y maniobras</v>
      </c>
    </row>
    <row r="104" spans="1:3" x14ac:dyDescent="0.25">
      <c r="A104" t="s">
        <v>155</v>
      </c>
      <c r="B104">
        <f t="shared" si="4"/>
        <v>3480</v>
      </c>
      <c r="C104" t="str">
        <f t="shared" si="5"/>
        <v xml:space="preserve"> Comisiones por ventas</v>
      </c>
    </row>
    <row r="105" spans="1:3" x14ac:dyDescent="0.25">
      <c r="A105" t="s">
        <v>156</v>
      </c>
      <c r="B105">
        <f t="shared" si="4"/>
        <v>3490</v>
      </c>
      <c r="C105" t="str">
        <f t="shared" si="5"/>
        <v xml:space="preserve"> Servicios financieros, bancarios y comerciales integrales</v>
      </c>
    </row>
    <row r="106" spans="1:3" x14ac:dyDescent="0.25">
      <c r="A106" t="s">
        <v>157</v>
      </c>
      <c r="B106">
        <f t="shared" si="4"/>
        <v>3500</v>
      </c>
      <c r="C106" t="str">
        <f t="shared" si="5"/>
        <v xml:space="preserve"> SERVICIOS DE INSTALACIÓN, REPARACIÓN, MANTENIMIENTO Y CONSERVACIÓN</v>
      </c>
    </row>
    <row r="107" spans="1:3" x14ac:dyDescent="0.25">
      <c r="A107" t="s">
        <v>158</v>
      </c>
      <c r="B107">
        <f t="shared" si="4"/>
        <v>3510</v>
      </c>
      <c r="C107" t="str">
        <f t="shared" si="5"/>
        <v xml:space="preserve"> Conservación y mantenimiento menor de inmuebles</v>
      </c>
    </row>
    <row r="108" spans="1:3" x14ac:dyDescent="0.25">
      <c r="A108" t="s">
        <v>159</v>
      </c>
      <c r="B108">
        <f t="shared" si="4"/>
        <v>3520</v>
      </c>
      <c r="C108" t="str">
        <f t="shared" si="5"/>
        <v xml:space="preserve"> Instalación, reparación y mantenimiento de mobiliario y equipo de administración, educacional y recreativo</v>
      </c>
    </row>
    <row r="109" spans="1:3" x14ac:dyDescent="0.25">
      <c r="A109" t="s">
        <v>160</v>
      </c>
      <c r="B109">
        <f t="shared" si="4"/>
        <v>3530</v>
      </c>
      <c r="C109" t="str">
        <f t="shared" si="5"/>
        <v xml:space="preserve"> Instalación, reparación y mantenimiento de equipo de cómputo y tecnologías de la información</v>
      </c>
    </row>
    <row r="110" spans="1:3" x14ac:dyDescent="0.25">
      <c r="A110" t="s">
        <v>161</v>
      </c>
      <c r="B110">
        <f t="shared" si="4"/>
        <v>3540</v>
      </c>
      <c r="C110" t="str">
        <f t="shared" si="5"/>
        <v xml:space="preserve"> Instalación, reparación y mantenimiento de equipo e instrumental médico y de laboratorio</v>
      </c>
    </row>
    <row r="111" spans="1:3" x14ac:dyDescent="0.25">
      <c r="A111" t="s">
        <v>162</v>
      </c>
      <c r="B111">
        <f t="shared" si="4"/>
        <v>3550</v>
      </c>
      <c r="C111" t="str">
        <f t="shared" si="5"/>
        <v xml:space="preserve"> Reparación y mantenimiento de equipo de transporte</v>
      </c>
    </row>
    <row r="112" spans="1:3" x14ac:dyDescent="0.25">
      <c r="A112" t="s">
        <v>163</v>
      </c>
      <c r="B112">
        <f t="shared" si="4"/>
        <v>3560</v>
      </c>
      <c r="C112" t="str">
        <f t="shared" si="5"/>
        <v xml:space="preserve"> Reparación y mantenimiento de equipo de defensa y seguridad</v>
      </c>
    </row>
    <row r="113" spans="1:3" x14ac:dyDescent="0.25">
      <c r="A113" t="s">
        <v>164</v>
      </c>
      <c r="B113">
        <f t="shared" si="4"/>
        <v>3570</v>
      </c>
      <c r="C113" t="str">
        <f t="shared" si="5"/>
        <v xml:space="preserve"> Instalación, reparación y mantenimiento de maquinaria, otros equipos y herramienta</v>
      </c>
    </row>
    <row r="114" spans="1:3" x14ac:dyDescent="0.25">
      <c r="A114" t="s">
        <v>165</v>
      </c>
      <c r="B114">
        <f t="shared" si="4"/>
        <v>3580</v>
      </c>
      <c r="C114" t="str">
        <f t="shared" si="5"/>
        <v xml:space="preserve"> Servicios de limpieza y manejo de desechos</v>
      </c>
    </row>
    <row r="115" spans="1:3" x14ac:dyDescent="0.25">
      <c r="A115" t="s">
        <v>166</v>
      </c>
      <c r="B115">
        <f t="shared" si="4"/>
        <v>3590</v>
      </c>
      <c r="C115" t="str">
        <f t="shared" si="5"/>
        <v xml:space="preserve"> Servicios de jardinería y fumigación</v>
      </c>
    </row>
    <row r="116" spans="1:3" x14ac:dyDescent="0.25">
      <c r="A116" t="s">
        <v>167</v>
      </c>
      <c r="B116">
        <f t="shared" si="4"/>
        <v>3600</v>
      </c>
      <c r="C116" t="str">
        <f t="shared" si="5"/>
        <v xml:space="preserve"> SERVICIOS DE COMUNICACIÓN SOCIAL Y PUBLICIDAD</v>
      </c>
    </row>
    <row r="117" spans="1:3" x14ac:dyDescent="0.25">
      <c r="A117" t="s">
        <v>168</v>
      </c>
      <c r="B117">
        <f t="shared" si="4"/>
        <v>3611</v>
      </c>
      <c r="C117" t="str">
        <f t="shared" si="5"/>
        <v xml:space="preserve"> Difusión por radio, televisión y prensa sobre programas y actividades gubernamentales</v>
      </c>
    </row>
    <row r="118" spans="1:3" x14ac:dyDescent="0.25">
      <c r="A118" t="s">
        <v>169</v>
      </c>
      <c r="B118">
        <f t="shared" ref="B118:B168" si="6">Limpia(A118,1)</f>
        <v>3612</v>
      </c>
      <c r="C118" t="str">
        <f t="shared" ref="C118:C168" si="7">Limpia(A118,2)</f>
        <v xml:space="preserve"> Difusión por medio alternativos sobre programas y actividades gubernamentales</v>
      </c>
    </row>
    <row r="119" spans="1:3" x14ac:dyDescent="0.25">
      <c r="A119" t="s">
        <v>170</v>
      </c>
      <c r="B119">
        <f t="shared" si="6"/>
        <v>3620</v>
      </c>
      <c r="C119" t="str">
        <f t="shared" si="7"/>
        <v xml:space="preserve"> Difusión por radio, televisión, y otros medios de mensajes comerciales para promover la venta de bienes y servicios</v>
      </c>
    </row>
    <row r="120" spans="1:3" x14ac:dyDescent="0.25">
      <c r="A120" t="s">
        <v>171</v>
      </c>
      <c r="B120">
        <f t="shared" si="6"/>
        <v>3630</v>
      </c>
      <c r="C120" t="str">
        <f t="shared" si="7"/>
        <v xml:space="preserve"> Servicios de creatividad, preproducción y producción de publicidad, excepto Internet</v>
      </c>
    </row>
    <row r="121" spans="1:3" x14ac:dyDescent="0.25">
      <c r="A121" t="s">
        <v>172</v>
      </c>
      <c r="B121">
        <f t="shared" si="6"/>
        <v>3640</v>
      </c>
      <c r="C121" t="str">
        <f t="shared" si="7"/>
        <v xml:space="preserve"> Servicios de revelado de fotografías</v>
      </c>
    </row>
    <row r="122" spans="1:3" x14ac:dyDescent="0.25">
      <c r="A122" t="s">
        <v>173</v>
      </c>
      <c r="B122">
        <f t="shared" si="6"/>
        <v>3650</v>
      </c>
      <c r="C122" t="str">
        <f t="shared" si="7"/>
        <v xml:space="preserve"> Servicios de la industria fílmica, del sonido y del video</v>
      </c>
    </row>
    <row r="123" spans="1:3" x14ac:dyDescent="0.25">
      <c r="A123" t="s">
        <v>174</v>
      </c>
      <c r="B123">
        <f t="shared" si="6"/>
        <v>3660</v>
      </c>
      <c r="C123" t="str">
        <f t="shared" si="7"/>
        <v xml:space="preserve"> Servicio de creación y difusión de contenido exclusivamente a través de Internet</v>
      </c>
    </row>
    <row r="124" spans="1:3" x14ac:dyDescent="0.25">
      <c r="A124" t="s">
        <v>175</v>
      </c>
      <c r="B124">
        <f t="shared" si="6"/>
        <v>3690</v>
      </c>
      <c r="C124" t="str">
        <f t="shared" si="7"/>
        <v xml:space="preserve"> Otros servicios de información</v>
      </c>
    </row>
    <row r="125" spans="1:3" x14ac:dyDescent="0.25">
      <c r="A125" t="s">
        <v>176</v>
      </c>
      <c r="B125">
        <f t="shared" si="6"/>
        <v>3700</v>
      </c>
      <c r="C125" t="str">
        <f t="shared" si="7"/>
        <v xml:space="preserve"> SERVICIOS DE TRASLADO Y VIÁTICOS</v>
      </c>
    </row>
    <row r="126" spans="1:3" x14ac:dyDescent="0.25">
      <c r="A126" t="s">
        <v>177</v>
      </c>
      <c r="B126">
        <f t="shared" si="6"/>
        <v>3710</v>
      </c>
      <c r="C126" t="str">
        <f t="shared" si="7"/>
        <v xml:space="preserve"> Pasajes aéreos</v>
      </c>
    </row>
    <row r="127" spans="1:3" x14ac:dyDescent="0.25">
      <c r="A127" t="s">
        <v>178</v>
      </c>
      <c r="B127">
        <f t="shared" si="6"/>
        <v>3720</v>
      </c>
      <c r="C127" t="str">
        <f t="shared" si="7"/>
        <v xml:space="preserve"> Pasajes terrestres</v>
      </c>
    </row>
    <row r="128" spans="1:3" x14ac:dyDescent="0.25">
      <c r="A128" t="s">
        <v>179</v>
      </c>
      <c r="B128">
        <f t="shared" si="6"/>
        <v>3730</v>
      </c>
      <c r="C128" t="str">
        <f t="shared" si="7"/>
        <v xml:space="preserve"> Pasajes marítimos, lacustres y fluviales</v>
      </c>
    </row>
    <row r="129" spans="1:3" x14ac:dyDescent="0.25">
      <c r="A129" t="s">
        <v>180</v>
      </c>
      <c r="B129">
        <f t="shared" si="6"/>
        <v>3740</v>
      </c>
      <c r="C129" t="str">
        <f t="shared" si="7"/>
        <v xml:space="preserve"> Autotransporte</v>
      </c>
    </row>
    <row r="130" spans="1:3" x14ac:dyDescent="0.25">
      <c r="A130" t="s">
        <v>181</v>
      </c>
      <c r="B130">
        <f t="shared" si="6"/>
        <v>3750</v>
      </c>
      <c r="C130" t="str">
        <f t="shared" si="7"/>
        <v xml:space="preserve"> Viáticos en el país</v>
      </c>
    </row>
    <row r="131" spans="1:3" x14ac:dyDescent="0.25">
      <c r="A131" t="s">
        <v>182</v>
      </c>
      <c r="B131">
        <f t="shared" si="6"/>
        <v>3760</v>
      </c>
      <c r="C131" t="str">
        <f t="shared" si="7"/>
        <v xml:space="preserve"> Viáticos en el extranjero</v>
      </c>
    </row>
    <row r="132" spans="1:3" x14ac:dyDescent="0.25">
      <c r="A132" t="s">
        <v>183</v>
      </c>
      <c r="B132">
        <f t="shared" si="6"/>
        <v>3770</v>
      </c>
      <c r="C132" t="str">
        <f t="shared" si="7"/>
        <v xml:space="preserve"> Gastos de instalación y traslado de menaje</v>
      </c>
    </row>
    <row r="133" spans="1:3" x14ac:dyDescent="0.25">
      <c r="A133" t="s">
        <v>184</v>
      </c>
      <c r="B133">
        <f t="shared" si="6"/>
        <v>3780</v>
      </c>
      <c r="C133" t="str">
        <f t="shared" si="7"/>
        <v xml:space="preserve"> Servicios integrales de traslado y viáticos</v>
      </c>
    </row>
    <row r="134" spans="1:3" x14ac:dyDescent="0.25">
      <c r="A134" t="s">
        <v>185</v>
      </c>
      <c r="B134">
        <f t="shared" si="6"/>
        <v>3790</v>
      </c>
      <c r="C134" t="str">
        <f t="shared" si="7"/>
        <v xml:space="preserve"> Otros servicios de traslado y hospedaje</v>
      </c>
    </row>
    <row r="135" spans="1:3" x14ac:dyDescent="0.25">
      <c r="A135" t="s">
        <v>186</v>
      </c>
      <c r="B135">
        <f t="shared" si="6"/>
        <v>3800</v>
      </c>
      <c r="C135" t="str">
        <f t="shared" si="7"/>
        <v xml:space="preserve"> SERVICIOS OFICIALES</v>
      </c>
    </row>
    <row r="136" spans="1:3" x14ac:dyDescent="0.25">
      <c r="A136" t="s">
        <v>187</v>
      </c>
      <c r="B136">
        <f t="shared" si="6"/>
        <v>3810</v>
      </c>
      <c r="C136" t="str">
        <f t="shared" si="7"/>
        <v xml:space="preserve"> Gastos de ceremonial</v>
      </c>
    </row>
    <row r="137" spans="1:3" x14ac:dyDescent="0.25">
      <c r="A137" t="s">
        <v>188</v>
      </c>
      <c r="B137">
        <f t="shared" si="6"/>
        <v>3820</v>
      </c>
      <c r="C137" t="str">
        <f t="shared" si="7"/>
        <v xml:space="preserve"> Gastos de orden social y cultural</v>
      </c>
    </row>
    <row r="138" spans="1:3" x14ac:dyDescent="0.25">
      <c r="A138" t="s">
        <v>189</v>
      </c>
      <c r="B138">
        <f t="shared" si="6"/>
        <v>3830</v>
      </c>
      <c r="C138" t="str">
        <f t="shared" si="7"/>
        <v xml:space="preserve"> Congresos y convenciones</v>
      </c>
    </row>
    <row r="139" spans="1:3" x14ac:dyDescent="0.25">
      <c r="A139" t="s">
        <v>190</v>
      </c>
      <c r="B139">
        <f t="shared" si="6"/>
        <v>3840</v>
      </c>
      <c r="C139" t="str">
        <f t="shared" si="7"/>
        <v xml:space="preserve"> Exposiciones</v>
      </c>
    </row>
    <row r="140" spans="1:3" x14ac:dyDescent="0.25">
      <c r="A140" t="s">
        <v>191</v>
      </c>
      <c r="B140">
        <f t="shared" si="6"/>
        <v>3850</v>
      </c>
      <c r="C140" t="str">
        <f t="shared" si="7"/>
        <v xml:space="preserve"> Gastos de representación</v>
      </c>
    </row>
    <row r="141" spans="1:3" x14ac:dyDescent="0.25">
      <c r="A141" t="s">
        <v>192</v>
      </c>
      <c r="B141">
        <f t="shared" si="6"/>
        <v>3900</v>
      </c>
      <c r="C141" t="str">
        <f t="shared" si="7"/>
        <v xml:space="preserve"> OTROS SERVICIOS GENERALES</v>
      </c>
    </row>
    <row r="142" spans="1:3" x14ac:dyDescent="0.25">
      <c r="A142" t="s">
        <v>193</v>
      </c>
      <c r="B142">
        <f t="shared" si="6"/>
        <v>3910</v>
      </c>
      <c r="C142" t="str">
        <f t="shared" si="7"/>
        <v xml:space="preserve"> Servicios funerarios y de cementerios</v>
      </c>
    </row>
    <row r="143" spans="1:3" x14ac:dyDescent="0.25">
      <c r="A143" t="s">
        <v>194</v>
      </c>
      <c r="B143">
        <f t="shared" si="6"/>
        <v>3920</v>
      </c>
      <c r="C143" t="str">
        <f t="shared" si="7"/>
        <v xml:space="preserve"> Impuestos y derechos</v>
      </c>
    </row>
    <row r="144" spans="1:3" x14ac:dyDescent="0.25">
      <c r="A144" t="s">
        <v>195</v>
      </c>
      <c r="B144">
        <f t="shared" si="6"/>
        <v>3930</v>
      </c>
      <c r="C144" t="str">
        <f t="shared" si="7"/>
        <v xml:space="preserve"> Impuestos y derechos de importación</v>
      </c>
    </row>
    <row r="145" spans="1:3" x14ac:dyDescent="0.25">
      <c r="A145" t="s">
        <v>196</v>
      </c>
      <c r="B145">
        <f t="shared" si="6"/>
        <v>3940</v>
      </c>
      <c r="C145" t="str">
        <f t="shared" si="7"/>
        <v xml:space="preserve"> Sentencias y resoluciones judiciales</v>
      </c>
    </row>
    <row r="146" spans="1:3" x14ac:dyDescent="0.25">
      <c r="A146" t="s">
        <v>197</v>
      </c>
      <c r="B146">
        <f t="shared" si="6"/>
        <v>3950</v>
      </c>
      <c r="C146" t="str">
        <f t="shared" si="7"/>
        <v xml:space="preserve"> Penas, multas, accesorios y actualizaciones</v>
      </c>
    </row>
    <row r="147" spans="1:3" x14ac:dyDescent="0.25">
      <c r="A147" t="s">
        <v>198</v>
      </c>
      <c r="B147">
        <f t="shared" si="6"/>
        <v>3960</v>
      </c>
      <c r="C147" t="str">
        <f t="shared" si="7"/>
        <v xml:space="preserve"> Otros gastos por responsabilidades</v>
      </c>
    </row>
    <row r="148" spans="1:3" x14ac:dyDescent="0.25">
      <c r="A148" t="s">
        <v>199</v>
      </c>
      <c r="B148">
        <f t="shared" si="6"/>
        <v>3980</v>
      </c>
      <c r="C148" t="str">
        <f t="shared" si="7"/>
        <v xml:space="preserve"> Impuesto sobre nóminas y otros que se deriven de una relación laboral (Entra en</v>
      </c>
    </row>
    <row r="149" spans="1:3" x14ac:dyDescent="0.25">
      <c r="A149" t="s">
        <v>200</v>
      </c>
      <c r="B149">
        <f t="shared" si="6"/>
        <v>3990</v>
      </c>
      <c r="C149" t="str">
        <f t="shared" si="7"/>
        <v xml:space="preserve"> Otros servicios generales</v>
      </c>
    </row>
    <row r="150" spans="1:3" x14ac:dyDescent="0.25">
      <c r="A150" t="s">
        <v>201</v>
      </c>
      <c r="B150">
        <f t="shared" si="6"/>
        <v>4000</v>
      </c>
      <c r="C150" t="str">
        <f t="shared" si="7"/>
        <v xml:space="preserve"> TRANSFERENCIAS, ASIGNACIONES, SUBSIDIOS Y OTRAS AYUDAS</v>
      </c>
    </row>
    <row r="151" spans="1:3" x14ac:dyDescent="0.25">
      <c r="A151" t="s">
        <v>202</v>
      </c>
      <c r="B151">
        <f t="shared" si="6"/>
        <v>4100</v>
      </c>
      <c r="C151" t="str">
        <f t="shared" si="7"/>
        <v xml:space="preserve"> TRANSFERENCIAS INTERNAS Y ASIGNACIONES AL SECTOR PÚBLICO</v>
      </c>
    </row>
    <row r="152" spans="1:3" x14ac:dyDescent="0.25">
      <c r="A152" t="s">
        <v>203</v>
      </c>
      <c r="B152">
        <f t="shared" si="6"/>
        <v>4111</v>
      </c>
      <c r="C152" t="str">
        <f t="shared" si="7"/>
        <v xml:space="preserve"> Asignaciones presupuestarias al Poder Ejecutivo para servicios personales</v>
      </c>
    </row>
    <row r="153" spans="1:3" x14ac:dyDescent="0.25">
      <c r="A153" t="s">
        <v>204</v>
      </c>
      <c r="B153">
        <f t="shared" si="6"/>
        <v>4112</v>
      </c>
      <c r="C153" t="str">
        <f t="shared" si="7"/>
        <v xml:space="preserve"> Asignaciones presupuestarias al Poder Ejecutivo para materiales y suministros</v>
      </c>
    </row>
    <row r="154" spans="1:3" x14ac:dyDescent="0.25">
      <c r="A154" t="s">
        <v>205</v>
      </c>
      <c r="B154">
        <f t="shared" si="6"/>
        <v>4113</v>
      </c>
      <c r="C154" t="str">
        <f t="shared" si="7"/>
        <v xml:space="preserve"> Asignaciones presupuestarias al Poder Ejecutivo para servicios generales</v>
      </c>
    </row>
    <row r="155" spans="1:3" x14ac:dyDescent="0.25">
      <c r="A155" t="s">
        <v>206</v>
      </c>
      <c r="B155">
        <f t="shared" si="6"/>
        <v>4114</v>
      </c>
      <c r="C155" t="str">
        <f t="shared" si="7"/>
        <v xml:space="preserve"> Asignaciones presupuestarias al Poder Ejecutivo de gasto corriente para asignaciones, subsidios y otras ayudas</v>
      </c>
    </row>
    <row r="156" spans="1:3" x14ac:dyDescent="0.25">
      <c r="A156" t="s">
        <v>207</v>
      </c>
      <c r="B156">
        <f t="shared" si="6"/>
        <v>4115</v>
      </c>
      <c r="C156" t="str">
        <f t="shared" si="7"/>
        <v xml:space="preserve"> Asignaciones presupuestarias al Poder Ejecutivo para bienes muebles, inmuebles e intangibles</v>
      </c>
    </row>
    <row r="157" spans="1:3" x14ac:dyDescent="0.25">
      <c r="A157" t="s">
        <v>208</v>
      </c>
      <c r="B157">
        <f t="shared" si="6"/>
        <v>4116</v>
      </c>
      <c r="C157" t="str">
        <f t="shared" si="7"/>
        <v xml:space="preserve"> Asignaciones presupuestarias al Poder Ejecutivo para inversión pública</v>
      </c>
    </row>
    <row r="158" spans="1:3" x14ac:dyDescent="0.25">
      <c r="A158" t="s">
        <v>209</v>
      </c>
      <c r="B158">
        <f t="shared" si="6"/>
        <v>4117</v>
      </c>
      <c r="C158" t="str">
        <f t="shared" si="7"/>
        <v xml:space="preserve"> Asignaciones presupuestarias al Poder Ejecutivo de gasto corriente para inversiones financieras y otras provisiones</v>
      </c>
    </row>
    <row r="159" spans="1:3" x14ac:dyDescent="0.25">
      <c r="A159" t="s">
        <v>210</v>
      </c>
      <c r="B159">
        <f t="shared" si="6"/>
        <v>4118</v>
      </c>
      <c r="C159" t="str">
        <f t="shared" si="7"/>
        <v xml:space="preserve"> Asignaciones presupuestarias al Poder Ejecutivo de gasto de capital para asignaciones, subsidios y otras ayudas</v>
      </c>
    </row>
    <row r="160" spans="1:3" x14ac:dyDescent="0.25">
      <c r="A160" t="s">
        <v>211</v>
      </c>
      <c r="B160">
        <f t="shared" si="6"/>
        <v>4119</v>
      </c>
      <c r="C160" t="str">
        <f t="shared" si="7"/>
        <v xml:space="preserve"> Asignaciones presupuestarias al Poder Ejecutivo de gasto de capital para inversiones financieras y otras provisiones</v>
      </c>
    </row>
    <row r="161" spans="1:3" x14ac:dyDescent="0.25">
      <c r="A161" t="s">
        <v>212</v>
      </c>
      <c r="B161">
        <f t="shared" si="6"/>
        <v>4121</v>
      </c>
      <c r="C161" t="str">
        <f t="shared" si="7"/>
        <v xml:space="preserve"> Asignaciones presupuestarias al Poder Legislativo para servicios personales</v>
      </c>
    </row>
    <row r="162" spans="1:3" x14ac:dyDescent="0.25">
      <c r="A162" t="s">
        <v>213</v>
      </c>
      <c r="B162">
        <f t="shared" si="6"/>
        <v>4122</v>
      </c>
      <c r="C162" t="str">
        <f t="shared" si="7"/>
        <v xml:space="preserve"> Asignaciones presupuestarias al Poder Legislativo para materiales y suministros</v>
      </c>
    </row>
    <row r="163" spans="1:3" x14ac:dyDescent="0.25">
      <c r="A163" t="s">
        <v>214</v>
      </c>
      <c r="B163">
        <f t="shared" si="6"/>
        <v>4123</v>
      </c>
      <c r="C163" t="str">
        <f t="shared" si="7"/>
        <v xml:space="preserve"> Asignaciones presupuestarias al Poder Legislativo para servicios generales</v>
      </c>
    </row>
    <row r="164" spans="1:3" x14ac:dyDescent="0.25">
      <c r="A164" t="s">
        <v>215</v>
      </c>
      <c r="B164">
        <f t="shared" si="6"/>
        <v>4124</v>
      </c>
      <c r="C164" t="str">
        <f t="shared" si="7"/>
        <v xml:space="preserve"> Asignaciones presupuestarias al Poder Legislativo de gasto corriente para asignaciones, subsidios y otras ayudas</v>
      </c>
    </row>
    <row r="165" spans="1:3" x14ac:dyDescent="0.25">
      <c r="A165" t="s">
        <v>216</v>
      </c>
      <c r="B165">
        <f t="shared" si="6"/>
        <v>4125</v>
      </c>
      <c r="C165" t="str">
        <f t="shared" si="7"/>
        <v xml:space="preserve"> Asignaciones presupuestarias al Poder Legislativo para bienes muebles, inmuebles e intangibles</v>
      </c>
    </row>
    <row r="166" spans="1:3" x14ac:dyDescent="0.25">
      <c r="A166" t="s">
        <v>217</v>
      </c>
      <c r="B166">
        <f t="shared" si="6"/>
        <v>4126</v>
      </c>
      <c r="C166" t="str">
        <f t="shared" si="7"/>
        <v xml:space="preserve"> Asignaciones presupuestarias al Poder Legislativo para inversión pública</v>
      </c>
    </row>
    <row r="167" spans="1:3" x14ac:dyDescent="0.25">
      <c r="A167" t="s">
        <v>218</v>
      </c>
      <c r="B167">
        <f t="shared" si="6"/>
        <v>4127</v>
      </c>
      <c r="C167" t="str">
        <f t="shared" si="7"/>
        <v xml:space="preserve"> Asignaciones presupuestarias al Poder Legislativo de gasto corriente para inversiones financieras y otras provisiones</v>
      </c>
    </row>
    <row r="168" spans="1:3" x14ac:dyDescent="0.25">
      <c r="A168" t="s">
        <v>219</v>
      </c>
      <c r="B168">
        <f t="shared" si="6"/>
        <v>4128</v>
      </c>
      <c r="C168" t="str">
        <f t="shared" si="7"/>
        <v xml:space="preserve"> Asignaciones presupuestarias al Poder Legislativo de gasto de capital para asignaciones, subsidios y otras ayudas</v>
      </c>
    </row>
    <row r="169" spans="1:3" x14ac:dyDescent="0.25">
      <c r="A169" t="s">
        <v>220</v>
      </c>
      <c r="B169">
        <f t="shared" ref="B169:B206" si="8">Limpia(A169,1)</f>
        <v>4129</v>
      </c>
      <c r="C169" t="str">
        <f t="shared" ref="C169:C206" si="9">Limpia(A169,2)</f>
        <v xml:space="preserve"> Asignaciones presupuestarias al Poder Legislativo de gasto de capital para inversiones financieras y otras provisiones</v>
      </c>
    </row>
    <row r="170" spans="1:3" x14ac:dyDescent="0.25">
      <c r="A170" t="s">
        <v>221</v>
      </c>
      <c r="B170">
        <f t="shared" si="8"/>
        <v>4131</v>
      </c>
      <c r="C170" t="str">
        <f t="shared" si="9"/>
        <v xml:space="preserve"> Asignaciones presupuestarias al Poder Judicial para servicios personales</v>
      </c>
    </row>
    <row r="171" spans="1:3" x14ac:dyDescent="0.25">
      <c r="A171" t="s">
        <v>222</v>
      </c>
      <c r="B171">
        <f t="shared" si="8"/>
        <v>4132</v>
      </c>
      <c r="C171" t="str">
        <f t="shared" si="9"/>
        <v xml:space="preserve"> Asignaciones presupuestarias al Poder Judicial para materiales y suministros</v>
      </c>
    </row>
    <row r="172" spans="1:3" x14ac:dyDescent="0.25">
      <c r="A172" t="s">
        <v>223</v>
      </c>
      <c r="B172">
        <f t="shared" si="8"/>
        <v>4133</v>
      </c>
      <c r="C172" t="str">
        <f t="shared" si="9"/>
        <v xml:space="preserve"> Asignaciones presupuestarias al Poder Judicial para servicios generales</v>
      </c>
    </row>
    <row r="173" spans="1:3" x14ac:dyDescent="0.25">
      <c r="A173" t="s">
        <v>224</v>
      </c>
      <c r="B173">
        <f t="shared" si="8"/>
        <v>4134</v>
      </c>
      <c r="C173" t="str">
        <f t="shared" si="9"/>
        <v xml:space="preserve"> Asignaciones presupuestarias al Poder Judicial de gasto corriente para asignaciones, subsidios y otras ayudas</v>
      </c>
    </row>
    <row r="174" spans="1:3" x14ac:dyDescent="0.25">
      <c r="A174" t="s">
        <v>225</v>
      </c>
      <c r="B174">
        <f t="shared" si="8"/>
        <v>4135</v>
      </c>
      <c r="C174" t="str">
        <f t="shared" si="9"/>
        <v xml:space="preserve"> Asignaciones presupuestarias al Poder Judicial para bienes muebles, inmuebles e intangibles</v>
      </c>
    </row>
    <row r="175" spans="1:3" x14ac:dyDescent="0.25">
      <c r="A175" t="s">
        <v>226</v>
      </c>
      <c r="B175">
        <f t="shared" si="8"/>
        <v>4136</v>
      </c>
      <c r="C175" t="str">
        <f t="shared" si="9"/>
        <v xml:space="preserve"> Asignaciones presupuestarias al Poder Judicial para inversión pública</v>
      </c>
    </row>
    <row r="176" spans="1:3" x14ac:dyDescent="0.25">
      <c r="A176" t="s">
        <v>227</v>
      </c>
      <c r="B176">
        <f t="shared" si="8"/>
        <v>4137</v>
      </c>
      <c r="C176" t="str">
        <f t="shared" si="9"/>
        <v xml:space="preserve"> Asignaciones presupuestarias al Poder Judicial de gasto corriente para inversiones financieras y otras provisiones</v>
      </c>
    </row>
    <row r="177" spans="1:3" x14ac:dyDescent="0.25">
      <c r="A177" t="s">
        <v>228</v>
      </c>
      <c r="B177">
        <f t="shared" si="8"/>
        <v>4138</v>
      </c>
      <c r="C177" t="str">
        <f t="shared" si="9"/>
        <v xml:space="preserve"> Asignaciones presupuestarias al Poder Judicial de gasto de capital para asignaciones, subsidios y otras ayudas</v>
      </c>
    </row>
    <row r="178" spans="1:3" x14ac:dyDescent="0.25">
      <c r="A178" t="s">
        <v>229</v>
      </c>
      <c r="B178">
        <f t="shared" si="8"/>
        <v>4139</v>
      </c>
      <c r="C178" t="str">
        <f t="shared" si="9"/>
        <v xml:space="preserve"> Asignaciones presupuestarias al Poder Judicial de gasto de capital para inversiones financieras y otras provisiones</v>
      </c>
    </row>
    <row r="179" spans="1:3" x14ac:dyDescent="0.25">
      <c r="A179" t="s">
        <v>230</v>
      </c>
      <c r="B179">
        <f t="shared" si="8"/>
        <v>4141</v>
      </c>
      <c r="C179" t="str">
        <f t="shared" si="9"/>
        <v xml:space="preserve"> Asignaciones presupuestarias a Organismos Autónomos para servicios personales</v>
      </c>
    </row>
    <row r="180" spans="1:3" x14ac:dyDescent="0.25">
      <c r="A180" t="s">
        <v>231</v>
      </c>
      <c r="B180">
        <f t="shared" si="8"/>
        <v>4142</v>
      </c>
      <c r="C180" t="str">
        <f t="shared" si="9"/>
        <v xml:space="preserve"> Asignaciones presupuestarias a Organismos Autónomos para materiales y suministros</v>
      </c>
    </row>
    <row r="181" spans="1:3" x14ac:dyDescent="0.25">
      <c r="A181" t="s">
        <v>232</v>
      </c>
      <c r="B181">
        <f t="shared" si="8"/>
        <v>4143</v>
      </c>
      <c r="C181" t="str">
        <f t="shared" si="9"/>
        <v xml:space="preserve"> Asignaciones presupuestarias a Organismos Autónomos para servicios generales</v>
      </c>
    </row>
    <row r="182" spans="1:3" x14ac:dyDescent="0.25">
      <c r="A182" t="s">
        <v>233</v>
      </c>
      <c r="B182">
        <f t="shared" si="8"/>
        <v>4144</v>
      </c>
      <c r="C182" t="str">
        <f t="shared" si="9"/>
        <v xml:space="preserve"> Asignaciones presupuestarias a Organismos Autónomos de gasto corriente para asignaciones, subsidios y otras ayudas</v>
      </c>
    </row>
    <row r="183" spans="1:3" x14ac:dyDescent="0.25">
      <c r="A183" t="s">
        <v>234</v>
      </c>
      <c r="B183">
        <f t="shared" si="8"/>
        <v>4145</v>
      </c>
      <c r="C183" t="str">
        <f t="shared" si="9"/>
        <v xml:space="preserve"> Asignaciones presupuestarias a Organismos Autónomos para bienes muebles, inmuebles e intangibles</v>
      </c>
    </row>
    <row r="184" spans="1:3" x14ac:dyDescent="0.25">
      <c r="A184" t="s">
        <v>235</v>
      </c>
      <c r="B184">
        <f t="shared" si="8"/>
        <v>4146</v>
      </c>
      <c r="C184" t="str">
        <f t="shared" si="9"/>
        <v xml:space="preserve"> Asignaciones presupuestarias a Organismos Autónomos para inversión pública</v>
      </c>
    </row>
    <row r="185" spans="1:3" x14ac:dyDescent="0.25">
      <c r="A185" t="s">
        <v>236</v>
      </c>
      <c r="B185">
        <f t="shared" si="8"/>
        <v>4147</v>
      </c>
      <c r="C185" t="str">
        <f t="shared" si="9"/>
        <v xml:space="preserve"> Asignaciones presupuestarias a Organismos Autónomos de gasto corriente para inversiones financieras y otras provisiones</v>
      </c>
    </row>
    <row r="186" spans="1:3" x14ac:dyDescent="0.25">
      <c r="A186" t="s">
        <v>237</v>
      </c>
      <c r="B186">
        <f t="shared" si="8"/>
        <v>4148</v>
      </c>
      <c r="C186" t="str">
        <f t="shared" si="9"/>
        <v xml:space="preserve"> Asignaciones presupuestarias a Organismos Autónomos de gasto de capital para asignaciones, subsidios y otras ayudas</v>
      </c>
    </row>
    <row r="187" spans="1:3" x14ac:dyDescent="0.25">
      <c r="A187" t="s">
        <v>238</v>
      </c>
      <c r="B187">
        <f t="shared" si="8"/>
        <v>4149</v>
      </c>
      <c r="C187" t="str">
        <f t="shared" si="9"/>
        <v xml:space="preserve"> Asignaciones presupuestarias a Organismos Autónomos de gasto de capital para inversiones financieras y otras provisiones</v>
      </c>
    </row>
    <row r="188" spans="1:3" x14ac:dyDescent="0.25">
      <c r="A188" t="s">
        <v>239</v>
      </c>
      <c r="B188">
        <f t="shared" si="8"/>
        <v>4151</v>
      </c>
      <c r="C188" t="str">
        <f t="shared" si="9"/>
        <v xml:space="preserve"> Transferencias internas otorgadas a entidades paraestatales no empresariales y no financieras para servicios personales</v>
      </c>
    </row>
    <row r="189" spans="1:3" x14ac:dyDescent="0.25">
      <c r="A189" t="s">
        <v>240</v>
      </c>
      <c r="B189">
        <f t="shared" si="8"/>
        <v>4152</v>
      </c>
      <c r="C189" t="str">
        <f t="shared" si="9"/>
        <v xml:space="preserve"> Transferencias internas otorgadas a entidades paraestatales no empresariales y no financieras para materiales y suministros</v>
      </c>
    </row>
    <row r="190" spans="1:3" x14ac:dyDescent="0.25">
      <c r="A190" t="s">
        <v>241</v>
      </c>
      <c r="B190">
        <f t="shared" si="8"/>
        <v>4153</v>
      </c>
      <c r="C190" t="str">
        <f t="shared" si="9"/>
        <v xml:space="preserve"> Transferencias internas otorgadas a entidades paraestatales no empresariales y no financieras para servicios generales</v>
      </c>
    </row>
    <row r="191" spans="1:3" x14ac:dyDescent="0.25">
      <c r="A191" t="s">
        <v>242</v>
      </c>
      <c r="B191">
        <f t="shared" si="8"/>
        <v>4154</v>
      </c>
      <c r="C191" t="str">
        <f t="shared" si="9"/>
        <v xml:space="preserve"> Transferencias internas otorgadas a entidades paraestatales no empresariales y no financieras de gasto corriente para asignaciones, subsidios y otras ayudas</v>
      </c>
    </row>
    <row r="192" spans="1:3" x14ac:dyDescent="0.25">
      <c r="A192" t="s">
        <v>243</v>
      </c>
      <c r="B192">
        <f t="shared" si="8"/>
        <v>4155</v>
      </c>
      <c r="C192" t="str">
        <f t="shared" si="9"/>
        <v xml:space="preserve"> Transferencias internas otorgadas a entidades paraestatales no empresariales y no financieras para bienes muebles, inmuebles e intangibles</v>
      </c>
    </row>
    <row r="193" spans="1:3" x14ac:dyDescent="0.25">
      <c r="A193" t="s">
        <v>244</v>
      </c>
      <c r="B193">
        <f t="shared" si="8"/>
        <v>4156</v>
      </c>
      <c r="C193" t="str">
        <f t="shared" si="9"/>
        <v xml:space="preserve"> Transferencias internas otorgadas a entidades paraestatales no empresariales y no financieras para inversión pública</v>
      </c>
    </row>
    <row r="194" spans="1:3" x14ac:dyDescent="0.25">
      <c r="A194" t="s">
        <v>245</v>
      </c>
      <c r="B194">
        <f t="shared" si="8"/>
        <v>4157</v>
      </c>
      <c r="C194" t="str">
        <f t="shared" si="9"/>
        <v xml:space="preserve"> Transferencias internas otorgadas a entidades paraestatales no empresariales y no financieras de gasto corriente para inversiones financieras y otras provisiones</v>
      </c>
    </row>
    <row r="195" spans="1:3" x14ac:dyDescent="0.25">
      <c r="A195" t="s">
        <v>246</v>
      </c>
      <c r="B195">
        <f t="shared" si="8"/>
        <v>4158</v>
      </c>
      <c r="C195" t="str">
        <f t="shared" si="9"/>
        <v xml:space="preserve"> Transferencias internas otorgadas a entidades paraestatales no empresariales y no financieras de gasto de capital para asignaciones, subsidios y otras ayudas</v>
      </c>
    </row>
    <row r="196" spans="1:3" x14ac:dyDescent="0.25">
      <c r="A196" t="s">
        <v>247</v>
      </c>
      <c r="B196">
        <f t="shared" si="8"/>
        <v>4159</v>
      </c>
      <c r="C196" t="str">
        <f t="shared" si="9"/>
        <v xml:space="preserve"> Transferencias internas otorgadas a entidades paraestatales no empresariales y no financieras de gasto de capital para inversiones financieras y otras provisiones</v>
      </c>
    </row>
    <row r="197" spans="1:3" x14ac:dyDescent="0.25">
      <c r="A197" t="s">
        <v>248</v>
      </c>
      <c r="B197">
        <f t="shared" si="8"/>
        <v>4161</v>
      </c>
      <c r="C197" t="str">
        <f t="shared" si="9"/>
        <v xml:space="preserve"> Transferencias internas otorgadas a entidades paraestatales empresariales y no financieras para servicios personales</v>
      </c>
    </row>
    <row r="198" spans="1:3" x14ac:dyDescent="0.25">
      <c r="A198" t="s">
        <v>249</v>
      </c>
      <c r="B198">
        <f t="shared" si="8"/>
        <v>4162</v>
      </c>
      <c r="C198" t="str">
        <f t="shared" si="9"/>
        <v xml:space="preserve"> Transferencias internas otorgadas a entidades paraestatales empresariales y no financieras para materiales y suministros</v>
      </c>
    </row>
    <row r="199" spans="1:3" x14ac:dyDescent="0.25">
      <c r="A199" t="s">
        <v>250</v>
      </c>
      <c r="B199">
        <f t="shared" si="8"/>
        <v>4163</v>
      </c>
      <c r="C199" t="str">
        <f t="shared" si="9"/>
        <v xml:space="preserve"> Transferencias internas otorgadas a entidades paraestatales empresariales y no financieras para servicios generales</v>
      </c>
    </row>
    <row r="200" spans="1:3" x14ac:dyDescent="0.25">
      <c r="A200" t="s">
        <v>251</v>
      </c>
      <c r="B200">
        <f t="shared" si="8"/>
        <v>4164</v>
      </c>
      <c r="C200" t="str">
        <f t="shared" si="9"/>
        <v xml:space="preserve"> Transferencias internas otorgadas a entidades paraestatales empresariales y no financieras de gasto corriente para asignaciones, subsidios y otras ayudas</v>
      </c>
    </row>
    <row r="201" spans="1:3" x14ac:dyDescent="0.25">
      <c r="A201" t="s">
        <v>252</v>
      </c>
      <c r="B201">
        <f t="shared" si="8"/>
        <v>4165</v>
      </c>
      <c r="C201" t="str">
        <f t="shared" si="9"/>
        <v xml:space="preserve"> Transferencias internas otorgadas a entidades paraestatales empresariales y no financieras para bienes muebles, inmuebles e intangibles</v>
      </c>
    </row>
    <row r="202" spans="1:3" x14ac:dyDescent="0.25">
      <c r="A202" t="s">
        <v>253</v>
      </c>
      <c r="B202">
        <f t="shared" si="8"/>
        <v>4166</v>
      </c>
      <c r="C202" t="str">
        <f t="shared" si="9"/>
        <v xml:space="preserve"> Transferencias internas otorgadas a entidades paraestatales empresariales y no financieras para inversión pública</v>
      </c>
    </row>
    <row r="203" spans="1:3" x14ac:dyDescent="0.25">
      <c r="A203" t="s">
        <v>254</v>
      </c>
      <c r="B203">
        <f t="shared" si="8"/>
        <v>4167</v>
      </c>
      <c r="C203" t="str">
        <f t="shared" si="9"/>
        <v xml:space="preserve"> Transferencias internas otorgadas a entidades paraestatales empresariales y no financieras de gasto corriente para inversiones financieras y otras provisiones</v>
      </c>
    </row>
    <row r="204" spans="1:3" x14ac:dyDescent="0.25">
      <c r="A204" t="s">
        <v>255</v>
      </c>
      <c r="B204">
        <f t="shared" si="8"/>
        <v>4168</v>
      </c>
      <c r="C204" t="str">
        <f t="shared" si="9"/>
        <v xml:space="preserve"> Transferencias internas otorgadas a entidades paraestatales empresariales y no financieras de gasto de capital para asignaciones, subsidios y otras ayudas</v>
      </c>
    </row>
    <row r="205" spans="1:3" x14ac:dyDescent="0.25">
      <c r="A205" t="s">
        <v>256</v>
      </c>
      <c r="B205">
        <f t="shared" si="8"/>
        <v>4169</v>
      </c>
      <c r="C205" t="str">
        <f t="shared" si="9"/>
        <v xml:space="preserve"> Transferencias internas otorgadas a entidades paraestatales empresariales y no financieras de gasto de capital para inversiones financieras y otras provisiones</v>
      </c>
    </row>
    <row r="206" spans="1:3" x14ac:dyDescent="0.25">
      <c r="A206" t="s">
        <v>257</v>
      </c>
      <c r="B206">
        <f t="shared" si="8"/>
        <v>4170</v>
      </c>
      <c r="C206" t="str">
        <f t="shared" si="9"/>
        <v xml:space="preserve"> Transferencias internas otorgadas a fideicomisos públicos empresariales y no</v>
      </c>
    </row>
    <row r="207" spans="1:3" x14ac:dyDescent="0.25">
      <c r="A207" t="s">
        <v>258</v>
      </c>
      <c r="B207">
        <f t="shared" ref="B207:B249" si="10">Limpia(A207,1)</f>
        <v>4180</v>
      </c>
      <c r="C207" t="str">
        <f t="shared" ref="C207:C249" si="11">Limpia(A207,2)</f>
        <v xml:space="preserve"> Transferencias internas otorgadas a instituciones paraestatales públicas financieras</v>
      </c>
    </row>
    <row r="208" spans="1:3" x14ac:dyDescent="0.25">
      <c r="A208" t="s">
        <v>259</v>
      </c>
      <c r="B208">
        <f t="shared" si="10"/>
        <v>4190</v>
      </c>
      <c r="C208" t="str">
        <f t="shared" si="11"/>
        <v xml:space="preserve"> Transferencias internas otorgadas a fideicomisos públicos financieros</v>
      </c>
    </row>
    <row r="209" spans="1:3" x14ac:dyDescent="0.25">
      <c r="A209" t="s">
        <v>260</v>
      </c>
      <c r="B209">
        <f t="shared" si="10"/>
        <v>4200</v>
      </c>
      <c r="C209" t="str">
        <f t="shared" si="11"/>
        <v xml:space="preserve"> TRANSFERENCIAS AL RESTO DEL SECTOR PÚBLICO</v>
      </c>
    </row>
    <row r="210" spans="1:3" x14ac:dyDescent="0.25">
      <c r="A210" t="s">
        <v>261</v>
      </c>
      <c r="B210">
        <f t="shared" si="10"/>
        <v>4211</v>
      </c>
      <c r="C210" t="str">
        <f t="shared" si="11"/>
        <v xml:space="preserve"> Transferencias otorgadas a entidades paraestatales no empresariales y no financieras para gasto corriente</v>
      </c>
    </row>
    <row r="211" spans="1:3" x14ac:dyDescent="0.25">
      <c r="A211" t="s">
        <v>262</v>
      </c>
      <c r="B211">
        <f t="shared" si="10"/>
        <v>4212</v>
      </c>
      <c r="C211" t="str">
        <f t="shared" si="11"/>
        <v xml:space="preserve"> Transferencias otorgadas a entidades paraestatales no empresariales y no financieras para gasto de capital</v>
      </c>
    </row>
    <row r="212" spans="1:3" x14ac:dyDescent="0.25">
      <c r="A212" t="s">
        <v>263</v>
      </c>
      <c r="B212">
        <f t="shared" si="10"/>
        <v>4221</v>
      </c>
      <c r="C212" t="str">
        <f t="shared" si="11"/>
        <v xml:space="preserve"> Transferencias otorgadas a entidades paraestatales empresariales y no financieras para gasto corriente</v>
      </c>
    </row>
    <row r="213" spans="1:3" x14ac:dyDescent="0.25">
      <c r="A213" t="s">
        <v>264</v>
      </c>
      <c r="B213">
        <f t="shared" si="10"/>
        <v>4222</v>
      </c>
      <c r="C213" t="str">
        <f t="shared" si="11"/>
        <v xml:space="preserve"> Transferencias otorgadas a entidades paraestatales empresariales y no financieras para gasto de capital</v>
      </c>
    </row>
    <row r="214" spans="1:3" x14ac:dyDescent="0.25">
      <c r="A214" t="s">
        <v>265</v>
      </c>
      <c r="B214">
        <f t="shared" si="10"/>
        <v>4230</v>
      </c>
      <c r="C214" t="str">
        <f t="shared" si="11"/>
        <v xml:space="preserve"> Transferencias otorgadas a instituciones paraestatales públicas financieras</v>
      </c>
    </row>
    <row r="215" spans="1:3" x14ac:dyDescent="0.25">
      <c r="A215" t="s">
        <v>266</v>
      </c>
      <c r="B215">
        <f t="shared" si="10"/>
        <v>4241</v>
      </c>
      <c r="C215" t="str">
        <f t="shared" si="11"/>
        <v xml:space="preserve"> Transferencias otorgadas a entidades federativas y municipios para gasto corriente</v>
      </c>
    </row>
    <row r="216" spans="1:3" x14ac:dyDescent="0.25">
      <c r="A216" t="s">
        <v>267</v>
      </c>
      <c r="B216">
        <f t="shared" si="10"/>
        <v>4242</v>
      </c>
      <c r="C216" t="str">
        <f t="shared" si="11"/>
        <v xml:space="preserve"> Transferencias otorgadas a entidades federativas y municipios para gasto de capital</v>
      </c>
    </row>
    <row r="217" spans="1:3" x14ac:dyDescent="0.25">
      <c r="A217" t="s">
        <v>268</v>
      </c>
      <c r="B217">
        <f t="shared" si="10"/>
        <v>4250</v>
      </c>
      <c r="C217" t="str">
        <f t="shared" si="11"/>
        <v xml:space="preserve"> Transferencias a fideicomisos de entidades federativas y municipios</v>
      </c>
    </row>
    <row r="218" spans="1:3" x14ac:dyDescent="0.25">
      <c r="A218" t="s">
        <v>269</v>
      </c>
      <c r="B218">
        <f t="shared" si="10"/>
        <v>4300</v>
      </c>
      <c r="C218" t="str">
        <f t="shared" si="11"/>
        <v xml:space="preserve"> SUBSIDIOS Y SUBVENCIONES</v>
      </c>
    </row>
    <row r="219" spans="1:3" x14ac:dyDescent="0.25">
      <c r="A219" t="s">
        <v>270</v>
      </c>
      <c r="B219">
        <f t="shared" si="10"/>
        <v>4310</v>
      </c>
      <c r="C219" t="str">
        <f t="shared" si="11"/>
        <v xml:space="preserve"> Subsidios a la producción</v>
      </c>
    </row>
    <row r="220" spans="1:3" x14ac:dyDescent="0.25">
      <c r="A220" t="s">
        <v>271</v>
      </c>
      <c r="B220">
        <f t="shared" si="10"/>
        <v>4320</v>
      </c>
      <c r="C220" t="str">
        <f t="shared" si="11"/>
        <v xml:space="preserve"> Subsidios a la distribución</v>
      </c>
    </row>
    <row r="221" spans="1:3" x14ac:dyDescent="0.25">
      <c r="A221" t="s">
        <v>272</v>
      </c>
      <c r="B221">
        <f t="shared" si="10"/>
        <v>4330</v>
      </c>
      <c r="C221" t="str">
        <f t="shared" si="11"/>
        <v xml:space="preserve"> Subsidios a la inversión</v>
      </c>
    </row>
    <row r="222" spans="1:3" x14ac:dyDescent="0.25">
      <c r="A222" t="s">
        <v>273</v>
      </c>
      <c r="B222">
        <f t="shared" si="10"/>
        <v>4340</v>
      </c>
      <c r="C222" t="str">
        <f t="shared" si="11"/>
        <v xml:space="preserve"> Subsidios a la prestación de servicios públicos</v>
      </c>
    </row>
    <row r="223" spans="1:3" x14ac:dyDescent="0.25">
      <c r="A223" t="s">
        <v>274</v>
      </c>
      <c r="B223">
        <f t="shared" si="10"/>
        <v>4350</v>
      </c>
      <c r="C223" t="str">
        <f t="shared" si="11"/>
        <v xml:space="preserve"> Subsidios para cubrir diferenciales de tasas de interés</v>
      </c>
    </row>
    <row r="224" spans="1:3" x14ac:dyDescent="0.25">
      <c r="A224" t="s">
        <v>275</v>
      </c>
      <c r="B224">
        <f t="shared" si="10"/>
        <v>4360</v>
      </c>
      <c r="C224" t="str">
        <f t="shared" si="11"/>
        <v xml:space="preserve"> Subsidios a la vivienda</v>
      </c>
    </row>
    <row r="225" spans="1:3" x14ac:dyDescent="0.25">
      <c r="A225" t="s">
        <v>276</v>
      </c>
      <c r="B225">
        <f t="shared" si="10"/>
        <v>4370</v>
      </c>
      <c r="C225" t="str">
        <f t="shared" si="11"/>
        <v xml:space="preserve"> Subvenciones al consumo</v>
      </c>
    </row>
    <row r="226" spans="1:3" x14ac:dyDescent="0.25">
      <c r="A226" t="s">
        <v>277</v>
      </c>
      <c r="B226">
        <f t="shared" si="10"/>
        <v>4400</v>
      </c>
      <c r="C226" t="str">
        <f t="shared" si="11"/>
        <v xml:space="preserve"> AYUDAS SOCIALES</v>
      </c>
    </row>
    <row r="227" spans="1:3" x14ac:dyDescent="0.25">
      <c r="A227" t="s">
        <v>278</v>
      </c>
      <c r="B227">
        <f t="shared" si="10"/>
        <v>4410</v>
      </c>
      <c r="C227" t="str">
        <f t="shared" si="11"/>
        <v xml:space="preserve"> Ayudas sociales a personas</v>
      </c>
    </row>
    <row r="228" spans="1:3" x14ac:dyDescent="0.25">
      <c r="A228" t="s">
        <v>279</v>
      </c>
      <c r="B228">
        <f t="shared" si="10"/>
        <v>4420</v>
      </c>
      <c r="C228" t="str">
        <f t="shared" si="11"/>
        <v xml:space="preserve"> Becas y otras ayudas para programas de capacitación</v>
      </c>
    </row>
    <row r="229" spans="1:3" x14ac:dyDescent="0.25">
      <c r="A229" t="s">
        <v>280</v>
      </c>
      <c r="B229">
        <f t="shared" si="10"/>
        <v>4430</v>
      </c>
      <c r="C229" t="str">
        <f t="shared" si="11"/>
        <v xml:space="preserve"> Ayudas sociales a instituciones de enseñanza</v>
      </c>
    </row>
    <row r="230" spans="1:3" x14ac:dyDescent="0.25">
      <c r="A230" t="s">
        <v>281</v>
      </c>
      <c r="B230">
        <f t="shared" si="10"/>
        <v>4440</v>
      </c>
      <c r="C230" t="str">
        <f t="shared" si="11"/>
        <v xml:space="preserve"> Ayudas sociales a actividades científicas o académicas</v>
      </c>
    </row>
    <row r="231" spans="1:3" x14ac:dyDescent="0.25">
      <c r="A231" t="s">
        <v>282</v>
      </c>
      <c r="B231">
        <f t="shared" si="10"/>
        <v>4450</v>
      </c>
      <c r="C231" t="str">
        <f t="shared" si="11"/>
        <v xml:space="preserve"> Ayudas sociales a instituciones sin fines de lucro</v>
      </c>
    </row>
    <row r="232" spans="1:3" x14ac:dyDescent="0.25">
      <c r="A232" t="s">
        <v>283</v>
      </c>
      <c r="B232">
        <f t="shared" si="10"/>
        <v>4460</v>
      </c>
      <c r="C232" t="str">
        <f t="shared" si="11"/>
        <v xml:space="preserve"> Ayudas sociales a cooperativas</v>
      </c>
    </row>
    <row r="233" spans="1:3" x14ac:dyDescent="0.25">
      <c r="A233" t="s">
        <v>284</v>
      </c>
      <c r="B233">
        <f t="shared" si="10"/>
        <v>4470</v>
      </c>
      <c r="C233" t="str">
        <f t="shared" si="11"/>
        <v xml:space="preserve"> Ayudas sociales a entidades de interés público</v>
      </c>
    </row>
    <row r="234" spans="1:3" x14ac:dyDescent="0.25">
      <c r="A234" t="s">
        <v>285</v>
      </c>
      <c r="B234">
        <f t="shared" si="10"/>
        <v>4480</v>
      </c>
      <c r="C234" t="str">
        <f t="shared" si="11"/>
        <v xml:space="preserve"> Ayudas por desastres naturales y otros siniestros</v>
      </c>
    </row>
    <row r="235" spans="1:3" x14ac:dyDescent="0.25">
      <c r="A235" t="s">
        <v>286</v>
      </c>
      <c r="B235">
        <f t="shared" si="10"/>
        <v>4500</v>
      </c>
      <c r="C235" t="str">
        <f t="shared" si="11"/>
        <v xml:space="preserve"> PENSIONES Y JUBILACIONES</v>
      </c>
    </row>
    <row r="236" spans="1:3" x14ac:dyDescent="0.25">
      <c r="A236" t="s">
        <v>287</v>
      </c>
      <c r="B236">
        <f t="shared" si="10"/>
        <v>4510</v>
      </c>
      <c r="C236" t="str">
        <f t="shared" si="11"/>
        <v xml:space="preserve"> Pensiones</v>
      </c>
    </row>
    <row r="237" spans="1:3" x14ac:dyDescent="0.25">
      <c r="A237" t="s">
        <v>288</v>
      </c>
      <c r="B237">
        <f t="shared" si="10"/>
        <v>4520</v>
      </c>
      <c r="C237" t="str">
        <f t="shared" si="11"/>
        <v xml:space="preserve"> Jubilaciones</v>
      </c>
    </row>
    <row r="238" spans="1:3" x14ac:dyDescent="0.25">
      <c r="A238" t="s">
        <v>289</v>
      </c>
      <c r="B238">
        <f t="shared" si="10"/>
        <v>4590</v>
      </c>
      <c r="C238" t="str">
        <f t="shared" si="11"/>
        <v xml:space="preserve"> Otras pensiones y jubilaciones</v>
      </c>
    </row>
    <row r="239" spans="1:3" x14ac:dyDescent="0.25">
      <c r="A239" t="s">
        <v>290</v>
      </c>
      <c r="B239">
        <f t="shared" si="10"/>
        <v>4600</v>
      </c>
      <c r="C239" t="str">
        <f t="shared" si="11"/>
        <v xml:space="preserve"> TRANSFERENCIAS A FIDEICOMISOS, MANDATOS Y OTROS ANÁLOGOS</v>
      </c>
    </row>
    <row r="240" spans="1:3" x14ac:dyDescent="0.25">
      <c r="A240" t="s">
        <v>291</v>
      </c>
      <c r="B240">
        <f t="shared" si="10"/>
        <v>4610</v>
      </c>
      <c r="C240" t="str">
        <f t="shared" si="11"/>
        <v xml:space="preserve"> Transferencias a fideicomisos del Poder Ejecutivo</v>
      </c>
    </row>
    <row r="241" spans="1:3" x14ac:dyDescent="0.25">
      <c r="A241" t="s">
        <v>292</v>
      </c>
      <c r="B241">
        <f t="shared" si="10"/>
        <v>4620</v>
      </c>
      <c r="C241" t="str">
        <f t="shared" si="11"/>
        <v xml:space="preserve"> Transferencias a fideicomisos del Poder Legislativo</v>
      </c>
    </row>
    <row r="242" spans="1:3" x14ac:dyDescent="0.25">
      <c r="A242" t="s">
        <v>293</v>
      </c>
      <c r="B242">
        <f t="shared" si="10"/>
        <v>4630</v>
      </c>
      <c r="C242" t="str">
        <f t="shared" si="11"/>
        <v xml:space="preserve"> Transferencias a fideicomisos del Poder Judicial</v>
      </c>
    </row>
    <row r="243" spans="1:3" x14ac:dyDescent="0.25">
      <c r="A243" t="s">
        <v>294</v>
      </c>
      <c r="B243">
        <f t="shared" si="10"/>
        <v>4640</v>
      </c>
      <c r="C243" t="str">
        <f t="shared" si="11"/>
        <v xml:space="preserve"> Transferencias a fideicomisos públicos de entidades paraestatales no empresariales y no financieras</v>
      </c>
    </row>
    <row r="244" spans="1:3" x14ac:dyDescent="0.25">
      <c r="A244" t="s">
        <v>295</v>
      </c>
      <c r="B244">
        <f t="shared" si="10"/>
        <v>4650</v>
      </c>
      <c r="C244" t="str">
        <f t="shared" si="11"/>
        <v xml:space="preserve"> Transferencias a fideicomisos públicos de entidades paraestatales empresariales y no financieras</v>
      </c>
    </row>
    <row r="245" spans="1:3" x14ac:dyDescent="0.25">
      <c r="A245" t="s">
        <v>296</v>
      </c>
      <c r="B245">
        <f t="shared" si="10"/>
        <v>4660</v>
      </c>
      <c r="C245" t="str">
        <f t="shared" si="11"/>
        <v xml:space="preserve"> Transferencias a fideicomisos de instituciones públicas financieras</v>
      </c>
    </row>
    <row r="246" spans="1:3" x14ac:dyDescent="0.25">
      <c r="A246" t="s">
        <v>297</v>
      </c>
      <c r="B246">
        <f t="shared" si="10"/>
        <v>4900</v>
      </c>
      <c r="C246" t="str">
        <f t="shared" si="11"/>
        <v xml:space="preserve"> TRANSFERENCIAS AL EXTERIOR</v>
      </c>
    </row>
    <row r="247" spans="1:3" x14ac:dyDescent="0.25">
      <c r="A247" t="s">
        <v>298</v>
      </c>
      <c r="B247">
        <f t="shared" si="10"/>
        <v>4910</v>
      </c>
      <c r="C247" t="str">
        <f t="shared" si="11"/>
        <v xml:space="preserve"> Transferencias para gobiernos extranjeros</v>
      </c>
    </row>
    <row r="248" spans="1:3" x14ac:dyDescent="0.25">
      <c r="A248" t="s">
        <v>299</v>
      </c>
      <c r="B248">
        <f t="shared" si="10"/>
        <v>4920</v>
      </c>
      <c r="C248" t="str">
        <f t="shared" si="11"/>
        <v xml:space="preserve"> Transferencias para organismos internacionales</v>
      </c>
    </row>
    <row r="249" spans="1:3" x14ac:dyDescent="0.25">
      <c r="A249" t="s">
        <v>300</v>
      </c>
      <c r="B249">
        <f t="shared" si="10"/>
        <v>4930</v>
      </c>
      <c r="C249" t="str">
        <f t="shared" si="11"/>
        <v xml:space="preserve"> Transferencias para el sector privado externo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B43"/>
  <sheetViews>
    <sheetView topLeftCell="A19" workbookViewId="0">
      <selection activeCell="A2" sqref="A2:A43"/>
    </sheetView>
  </sheetViews>
  <sheetFormatPr baseColWidth="10" defaultRowHeight="15" x14ac:dyDescent="0.25"/>
  <cols>
    <col min="1" max="1" width="23.5703125" style="3" bestFit="1" customWidth="1"/>
    <col min="2" max="2" width="37.7109375" bestFit="1" customWidth="1"/>
  </cols>
  <sheetData>
    <row r="1" spans="1:2" x14ac:dyDescent="0.25">
      <c r="A1" s="3" t="s">
        <v>37</v>
      </c>
      <c r="B1" t="s">
        <v>38</v>
      </c>
    </row>
    <row r="2" spans="1:2" x14ac:dyDescent="0.25">
      <c r="A2" t="s">
        <v>312</v>
      </c>
      <c r="B2" s="4" t="s">
        <v>39</v>
      </c>
    </row>
    <row r="3" spans="1:2" x14ac:dyDescent="0.25">
      <c r="A3" t="s">
        <v>313</v>
      </c>
      <c r="B3" s="5"/>
    </row>
    <row r="4" spans="1:2" x14ac:dyDescent="0.25">
      <c r="A4" t="s">
        <v>314</v>
      </c>
      <c r="B4" s="5" t="s">
        <v>40</v>
      </c>
    </row>
    <row r="5" spans="1:2" x14ac:dyDescent="0.25">
      <c r="A5" t="s">
        <v>315</v>
      </c>
      <c r="B5" s="6" t="s">
        <v>41</v>
      </c>
    </row>
    <row r="6" spans="1:2" x14ac:dyDescent="0.25">
      <c r="A6" t="s">
        <v>316</v>
      </c>
      <c r="B6" s="6" t="s">
        <v>42</v>
      </c>
    </row>
    <row r="7" spans="1:2" x14ac:dyDescent="0.25">
      <c r="A7" t="s">
        <v>317</v>
      </c>
      <c r="B7" s="6" t="s">
        <v>43</v>
      </c>
    </row>
    <row r="8" spans="1:2" x14ac:dyDescent="0.25">
      <c r="A8" t="s">
        <v>318</v>
      </c>
      <c r="B8" s="6" t="s">
        <v>44</v>
      </c>
    </row>
    <row r="9" spans="1:2" x14ac:dyDescent="0.25">
      <c r="A9" t="s">
        <v>319</v>
      </c>
      <c r="B9" s="4" t="s">
        <v>39</v>
      </c>
    </row>
    <row r="10" spans="1:2" x14ac:dyDescent="0.25">
      <c r="A10" t="s">
        <v>320</v>
      </c>
      <c r="B10" s="6" t="s">
        <v>45</v>
      </c>
    </row>
    <row r="11" spans="1:2" x14ac:dyDescent="0.25">
      <c r="A11" t="s">
        <v>321</v>
      </c>
      <c r="B11" s="6" t="s">
        <v>45</v>
      </c>
    </row>
    <row r="12" spans="1:2" x14ac:dyDescent="0.25">
      <c r="A12" t="s">
        <v>322</v>
      </c>
      <c r="B12" s="6" t="s">
        <v>45</v>
      </c>
    </row>
    <row r="13" spans="1:2" x14ac:dyDescent="0.25">
      <c r="A13" t="s">
        <v>323</v>
      </c>
      <c r="B13" s="4" t="s">
        <v>46</v>
      </c>
    </row>
    <row r="14" spans="1:2" x14ac:dyDescent="0.25">
      <c r="A14" t="s">
        <v>324</v>
      </c>
      <c r="B14" s="4" t="s">
        <v>46</v>
      </c>
    </row>
    <row r="15" spans="1:2" x14ac:dyDescent="0.25">
      <c r="A15" t="s">
        <v>325</v>
      </c>
      <c r="B15" s="4" t="s">
        <v>46</v>
      </c>
    </row>
    <row r="16" spans="1:2" x14ac:dyDescent="0.25">
      <c r="A16" t="s">
        <v>326</v>
      </c>
      <c r="B16" s="7" t="s">
        <v>47</v>
      </c>
    </row>
    <row r="17" spans="1:2" x14ac:dyDescent="0.25">
      <c r="A17" t="s">
        <v>327</v>
      </c>
      <c r="B17" s="6" t="s">
        <v>48</v>
      </c>
    </row>
    <row r="18" spans="1:2" x14ac:dyDescent="0.25">
      <c r="A18" t="s">
        <v>328</v>
      </c>
      <c r="B18" s="4" t="s">
        <v>49</v>
      </c>
    </row>
    <row r="19" spans="1:2" x14ac:dyDescent="0.25">
      <c r="A19" t="s">
        <v>329</v>
      </c>
      <c r="B19" s="4" t="s">
        <v>49</v>
      </c>
    </row>
    <row r="20" spans="1:2" x14ac:dyDescent="0.25">
      <c r="A20" t="s">
        <v>330</v>
      </c>
      <c r="B20" s="4" t="s">
        <v>49</v>
      </c>
    </row>
    <row r="21" spans="1:2" x14ac:dyDescent="0.25">
      <c r="A21" t="s">
        <v>331</v>
      </c>
      <c r="B21" s="6" t="s">
        <v>41</v>
      </c>
    </row>
    <row r="22" spans="1:2" x14ac:dyDescent="0.25">
      <c r="A22" t="s">
        <v>332</v>
      </c>
      <c r="B22" s="6" t="s">
        <v>41</v>
      </c>
    </row>
    <row r="23" spans="1:2" x14ac:dyDescent="0.25">
      <c r="A23" t="s">
        <v>333</v>
      </c>
      <c r="B23" s="7" t="s">
        <v>50</v>
      </c>
    </row>
    <row r="24" spans="1:2" x14ac:dyDescent="0.25">
      <c r="A24" t="s">
        <v>334</v>
      </c>
      <c r="B24" s="7" t="s">
        <v>50</v>
      </c>
    </row>
    <row r="25" spans="1:2" x14ac:dyDescent="0.25">
      <c r="A25" t="s">
        <v>335</v>
      </c>
      <c r="B25" s="4" t="s">
        <v>46</v>
      </c>
    </row>
    <row r="26" spans="1:2" x14ac:dyDescent="0.25">
      <c r="A26" t="s">
        <v>336</v>
      </c>
      <c r="B26" s="6" t="s">
        <v>45</v>
      </c>
    </row>
    <row r="27" spans="1:2" x14ac:dyDescent="0.25">
      <c r="A27" t="s">
        <v>337</v>
      </c>
      <c r="B27" s="4" t="s">
        <v>49</v>
      </c>
    </row>
    <row r="28" spans="1:2" x14ac:dyDescent="0.25">
      <c r="A28" t="s">
        <v>338</v>
      </c>
      <c r="B28" s="4" t="s">
        <v>49</v>
      </c>
    </row>
    <row r="29" spans="1:2" x14ac:dyDescent="0.25">
      <c r="A29" t="s">
        <v>339</v>
      </c>
      <c r="B29" s="4" t="s">
        <v>49</v>
      </c>
    </row>
    <row r="30" spans="1:2" x14ac:dyDescent="0.25">
      <c r="A30" t="s">
        <v>340</v>
      </c>
      <c r="B30" s="4" t="s">
        <v>49</v>
      </c>
    </row>
    <row r="31" spans="1:2" x14ac:dyDescent="0.25">
      <c r="A31" t="s">
        <v>341</v>
      </c>
      <c r="B31" s="4" t="s">
        <v>49</v>
      </c>
    </row>
    <row r="32" spans="1:2" x14ac:dyDescent="0.25">
      <c r="A32" t="s">
        <v>342</v>
      </c>
      <c r="B32" s="4" t="s">
        <v>46</v>
      </c>
    </row>
    <row r="33" spans="1:2" x14ac:dyDescent="0.25">
      <c r="A33" t="s">
        <v>343</v>
      </c>
      <c r="B33" s="4" t="s">
        <v>46</v>
      </c>
    </row>
    <row r="34" spans="1:2" x14ac:dyDescent="0.25">
      <c r="A34" t="s">
        <v>344</v>
      </c>
    </row>
    <row r="35" spans="1:2" x14ac:dyDescent="0.25">
      <c r="A35" t="s">
        <v>345</v>
      </c>
    </row>
    <row r="36" spans="1:2" x14ac:dyDescent="0.25">
      <c r="A36" t="s">
        <v>346</v>
      </c>
    </row>
    <row r="37" spans="1:2" x14ac:dyDescent="0.25">
      <c r="A37" t="s">
        <v>347</v>
      </c>
    </row>
    <row r="38" spans="1:2" x14ac:dyDescent="0.25">
      <c r="A38" t="s">
        <v>348</v>
      </c>
    </row>
    <row r="39" spans="1:2" x14ac:dyDescent="0.25">
      <c r="A39" t="s">
        <v>349</v>
      </c>
    </row>
    <row r="40" spans="1:2" x14ac:dyDescent="0.25">
      <c r="A40" t="s">
        <v>350</v>
      </c>
    </row>
    <row r="41" spans="1:2" x14ac:dyDescent="0.25">
      <c r="A41" t="s">
        <v>351</v>
      </c>
    </row>
    <row r="42" spans="1:2" x14ac:dyDescent="0.25">
      <c r="A42" t="s">
        <v>352</v>
      </c>
    </row>
    <row r="43" spans="1:2" x14ac:dyDescent="0.25">
      <c r="A43" t="s">
        <v>353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1</vt:i4>
      </vt:variant>
    </vt:vector>
  </HeadingPairs>
  <TitlesOfParts>
    <vt:vector size="4" baseType="lpstr">
      <vt:lpstr>PT</vt:lpstr>
      <vt:lpstr>Hoja1</vt:lpstr>
      <vt:lpstr>Hoja2</vt:lpstr>
      <vt:lpstr>PROYECTO</vt:lpstr>
    </vt:vector>
  </TitlesOfParts>
  <Company>Hewlett-Packard Company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Alí Ortigoza</dc:creator>
  <cp:lastModifiedBy>Arturo Mendoza Torres</cp:lastModifiedBy>
  <cp:lastPrinted>2017-06-16T15:16:00Z</cp:lastPrinted>
  <dcterms:created xsi:type="dcterms:W3CDTF">2016-02-08T15:52:06Z</dcterms:created>
  <dcterms:modified xsi:type="dcterms:W3CDTF">2018-01-08T15:18:42Z</dcterms:modified>
</cp:coreProperties>
</file>