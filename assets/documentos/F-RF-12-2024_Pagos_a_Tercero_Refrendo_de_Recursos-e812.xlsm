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respaldo intranet\"/>
    </mc:Choice>
  </mc:AlternateContent>
  <xr:revisionPtr revIDLastSave="0" documentId="13_ncr:1_{A885BE92-8B1C-4A81-8890-C45A7D9AD6F8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 Refrendo" sheetId="20" r:id="rId1"/>
    <sheet name="Hoja1" sheetId="21" state="hidden" r:id="rId2"/>
    <sheet name="partida" sheetId="22" state="hidden" r:id="rId3"/>
    <sheet name="proyecto" sheetId="24" r:id="rId4"/>
  </sheets>
  <definedNames>
    <definedName name="_xlnm._FilterDatabase" localSheetId="2" hidden="1">partida!$B$1:$C$1</definedName>
    <definedName name="_xlnm._FilterDatabase" localSheetId="3" hidden="1">proyecto!$A$1:$I$1</definedName>
    <definedName name="CONCEPTO">'PAGOS A TERCEROS Refrendo'!#REF!</definedName>
    <definedName name="E027PB0292">proyecto!$A$4:$A$24</definedName>
    <definedName name="E027PC0293">proyecto!$A$28:$A$49</definedName>
    <definedName name="E027PC3254">proyecto!$A$53:$A$77</definedName>
    <definedName name="E027QB03462301">proyecto!$A$80</definedName>
    <definedName name="E027QB03482201">proyecto!$A$3</definedName>
    <definedName name="E027QB03482202">proyecto!$A$6</definedName>
    <definedName name="E027QB03552201">proyecto!$A$9</definedName>
    <definedName name="E027QB03552202">proyecto!$A$12</definedName>
    <definedName name="E027QB03602202">proyecto!$A$15</definedName>
    <definedName name="E027QB04882202">proyecto!$A$18</definedName>
    <definedName name="E027QB04882203">proyecto!$A$21</definedName>
    <definedName name="E027QB04882204">proyecto!$A$24</definedName>
    <definedName name="E027QB04882301">proyecto!$A$83</definedName>
    <definedName name="E027QB04882302">proyecto!$A$86</definedName>
    <definedName name="E027QB04882303">proyecto!$A$89:$A$100</definedName>
    <definedName name="E027QB04952201">proyecto!$A$27</definedName>
    <definedName name="E027QB04982201">proyecto!$A$30</definedName>
    <definedName name="E027QB08012201">proyecto!$A$33</definedName>
    <definedName name="E027QB24372202">proyecto!$A$36</definedName>
    <definedName name="E027QB24412201">proyecto!$A$39</definedName>
    <definedName name="E027QB37752201">proyecto!$A$42</definedName>
    <definedName name="E027QC03402202">proyecto!$A$45</definedName>
    <definedName name="E027QC03402203">proyecto!$A$48</definedName>
    <definedName name="E027QC03402301">proyecto!$A$103:$A$107</definedName>
    <definedName name="E027QC03402302">proyecto!$A$110:$A$118</definedName>
    <definedName name="E027QC03422301">proyecto!$A$121</definedName>
    <definedName name="E027QC03432301">proyecto!$A$124:$A$130</definedName>
    <definedName name="E027QC03432302">proyecto!$A$133</definedName>
    <definedName name="E027QC03442202">proyecto!$A$51</definedName>
    <definedName name="E027QC03442301">proyecto!$A$136:$A$142</definedName>
    <definedName name="E027QC03442302">proyecto!$A$145</definedName>
    <definedName name="E027QC03682206">proyecto!$A$54</definedName>
    <definedName name="E027QC03682209">proyecto!$A$57</definedName>
    <definedName name="E027QC03682301">proyecto!$A$148</definedName>
    <definedName name="E027QC03682302">proyecto!$A$151</definedName>
    <definedName name="E027QC03682303">proyecto!$A$154</definedName>
    <definedName name="E027QC03682304">proyecto!$A$157</definedName>
    <definedName name="E027QC03682305">proyecto!$A$160</definedName>
    <definedName name="E027QC03682306">proyecto!$A$163:$A$169</definedName>
    <definedName name="E027QC03732301">proyecto!$A$172:$A$179</definedName>
    <definedName name="E027QC03732302">proyecto!$A$182:$A$184</definedName>
    <definedName name="E027QC03742201">proyecto!$A$60:$A$64</definedName>
    <definedName name="E027QC03742202">proyecto!$A$67</definedName>
    <definedName name="E027QC03742301">proyecto!$A$187:$A$193</definedName>
    <definedName name="E027QC03742302">proyecto!$A$196</definedName>
    <definedName name="E027QC03752202">proyecto!$A$70</definedName>
    <definedName name="E027QC03752301">proyecto!$A$199:$A$202</definedName>
    <definedName name="E027QC03752302">proyecto!$A$205</definedName>
    <definedName name="E027QC03752303">proyecto!$A$208</definedName>
    <definedName name="E027QC03762201">proyecto!$A$73:$A$75</definedName>
    <definedName name="E027QC03762202">proyecto!$A$78</definedName>
    <definedName name="E027QC03762301">proyecto!$A$211:$A$217</definedName>
    <definedName name="E027QC03762302">proyecto!$A$220:$A$223</definedName>
    <definedName name="E027QC03772202">proyecto!$A$81:$A$84</definedName>
    <definedName name="E027QC03772301">proyecto!$A$226</definedName>
    <definedName name="E027QC03772302">proyecto!$A$229:$A$237</definedName>
    <definedName name="E027QC03772303">proyecto!$A$240</definedName>
    <definedName name="E027QC03772304">proyecto!$A$243</definedName>
    <definedName name="E027QC03782201">proyecto!$A$87</definedName>
    <definedName name="E027QC03782301">proyecto!$A$246:$A$251</definedName>
    <definedName name="E027QC03792201">proyecto!$A$90</definedName>
    <definedName name="E027QC03792205">proyecto!$A$93</definedName>
    <definedName name="E027QC03792301">proyecto!$A$254:$A$263</definedName>
    <definedName name="E027QC03792302">proyecto!$A$266:$A$273</definedName>
    <definedName name="E027QC03792303">proyecto!$A$276:$A$283</definedName>
    <definedName name="E027QC03792304">proyecto!$A$286</definedName>
    <definedName name="E027QC03802202">proyecto!$A$96:$A$97</definedName>
    <definedName name="E027QC03802207">proyecto!$A$100</definedName>
    <definedName name="E027QC03802301">proyecto!$A$289:$A$292</definedName>
    <definedName name="E027QC03802302">proyecto!$A$295:$A$305</definedName>
    <definedName name="E027QC03802303">proyecto!$A$308:$A$315</definedName>
    <definedName name="E027QC03812201">proyecto!$A$103:$A$106</definedName>
    <definedName name="E027QC03812301">proyecto!$A$318:$A$333</definedName>
    <definedName name="E027QC04182301">proyecto!$A$336:$A$339</definedName>
    <definedName name="E027QC06222301">proyecto!$A$342</definedName>
    <definedName name="E027QC06232301">proyecto!$A$345</definedName>
    <definedName name="E027QC06242301">proyecto!$A$348</definedName>
    <definedName name="E027QC32142203">proyecto!$A$109:$A$110</definedName>
    <definedName name="E027QC32142204">proyecto!$A$113</definedName>
    <definedName name="E027QC32142301">proyecto!$A$351:$A$352</definedName>
    <definedName name="E027QC32142302">proyecto!$A$355:$A$359</definedName>
    <definedName name="E027QC32142303">proyecto!$A$362:$A$366</definedName>
    <definedName name="E027QC32142304">proyecto!$A$369</definedName>
    <definedName name="M000GA2061">proyecto!$A$372:$A$394</definedName>
    <definedName name="NOMBRECOMPLETO">Hoja1!$P$2:$P$129</definedName>
    <definedName name="NOMINA">Hoja1!$R$2:$R$129</definedName>
    <definedName name="P000GB1400">proyecto!$A$397:$A$440</definedName>
    <definedName name="P000GB14002299">proyecto!$A$116:$A$117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<sst xmlns="http://schemas.openxmlformats.org/spreadsheetml/2006/main" count="1785" uniqueCount="1029">
  <si>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</si>
  <si>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</si>
  <si>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</si>
  <si>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</si>
  <si>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</si>
  <si>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</si>
  <si>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</si>
  <si>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</si>
  <si>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</si>
  <si>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</si>
  <si>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</si>
  <si>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</si>
  <si>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</si>
  <si>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</si>
  <si>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</si>
  <si>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</si>
  <si>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</si>
  <si>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</si>
  <si>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</si>
  <si>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</si>
  <si>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</si>
  <si>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</si>
  <si>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</si>
  <si>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</si>
  <si>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</si>
  <si>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</si>
  <si>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</si>
  <si>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</si>
  <si>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</si>
  <si>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</si>
  <si>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</si>
  <si>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</si>
  <si>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</si>
  <si>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</si>
  <si>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</si>
  <si>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</si>
  <si>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</si>
  <si>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</si>
  <si>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</si>
  <si>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</si>
  <si>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</si>
  <si>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</si>
  <si>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</si>
  <si>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</si>
  <si>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</si>
  <si>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</si>
  <si>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</si>
  <si>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</si>
  <si>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</si>
  <si>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</si>
  <si>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</si>
  <si>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</si>
  <si>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</si>
  <si>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</si>
  <si>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</si>
  <si>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</si>
  <si>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</si>
  <si>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</si>
  <si>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</si>
  <si>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</si>
  <si>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</si>
  <si>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</si>
  <si>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</si>
  <si>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</si>
  <si>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</si>
  <si>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</si>
  <si>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</si>
  <si>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</si>
  <si>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</si>
  <si>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</si>
  <si>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</si>
  <si>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</si>
  <si>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</si>
  <si>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</si>
  <si>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</si>
  <si>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</si>
  <si>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</si>
  <si>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</si>
  <si>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</si>
  <si>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</si>
  <si>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</si>
  <si>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</si>
  <si>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</si>
  <si>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</si>
  <si>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</si>
  <si>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</si>
  <si>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</si>
  <si>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</si>
  <si>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</si>
  <si>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</si>
  <si>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</si>
  <si>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</si>
  <si>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</si>
  <si>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</si>
  <si>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</si>
  <si>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</si>
  <si>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</si>
  <si>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</si>
  <si>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</si>
  <si>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</si>
  <si>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</si>
  <si>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</si>
  <si>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</si>
  <si>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</si>
  <si>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</si>
  <si>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</si>
  <si>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</si>
  <si>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</si>
  <si>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</si>
  <si>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</si>
  <si>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</si>
  <si>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</si>
  <si>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</si>
  <si>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</si>
  <si>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</si>
  <si>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</si>
  <si>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</si>
  <si>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</si>
  <si>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</si>
  <si>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</si>
  <si>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</si>
  <si>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</si>
  <si>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</si>
  <si>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</si>
  <si>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</si>
  <si>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</si>
  <si>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</si>
  <si>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</si>
  <si>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</si>
  <si>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</si>
  <si>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</si>
  <si>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</si>
  <si>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</si>
  <si>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</si>
  <si>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</si>
  <si>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</si>
  <si>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</si>
  <si>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</si>
  <si>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</si>
  <si>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</si>
  <si>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</si>
  <si>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</si>
  <si>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</si>
  <si>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</si>
  <si>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</si>
  <si>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</si>
  <si>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</si>
  <si>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</si>
  <si>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</si>
  <si>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</si>
  <si>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</si>
  <si>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</si>
  <si>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</si>
  <si>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</si>
  <si>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</si>
  <si>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</si>
  <si>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</si>
  <si>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</si>
  <si>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</si>
  <si>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</si>
  <si>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</si>
  <si>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</si>
  <si>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</si>
  <si>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</si>
  <si>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</si>
  <si>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</si>
  <si>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</si>
  <si>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</si>
  <si>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</si>
  <si>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</si>
  <si>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</si>
  <si>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</si>
  <si>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</si>
  <si>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</si>
  <si>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</si>
  <si>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</si>
  <si>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</si>
  <si>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</si>
  <si>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</si>
  <si>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</si>
  <si>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</si>
  <si>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</si>
  <si>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</si>
  <si>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</si>
  <si>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</si>
  <si>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</si>
  <si>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</si>
  <si>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</si>
  <si>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</si>
  <si>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</si>
  <si>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</si>
  <si>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</si>
  <si>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</si>
  <si>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</si>
  <si>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</si>
  <si>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</si>
  <si>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</si>
  <si>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</si>
  <si>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</si>
  <si>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</si>
  <si>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</si>
  <si>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</si>
  <si>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</si>
  <si>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</si>
  <si>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</si>
  <si>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</si>
  <si>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</si>
  <si>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</si>
  <si>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</si>
  <si>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</si>
  <si>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</si>
  <si>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</si>
  <si>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</si>
  <si>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</si>
  <si>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</si>
  <si>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</si>
  <si>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</si>
  <si>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</si>
  <si>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</si>
  <si>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</si>
  <si>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</si>
  <si>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</si>
  <si>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</si>
  <si>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</si>
  <si>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</si>
  <si>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</si>
  <si>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</si>
  <si>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</si>
  <si>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</si>
  <si>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</si>
  <si>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</si>
  <si>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</si>
  <si>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</si>
  <si>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</si>
  <si>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</si>
  <si>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</si>
  <si>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</si>
  <si>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</si>
  <si>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</si>
  <si>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</si>
  <si>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</si>
  <si>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</si>
  <si>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</si>
  <si>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</si>
  <si>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</si>
  <si>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</si>
  <si>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</si>
  <si>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</si>
  <si>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</si>
  <si>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</si>
  <si>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</si>
  <si>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</si>
  <si>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</si>
  <si>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</si>
  <si>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</si>
  <si>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</si>
  <si>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</si>
  <si>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</si>
  <si>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</si>
  <si>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</si>
  <si>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</si>
  <si>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</si>
  <si>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</si>
  <si>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</si>
  <si>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</si>
  <si>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</si>
  <si>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</si>
  <si>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</si>
  <si>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</si>
  <si>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</si>
  <si>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</si>
  <si>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</si>
  <si>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</si>
  <si>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</si>
  <si>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</si>
  <si>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</si>
  <si>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</si>
  <si>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</si>
  <si>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</si>
  <si>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</si>
  <si>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</si>
  <si>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</si>
  <si>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</si>
  <si>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</si>
  <si>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</si>
  <si>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</si>
  <si>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</si>
  <si>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</si>
  <si>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</si>
  <si>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</si>
  <si>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</si>
  <si>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</si>
  <si>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</si>
  <si>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</si>
  <si>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</si>
  <si>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</si>
  <si>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</si>
  <si>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</si>
  <si>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</si>
  <si>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</si>
  <si>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</si>
  <si>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</si>
  <si>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</si>
  <si>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</si>
  <si>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</si>
  <si>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</si>
  <si>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</si>
  <si>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</si>
  <si>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</si>
  <si>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</si>
  <si>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</si>
  <si>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</si>
  <si>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</si>
  <si>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</si>
  <si>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</si>
  <si>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</si>
  <si>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</si>
  <si>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</si>
  <si>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</si>
  <si>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</si>
  <si>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</si>
  <si>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</si>
  <si>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</si>
  <si>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</si>
  <si>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</si>
  <si>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</si>
  <si>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</si>
  <si>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</si>
  <si>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</si>
  <si>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</si>
  <si>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</si>
  <si>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</si>
  <si>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</si>
  <si>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</si>
  <si>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</si>
  <si>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</si>
  <si>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</si>
  <si>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</si>
  <si>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</si>
  <si>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</si>
  <si>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</si>
  <si>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</si>
  <si>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</si>
  <si>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</si>
  <si>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</si>
  <si>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</si>
  <si>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</si>
  <si>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</si>
  <si>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</si>
  <si>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</si>
  <si>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</si>
  <si>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</si>
  <si>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</si>
  <si>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</si>
  <si>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</si>
  <si>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</si>
  <si>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</si>
  <si>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</si>
  <si>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</si>
  <si>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</si>
  <si>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</si>
  <si>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</si>
  <si>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</si>
  <si>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</si>
  <si>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</si>
  <si>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</si>
  <si>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</si>
  <si>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</si>
  <si>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</si>
  <si>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</si>
  <si>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</si>
  <si>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</si>
  <si>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</si>
  <si>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</si>
  <si>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</si>
  <si>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</si>
  <si>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</si>
  <si>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</si>
  <si>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</si>
  <si>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</si>
  <si>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</si>
  <si>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</si>
  <si>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</si>
  <si>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</si>
  <si>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</si>
  <si>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</si>
  <si>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</si>
  <si>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</si>
  <si>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</si>
  <si>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</si>
  <si>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</si>
  <si>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</si>
  <si>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</si>
  <si>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</si>
  <si>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</si>
  <si>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</si>
  <si>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</si>
  <si>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</si>
  <si>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</si>
  <si>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</si>
  <si>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</si>
  <si>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</si>
  <si>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</si>
  <si>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</si>
  <si>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</si>
  <si>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</si>
  <si>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</si>
  <si>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</si>
  <si>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</si>
  <si>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</si>
  <si>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</si>
  <si>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</si>
  <si>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</si>
  <si>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</si>
  <si>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</si>
  <si>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</si>
  <si>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</si>
  <si>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</si>
  <si>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</si>
  <si>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</si>
  <si>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</si>
  <si>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</si>
  <si>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</si>
  <si>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</si>
  <si>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</si>
  <si>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</si>
  <si>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</si>
  <si>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</si>
  <si>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</si>
  <si>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</si>
  <si>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</si>
  <si>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</si>
  <si>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</si>
  <si>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</si>
  <si>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</si>
  <si>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</si>
  <si>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</si>
  <si>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</si>
  <si>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</si>
  <si>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</si>
  <si>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</si>
  <si>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</si>
  <si>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</si>
  <si>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</si>
  <si>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</si>
  <si>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</si>
  <si>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</si>
  <si>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</si>
  <si>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</si>
  <si>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</si>
  <si>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</si>
  <si>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</si>
  <si>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</si>
  <si>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</si>
  <si>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</si>
  <si>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</si>
  <si>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</si>
  <si>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</si>
  <si>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</si>
  <si>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</si>
  <si>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</si>
  <si>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</si>
  <si>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</si>
  <si>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</si>
  <si>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</si>
  <si>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</si>
  <si>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</si>
  <si>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</si>
  <si>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</si>
  <si>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</si>
  <si>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</si>
  <si>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</si>
  <si>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</si>
  <si>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</si>
  <si>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</si>
  <si>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</si>
  <si>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</si>
  <si>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</si>
  <si>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</si>
  <si>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</si>
  <si>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</si>
  <si>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</si>
  <si>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</si>
  <si>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</si>
  <si>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</si>
  <si>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</si>
  <si>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</si>
  <si>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</si>
  <si>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</si>
  <si>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</si>
  <si>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</si>
  <si>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</si>
  <si>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</si>
  <si>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</si>
  <si>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</si>
  <si>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</si>
  <si>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</si>
  <si>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</si>
  <si>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</si>
  <si>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</si>
  <si>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</si>
  <si>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</si>
  <si>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</si>
  <si>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</si>
  <si>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</si>
  <si>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</si>
  <si>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</si>
  <si>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</si>
  <si>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</si>
  <si>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</si>
  <si>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</si>
  <si>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</si>
  <si>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</si>
  <si>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</si>
  <si>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</si>
  <si>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</si>
  <si>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</si>
  <si>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</si>
  <si>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</si>
  <si>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</si>
  <si>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</si>
  <si>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</si>
  <si>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</si>
  <si>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</si>
  <si>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</si>
  <si>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</si>
  <si>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</si>
  <si>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</si>
  <si>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</si>
  <si>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</si>
  <si>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</si>
  <si>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</si>
  <si>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</si>
  <si>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</si>
  <si>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</si>
  <si>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</si>
  <si>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</si>
  <si>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</si>
  <si>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</si>
  <si>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</si>
  <si>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</si>
  <si>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</si>
  <si>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</si>
  <si>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</si>
  <si>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</si>
  <si>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</si>
  <si>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</si>
  <si>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</si>
  <si>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</si>
  <si>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</si>
  <si>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</si>
  <si>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</si>
  <si>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</si>
  <si>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</si>
  <si>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</si>
  <si>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</si>
  <si>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</si>
  <si>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</si>
  <si>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</si>
  <si>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</si>
  <si>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</si>
  <si>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</si>
  <si>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</si>
  <si>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</si>
  <si>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</si>
  <si>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</si>
  <si>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</si>
  <si>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</si>
  <si>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</si>
  <si>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</si>
  <si>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</si>
  <si>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</si>
  <si>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</si>
  <si>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</si>
  <si>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</si>
  <si>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</si>
  <si>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</si>
  <si>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</si>
  <si>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</si>
  <si>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</si>
  <si>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</si>
  <si>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</si>
  <si>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</si>
  <si>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</si>
  <si>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</si>
  <si>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</si>
  <si>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</si>
  <si>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</si>
  <si>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</si>
  <si>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</si>
  <si>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</si>
  <si>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</si>
  <si>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</si>
  <si>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</si>
  <si>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</si>
  <si>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</si>
  <si>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</si>
  <si>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</si>
  <si>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</si>
  <si>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</si>
  <si>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</si>
  <si>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</si>
  <si>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</si>
  <si>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</si>
  <si>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</si>
  <si>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</si>
  <si>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</si>
  <si>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</si>
  <si>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</si>
  <si>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</si>
  <si>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</si>
  <si>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</si>
  <si>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</si>
  <si>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</si>
  <si>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</si>
  <si>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</si>
  <si>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</si>
  <si>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</si>
  <si>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</si>
  <si>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</si>
  <si>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</si>
  <si>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</si>
  <si>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</si>
  <si>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</si>
  <si>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</si>
  <si>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</si>
  <si>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</si>
  <si>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</si>
  <si>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</si>
  <si>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</si>
  <si>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</si>
  <si>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</si>
  <si>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</si>
  <si>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</si>
  <si>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</si>
  <si>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</si>
  <si>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</si>
  <si>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</si>
  <si>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</si>
  <si>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</si>
  <si>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</si>
  <si>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</si>
  <si>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</si>
  <si>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</si>
  <si>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</si>
  <si>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</si>
  <si>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</si>
  <si>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</si>
  <si>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</si>
  <si>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</si>
  <si>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</si>
  <si>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</si>
  <si>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</si>
  <si>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</si>
  <si>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</si>
  <si>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</si>
  <si>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</si>
  <si>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</si>
  <si>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</si>
  <si>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</si>
  <si>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</si>
  <si>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</si>
  <si>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</si>
  <si>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</si>
  <si>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</si>
  <si>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</si>
  <si>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</si>
  <si>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</si>
  <si>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</si>
  <si>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</si>
  <si>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</si>
  <si>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</si>
  <si>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</si>
  <si>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</si>
  <si>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</si>
  <si>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</si>
  <si>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</si>
  <si>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</si>
  <si>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</si>
  <si>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</si>
  <si>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</si>
  <si>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</si>
  <si>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</si>
  <si>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</si>
  <si>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</si>
  <si>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</si>
  <si>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</si>
  <si>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</si>
  <si>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</si>
  <si>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</si>
  <si>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</si>
  <si>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</si>
  <si>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</si>
  <si>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</si>
  <si>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</si>
  <si>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</si>
  <si>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</si>
  <si>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</si>
  <si>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</si>
  <si>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</si>
  <si>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</si>
  <si>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</si>
  <si>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</si>
  <si>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</si>
  <si>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</si>
  <si>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</si>
  <si>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</si>
  <si>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</si>
  <si>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</si>
  <si>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</si>
  <si>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</si>
  <si>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</si>
  <si>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</si>
  <si>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</si>
  <si>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</si>
  <si>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</si>
  <si>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</si>
  <si>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</si>
  <si>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</si>
  <si>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</si>
  <si>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</si>
  <si>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</si>
  <si>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</si>
  <si>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</si>
  <si>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</si>
  <si>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</si>
  <si>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</si>
  <si>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</si>
  <si>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</si>
  <si>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</si>
  <si>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</si>
  <si>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</si>
  <si>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</si>
  <si>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</si>
  <si>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</si>
  <si>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</si>
  <si>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</si>
  <si>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</si>
  <si>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</si>
  <si>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</si>
  <si>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</si>
  <si>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</si>
  <si>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</si>
  <si>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</si>
  <si>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</si>
  <si>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</si>
  <si>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</si>
  <si>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</si>
  <si>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</si>
  <si>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</si>
  <si>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</si>
  <si>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</si>
  <si>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</si>
  <si>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</si>
  <si>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</si>
  <si>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</si>
  <si>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</si>
  <si>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</si>
  <si>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</si>
  <si>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</si>
  <si>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</si>
  <si>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</si>
  <si>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</si>
  <si>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</si>
  <si>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</si>
  <si>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</si>
  <si>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</si>
  <si>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</si>
  <si>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</si>
  <si>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</si>
  <si>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</si>
  <si>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</si>
  <si>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</si>
  <si>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</si>
  <si>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</si>
  <si>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</si>
  <si>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</si>
  <si>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</si>
  <si>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</si>
  <si>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</si>
  <si>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</si>
  <si>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</si>
  <si>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</si>
  <si>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</si>
  <si>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</si>
  <si>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</si>
  <si>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</si>
  <si>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</si>
  <si>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</si>
  <si>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</si>
  <si>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</si>
  <si>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</si>
  <si>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</si>
  <si>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</si>
  <si>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</si>
  <si>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</si>
  <si>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</si>
  <si>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</si>
  <si>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</si>
  <si>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</si>
  <si>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</si>
  <si>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</si>
  <si>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</si>
  <si>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</si>
  <si>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</si>
  <si>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</si>
  <si>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</si>
  <si>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</si>
  <si>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</si>
  <si>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</si>
  <si>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</si>
  <si>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</si>
  <si>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</si>
  <si>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</si>
  <si>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</si>
  <si>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</si>
  <si>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</si>
  <si>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</si>
  <si>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</si>
  <si>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</si>
  <si>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</si>
  <si>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</si>
  <si>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</si>
  <si>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</si>
  <si>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</si>
  <si>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</si>
  <si>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</si>
  <si>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</si>
  <si>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</si>
  <si>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</si>
  <si>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</si>
  <si>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</si>
  <si>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</si>
  <si>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</si>
  <si>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</si>
  <si>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</si>
  <si>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</si>
  <si>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</si>
  <si>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</si>
  <si>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</si>
  <si>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</si>
  <si>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</si>
  <si>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</si>
  <si>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</si>
  <si>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</si>
  <si>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</si>
  <si>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</si>
  <si>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</si>
  <si>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</si>
  <si>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</si>
  <si>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</si>
  <si>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</si>
  <si>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</si>
  <si>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</si>
  <si>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</si>
  <si>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</si>
  <si>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</si>
  <si>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</si>
  <si>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</si>
  <si>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</si>
  <si>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</si>
  <si>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</si>
  <si>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</si>
  <si>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</si>
  <si>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</si>
  <si>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</si>
  <si>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</si>
  <si>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</si>
  <si>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</si>
  <si>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</si>
  <si>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</si>
  <si>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</si>
  <si>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</si>
  <si>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</si>
  <si>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</si>
  <si>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</si>
  <si>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</si>
  <si>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</si>
  <si>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</si>
  <si>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</si>
  <si>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</si>
  <si>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</si>
  <si>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</si>
  <si>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</si>
  <si>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</si>
  <si>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</si>
  <si>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</si>
  <si>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</si>
  <si>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</si>
  <si>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3570  INSTALACION, REPARACION Y MANTENIMIENTO DE MAQUINA</t>
  </si>
  <si>
    <t>6120  EDIFICACION NO HABITACIONAL</t>
  </si>
  <si>
    <t>2710  VESTUARIOS Y UNIFORMES</t>
  </si>
  <si>
    <t>3250  ARRENDAMIENTO DE EQUIPO DE TRANSPORTE</t>
  </si>
  <si>
    <t>4330  SUBSIDIOS A LA INVERSION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</si>
  <si>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</si>
  <si>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</si>
  <si>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</si>
  <si>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</si>
  <si>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</si>
  <si>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</si>
  <si>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</si>
  <si>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</si>
  <si>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</si>
  <si>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</si>
  <si>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</si>
  <si>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</si>
  <si>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</si>
  <si>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</si>
  <si>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</si>
  <si>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</si>
  <si>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Relación de documentos que amparan un importe de</t>
  </si>
  <si>
    <t>que se envían para su revisión y trámite de pago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</si>
  <si>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</si>
  <si>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</si>
  <si>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</si>
  <si>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</si>
  <si>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</si>
  <si>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</si>
  <si>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</si>
  <si>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</si>
  <si>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</si>
  <si>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</si>
  <si>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</si>
  <si>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</si>
  <si>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DIVISIÓN</t>
  </si>
  <si>
    <t>FORMATO DE PAGO A TERCEROS REFRENDO DE RECURSOS</t>
  </si>
  <si>
    <t>E027QC03742201</t>
  </si>
  <si>
    <t>E027QC03742202</t>
  </si>
  <si>
    <t>E027QC03752202</t>
  </si>
  <si>
    <t>E027QC03762201</t>
  </si>
  <si>
    <t>E027QC03762202</t>
  </si>
  <si>
    <t>E027QC03772202</t>
  </si>
  <si>
    <t>E027QB03482201  REH CALLE HIDALGO DE IGNACIO RMZ-LERDO</t>
  </si>
  <si>
    <t>E027QB03482202  REH PAV CALLE HIDALGO 1RA ET SALVATIERRA</t>
  </si>
  <si>
    <t>E027QB03552201  PAV PARQUE LA NOGALERA 2DA ETAPA</t>
  </si>
  <si>
    <t>E027QB03552202  PAV PARQUE ACCESO A JALPA CICLOVÍA</t>
  </si>
  <si>
    <t>E027QB03602202  REH CALLE FCO EDUARDO TRESGUERRAS</t>
  </si>
  <si>
    <t>E027QB04882202  SEGUIMIENTO FIS-FIN DE ACCIONES</t>
  </si>
  <si>
    <t>5150  EQUIPO DE COMPUTO Y DE TECNOLOGIAS DE LA INFORMACION</t>
  </si>
  <si>
    <t>E027QB04882203  PAV CALLE SAN LUIS SN PEDRO DE LOS POZOS</t>
  </si>
  <si>
    <t>E027QB04882204  PAV CALLE LA ESCONDIDA MINERAL DE POZOS</t>
  </si>
  <si>
    <t>E027QB04952201  3RA ETAPA MALECÓN LAGUNA DE YURIRIA</t>
  </si>
  <si>
    <t>E027QB04982201  REH CALLE LEANDRO VALLE EN IRAPUATO</t>
  </si>
  <si>
    <t>E027QB08012201  REH ANDADOR MIGUEL HIDALGO EN CORONEO</t>
  </si>
  <si>
    <t>E027QB24372202  RESTAURACIÓN FORO CULTURAL 6TA ETAPA</t>
  </si>
  <si>
    <t>6220  EDIFICACION NO HABITACIONAL</t>
  </si>
  <si>
    <t>E027QB24412201  RESCATE LAGO CRÁTER 5TA ETAPA</t>
  </si>
  <si>
    <t>E027QB37752201  PAV PLAZA Y QUIOSCO LA VENTA</t>
  </si>
  <si>
    <t>E027QC03402202  PRÁCTICAS SUSTENTABLES</t>
  </si>
  <si>
    <t>3390 SERVICIOS PROFESIONALES, CIENTÍFICOS Y TÉCNICOS INTEGRALES</t>
  </si>
  <si>
    <t>E027QC03402203  ALIANZAS ESTRATÉGICAS 22</t>
  </si>
  <si>
    <t>4450  AYUDAS SOCIALES A INSTITUCIONES CULTURALES SIN FINES DE LUCRO</t>
  </si>
  <si>
    <t>E027QC03442202  PROGRAMA EMPRENDEDOR 22</t>
  </si>
  <si>
    <t>E027QC03682206  SEGUIMIENTO FIS-FIN DE ACCIONES</t>
  </si>
  <si>
    <t>E027QC03682209  CAPTA MUSEO DEL VINO 22</t>
  </si>
  <si>
    <t>E027QC03742201  CAMPAÑAS DE PROMOCIÓN NAL 22</t>
  </si>
  <si>
    <t>3612  DIFUSIÓN POR MEDIO ALTERNATIVOS SOBRE PROGRAMAS Y ACTIVIDADES GUBERNAMENTALES</t>
  </si>
  <si>
    <t>3630 SERVICIOS DE CREATIVIDAD, PREPRODUCCIÓN Y PRODUCCIÓN DE PUBLICIDAD, EXCEPTO INTERNET</t>
  </si>
  <si>
    <t>5940  DERECHOS</t>
  </si>
  <si>
    <t>3660 SERVICIO DE CREACIÓN Y DIFUSIÓN DE CONTENIDO EXCLUSIVAMENTE A TRAVÉS DE INTERNET</t>
  </si>
  <si>
    <t>E027QC03742202  CAMPAÑAS INTERNACIONALES DE PROMOCIÓN 22</t>
  </si>
  <si>
    <t>E027QC03752202  INTEGRACIÓN DE EXPERIENCIAS TUR 22</t>
  </si>
  <si>
    <t>E027QC03762201  EVENTOS Y FESTIVALES INTERNACIONALES 22</t>
  </si>
  <si>
    <t>4242 TRANSFERENCIAS OTORGADAS A ENTIDADES FEDERATIVAS Y MUNICIPIOS PARA GASTO DE CAPITAL</t>
  </si>
  <si>
    <t>E027QC03762202  PARTICIPACIÓN EN EVENTOS ESPECIALES 22</t>
  </si>
  <si>
    <t>E027QC03772202  EVENTOS GASTRONÓMICOS 22</t>
  </si>
  <si>
    <t>4212 TRANSFERENCIAS OTORGADAS A ENTIDADES PARAESTATALES NO EMPRESARIALES Y NO }FINANCIERAS PARA GASTO DE CAPITAL</t>
  </si>
  <si>
    <t>E027QC03782201  APOYO PYES CINEMATOGRÁFICOS</t>
  </si>
  <si>
    <t>E027QC03792201  PARTICIPACIÓN EN EVENTOS 22</t>
  </si>
  <si>
    <t>E027QC03792205  MÓDULO DEL AEROPUERTO</t>
  </si>
  <si>
    <t>E027QC03802202  PROMOCIÓN MEDIANTE ALIANZAS ESTRATÉGICAS</t>
  </si>
  <si>
    <t>E027QC03802207  FINIQUITO DE PROMOCIÓN</t>
  </si>
  <si>
    <t>E027QC03812201  ACCIONES DE PROMOCIÓN 22</t>
  </si>
  <si>
    <t>E027QC32142203  INDICADORES TURÍSTICOS 22</t>
  </si>
  <si>
    <t>3330 SERVICIOS DE CONSULTORÍA ADMINISTRATIVA, PROCESOS, TÉCNICA Y EN TECNOLOGÍAS DE LA INFORMACIÓN</t>
  </si>
  <si>
    <t>E027QC32142204  ESTUDIOS DE COMPORTAMIENTO TUR 22</t>
  </si>
  <si>
    <t>P000GB14002299  ACCIÓN DE REFRENDO EJERCICIO 2022</t>
  </si>
  <si>
    <t>REFRENDO PT SECTUR/AREA/001/AAAA</t>
  </si>
  <si>
    <t>FORMATO PT - 1 24</t>
  </si>
  <si>
    <t>E027QB03462301</t>
  </si>
  <si>
    <t>E027QB04882301</t>
  </si>
  <si>
    <t>E027QB04882302</t>
  </si>
  <si>
    <t>E027QB04882303</t>
  </si>
  <si>
    <t>E027QC03402301</t>
  </si>
  <si>
    <t>E027QC03402302</t>
  </si>
  <si>
    <t>E027QC03422301</t>
  </si>
  <si>
    <t>E027QC03432301</t>
  </si>
  <si>
    <t>E027QC03432302</t>
  </si>
  <si>
    <t>E027QC03442301</t>
  </si>
  <si>
    <t>E027QC03442302</t>
  </si>
  <si>
    <t>E027QC03452301</t>
  </si>
  <si>
    <t>E027QC03682301</t>
  </si>
  <si>
    <t>E027QC03682302</t>
  </si>
  <si>
    <t>E027QC03682303</t>
  </si>
  <si>
    <t>E027QC03682304</t>
  </si>
  <si>
    <t>E027QC03682305</t>
  </si>
  <si>
    <t>E027QC03682306</t>
  </si>
  <si>
    <t>E027QC03732301</t>
  </si>
  <si>
    <t>E027QC03732302</t>
  </si>
  <si>
    <t>E027QC03742301</t>
  </si>
  <si>
    <t>E027QC03742302</t>
  </si>
  <si>
    <t>E027QC03752201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</si>
  <si>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</si>
  <si>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</si>
  <si>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</si>
  <si>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</si>
  <si>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</si>
  <si>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</si>
  <si>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</si>
  <si>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</si>
  <si>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</si>
  <si>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</si>
  <si>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E027QC03792301</t>
  </si>
  <si>
    <t>E027QC03792302</t>
  </si>
  <si>
    <t>E027QC03792303</t>
  </si>
  <si>
    <t>E027QC03792304</t>
  </si>
  <si>
    <t>E027QC03802301</t>
  </si>
  <si>
    <t>E027QC03802302</t>
  </si>
  <si>
    <t>E027QC03802303</t>
  </si>
  <si>
    <t>E027QC03812301</t>
  </si>
  <si>
    <t>E027QC04182301</t>
  </si>
  <si>
    <t>E027QC06212301</t>
  </si>
  <si>
    <t>E027QC06222301</t>
  </si>
  <si>
    <t>E027QC06232301</t>
  </si>
  <si>
    <t>E027QC06242301</t>
  </si>
  <si>
    <t>E027QC32142301</t>
  </si>
  <si>
    <t>E027QC32142302</t>
  </si>
  <si>
    <t>E027QC32142303</t>
  </si>
  <si>
    <t>E027QC32142304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</si>
</sst>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b/>
      <sz val="8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0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9" fillId="0" borderId="20" xfId="0" applyFont="1" applyBorder="1"/>
    <xf numFmtId="0" fontId="9" fillId="0" borderId="1" xfId="0" applyFont="1" applyBorder="1"/>
    <xf numFmtId="0" fontId="9" fillId="0" borderId="0" xfId="0" applyFont="1"/>
    <xf numFmtId="0" fontId="9" fillId="0" borderId="21" xfId="0" applyFont="1" applyBorder="1"/>
    <xf numFmtId="0" fontId="11" fillId="0" borderId="0" xfId="0" applyFont="1"/>
    <xf numFmtId="0" fontId="11" fillId="0" borderId="3" xfId="0" applyFont="1" applyBorder="1"/>
    <xf numFmtId="0" fontId="9" fillId="0" borderId="3" xfId="0" applyFont="1" applyBorder="1"/>
    <xf numFmtId="0" fontId="12" fillId="0" borderId="0" xfId="0" applyFont="1"/>
    <xf numFmtId="0" fontId="12" fillId="0" borderId="21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3" fillId="0" borderId="0" xfId="0" applyFont="1"/>
    <xf numFmtId="0" fontId="12" fillId="0" borderId="58" xfId="0" applyFont="1" applyBorder="1" applyAlignment="1">
      <alignment horizontal="center" vertical="center"/>
    </xf>
    <xf numFmtId="0" fontId="11" fillId="0" borderId="33" xfId="0" applyFont="1" applyBorder="1" applyAlignment="1">
      <alignment horizontal="left"/>
    </xf>
    <xf numFmtId="0" fontId="12" fillId="0" borderId="33" xfId="0" applyFont="1" applyBorder="1" applyAlignment="1">
      <alignment horizontal="center"/>
    </xf>
    <xf numFmtId="164" fontId="12" fillId="0" borderId="48" xfId="0" applyNumberFormat="1" applyFont="1" applyBorder="1"/>
    <xf numFmtId="39" fontId="12" fillId="0" borderId="61" xfId="0" applyNumberFormat="1" applyFont="1" applyBorder="1"/>
    <xf numFmtId="0" fontId="11" fillId="0" borderId="3" xfId="0" applyFont="1" applyBorder="1" applyAlignment="1">
      <alignment horizontal="left"/>
    </xf>
    <xf numFmtId="0" fontId="12" fillId="0" borderId="62" xfId="0" applyFont="1" applyBorder="1"/>
    <xf numFmtId="0" fontId="12" fillId="0" borderId="6" xfId="0" applyFont="1" applyBorder="1"/>
    <xf numFmtId="0" fontId="12" fillId="0" borderId="7" xfId="0" applyFont="1" applyBorder="1"/>
    <xf numFmtId="0" fontId="15" fillId="0" borderId="0" xfId="0" applyFont="1"/>
    <xf numFmtId="0" fontId="11" fillId="0" borderId="21" xfId="0" applyFont="1" applyBorder="1" applyAlignment="1" applyProtection="1">
      <alignment horizontal="center" vertical="center"/>
      <protection locked="0"/>
    </xf>
    <xf numFmtId="0" fontId="11" fillId="0" borderId="47" xfId="0" applyFont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49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" xfId="0" applyFont="1" applyBorder="1" applyAlignment="1">
      <alignment horizontal="center"/>
    </xf>
    <xf numFmtId="44" fontId="12" fillId="0" borderId="48" xfId="1" applyFont="1" applyBorder="1" applyAlignment="1" applyProtection="1">
      <alignment horizontal="center" vertical="center"/>
      <protection locked="0"/>
    </xf>
    <xf numFmtId="44" fontId="12" fillId="0" borderId="47" xfId="1" applyFont="1" applyBorder="1" applyAlignment="1" applyProtection="1">
      <alignment horizontal="center" vertical="center"/>
      <protection locked="0"/>
    </xf>
    <xf numFmtId="0" fontId="11" fillId="0" borderId="48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48" xfId="0" applyFont="1" applyBorder="1" applyAlignment="1">
      <alignment horizontal="left" vertical="center" wrapText="1"/>
    </xf>
    <xf numFmtId="0" fontId="11" fillId="0" borderId="33" xfId="0" applyFont="1" applyBorder="1" applyAlignment="1" applyProtection="1">
      <alignment horizontal="center" vertical="center"/>
      <protection locked="0"/>
    </xf>
    <xf numFmtId="0" fontId="12" fillId="0" borderId="33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1" fillId="0" borderId="33" xfId="0" applyFont="1" applyBorder="1" applyAlignment="1" applyProtection="1">
      <alignment horizontal="center"/>
      <protection locked="0"/>
    </xf>
    <xf numFmtId="0" fontId="12" fillId="0" borderId="33" xfId="0" applyFont="1" applyBorder="1" applyAlignment="1" applyProtection="1">
      <alignment horizontal="center" wrapText="1"/>
      <protection locked="0"/>
    </xf>
    <xf numFmtId="44" fontId="12" fillId="0" borderId="48" xfId="1" applyFont="1" applyBorder="1" applyAlignment="1" applyProtection="1">
      <alignment horizontal="center"/>
      <protection locked="0"/>
    </xf>
    <xf numFmtId="44" fontId="12" fillId="0" borderId="47" xfId="1" applyFont="1" applyBorder="1" applyAlignment="1" applyProtection="1">
      <alignment horizontal="center"/>
      <protection locked="0"/>
    </xf>
    <xf numFmtId="44" fontId="12" fillId="0" borderId="51" xfId="1" applyFont="1" applyBorder="1" applyAlignment="1" applyProtection="1">
      <alignment horizontal="center"/>
      <protection locked="0"/>
    </xf>
    <xf numFmtId="44" fontId="12" fillId="0" borderId="50" xfId="1" applyFont="1" applyBorder="1" applyAlignment="1" applyProtection="1">
      <alignment horizontal="center"/>
      <protection locked="0"/>
    </xf>
    <xf numFmtId="0" fontId="11" fillId="0" borderId="21" xfId="0" applyFont="1" applyBorder="1" applyAlignment="1" applyProtection="1">
      <alignment horizontal="left" vertical="center"/>
      <protection locked="0"/>
    </xf>
    <xf numFmtId="0" fontId="11" fillId="0" borderId="47" xfId="0" applyFont="1" applyBorder="1" applyAlignment="1" applyProtection="1">
      <alignment horizontal="left" vertical="center"/>
      <protection locked="0"/>
    </xf>
    <xf numFmtId="0" fontId="11" fillId="0" borderId="21" xfId="0" applyFont="1" applyBorder="1" applyAlignment="1" applyProtection="1">
      <alignment horizontal="center"/>
      <protection locked="0"/>
    </xf>
    <xf numFmtId="0" fontId="11" fillId="0" borderId="47" xfId="0" applyFont="1" applyBorder="1" applyAlignment="1" applyProtection="1">
      <alignment horizontal="center"/>
      <protection locked="0"/>
    </xf>
    <xf numFmtId="0" fontId="11" fillId="0" borderId="49" xfId="0" applyFont="1" applyBorder="1" applyAlignment="1" applyProtection="1">
      <alignment horizontal="left" vertical="center"/>
      <protection locked="0"/>
    </xf>
    <xf numFmtId="0" fontId="11" fillId="0" borderId="50" xfId="0" applyFont="1" applyBorder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3" xfId="0" applyFont="1" applyBorder="1" applyAlignment="1" applyProtection="1">
      <alignment horizontal="left"/>
      <protection locked="0"/>
    </xf>
    <xf numFmtId="49" fontId="11" fillId="0" borderId="0" xfId="0" applyNumberFormat="1" applyFont="1" applyAlignment="1" applyProtection="1">
      <alignment horizontal="left"/>
      <protection locked="0"/>
    </xf>
    <xf numFmtId="49" fontId="11" fillId="0" borderId="3" xfId="0" applyNumberFormat="1" applyFont="1" applyBorder="1" applyAlignment="1" applyProtection="1">
      <alignment horizontal="left"/>
      <protection locked="0"/>
    </xf>
    <xf numFmtId="0" fontId="11" fillId="0" borderId="60" xfId="0" applyFont="1" applyBorder="1" applyAlignment="1" applyProtection="1">
      <alignment horizontal="left"/>
      <protection locked="0"/>
    </xf>
    <xf numFmtId="0" fontId="11" fillId="0" borderId="33" xfId="0" applyFont="1" applyBorder="1" applyAlignment="1" applyProtection="1">
      <alignment horizontal="left"/>
      <protection locked="0"/>
    </xf>
    <xf numFmtId="0" fontId="11" fillId="0" borderId="0" xfId="0" applyFont="1" applyAlignment="1">
      <alignment horizontal="left"/>
    </xf>
    <xf numFmtId="0" fontId="11" fillId="0" borderId="3" xfId="0" applyFont="1" applyBorder="1" applyAlignment="1">
      <alignment horizontal="left"/>
    </xf>
    <xf numFmtId="0" fontId="12" fillId="0" borderId="21" xfId="0" applyFont="1" applyBorder="1" applyAlignment="1" applyProtection="1">
      <alignment horizontal="left"/>
      <protection locked="0"/>
    </xf>
    <xf numFmtId="0" fontId="12" fillId="0" borderId="47" xfId="0" applyFont="1" applyBorder="1" applyAlignment="1" applyProtection="1">
      <alignment horizontal="left"/>
      <protection locked="0"/>
    </xf>
    <xf numFmtId="0" fontId="11" fillId="0" borderId="60" xfId="0" applyFont="1" applyBorder="1" applyAlignment="1">
      <alignment horizontal="left"/>
    </xf>
    <xf numFmtId="0" fontId="11" fillId="0" borderId="33" xfId="0" applyFont="1" applyBorder="1" applyAlignment="1">
      <alignment horizontal="left"/>
    </xf>
    <xf numFmtId="0" fontId="11" fillId="0" borderId="0" xfId="0" applyFont="1" applyAlignment="1" applyProtection="1">
      <alignment horizontal="center" vertical="center" wrapText="1"/>
      <protection locked="0"/>
    </xf>
    <xf numFmtId="0" fontId="11" fillId="0" borderId="3" xfId="0" applyFont="1" applyBorder="1" applyAlignment="1" applyProtection="1">
      <alignment horizontal="center" vertical="center" wrapText="1"/>
      <protection locked="0"/>
    </xf>
    <xf numFmtId="49" fontId="11" fillId="0" borderId="0" xfId="0" applyNumberFormat="1" applyFont="1" applyAlignment="1">
      <alignment horizontal="center"/>
    </xf>
    <xf numFmtId="0" fontId="12" fillId="0" borderId="57" xfId="0" applyFont="1" applyBorder="1" applyAlignment="1">
      <alignment horizontal="center" vertical="center"/>
    </xf>
    <xf numFmtId="0" fontId="12" fillId="0" borderId="58" xfId="0" applyFont="1" applyBorder="1" applyAlignment="1">
      <alignment horizontal="center" vertical="center"/>
    </xf>
    <xf numFmtId="0" fontId="12" fillId="0" borderId="59" xfId="0" applyFont="1" applyBorder="1" applyAlignment="1">
      <alignment horizontal="center" vertical="center"/>
    </xf>
    <xf numFmtId="49" fontId="12" fillId="0" borderId="66" xfId="0" applyNumberFormat="1" applyFont="1" applyBorder="1" applyAlignment="1">
      <alignment horizontal="center" vertical="center" wrapText="1"/>
    </xf>
    <xf numFmtId="49" fontId="12" fillId="0" borderId="25" xfId="0" applyNumberFormat="1" applyFont="1" applyBorder="1" applyAlignment="1">
      <alignment horizontal="center" vertical="center" wrapText="1"/>
    </xf>
    <xf numFmtId="49" fontId="12" fillId="0" borderId="48" xfId="0" applyNumberFormat="1" applyFont="1" applyBorder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49" fontId="12" fillId="0" borderId="67" xfId="0" applyNumberFormat="1" applyFont="1" applyBorder="1" applyAlignment="1">
      <alignment horizontal="center" vertical="center" wrapText="1"/>
    </xf>
    <xf numFmtId="49" fontId="12" fillId="0" borderId="28" xfId="0" applyNumberFormat="1" applyFont="1" applyBorder="1" applyAlignment="1">
      <alignment horizontal="center" vertical="center" wrapText="1"/>
    </xf>
    <xf numFmtId="0" fontId="12" fillId="0" borderId="36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1" fillId="0" borderId="0" xfId="0" applyFont="1" applyAlignment="1" applyProtection="1">
      <alignment horizontal="left" vertical="center"/>
      <protection locked="0"/>
    </xf>
    <xf numFmtId="0" fontId="11" fillId="0" borderId="3" xfId="0" applyFont="1" applyBorder="1" applyAlignment="1" applyProtection="1">
      <alignment horizontal="left" vertical="center"/>
      <protection locked="0"/>
    </xf>
    <xf numFmtId="0" fontId="6" fillId="0" borderId="33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1" fillId="0" borderId="21" xfId="0" applyFont="1" applyBorder="1" applyAlignment="1">
      <alignment horizontal="right"/>
    </xf>
    <xf numFmtId="0" fontId="11" fillId="0" borderId="0" xfId="0" applyFont="1" applyAlignment="1">
      <alignment horizontal="right"/>
    </xf>
    <xf numFmtId="0" fontId="11" fillId="0" borderId="21" xfId="0" applyFont="1" applyBorder="1" applyAlignment="1">
      <alignment horizontal="center"/>
    </xf>
    <xf numFmtId="164" fontId="11" fillId="0" borderId="4" xfId="0" applyNumberFormat="1" applyFont="1" applyBorder="1" applyAlignment="1">
      <alignment horizontal="center"/>
    </xf>
    <xf numFmtId="164" fontId="11" fillId="0" borderId="5" xfId="0" applyNumberFormat="1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49" fontId="11" fillId="0" borderId="24" xfId="0" applyNumberFormat="1" applyFont="1" applyBorder="1" applyAlignment="1">
      <alignment horizontal="center" vertical="center" wrapText="1"/>
    </xf>
    <xf numFmtId="49" fontId="11" fillId="0" borderId="25" xfId="0" applyNumberFormat="1" applyFont="1" applyBorder="1" applyAlignment="1">
      <alignment horizontal="center" vertical="center" wrapText="1"/>
    </xf>
    <xf numFmtId="49" fontId="11" fillId="0" borderId="26" xfId="0" applyNumberFormat="1" applyFont="1" applyBorder="1" applyAlignment="1">
      <alignment horizontal="center" vertical="center" wrapText="1"/>
    </xf>
    <xf numFmtId="49" fontId="11" fillId="0" borderId="27" xfId="0" applyNumberFormat="1" applyFont="1" applyBorder="1" applyAlignment="1">
      <alignment horizontal="center" vertical="center" wrapText="1"/>
    </xf>
    <xf numFmtId="49" fontId="11" fillId="0" borderId="28" xfId="0" applyNumberFormat="1" applyFont="1" applyBorder="1" applyAlignment="1">
      <alignment horizontal="center" vertical="center" wrapText="1"/>
    </xf>
    <xf numFmtId="49" fontId="11" fillId="0" borderId="29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horizontal="left"/>
    </xf>
    <xf numFmtId="0" fontId="11" fillId="0" borderId="31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54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68" xfId="0" applyFont="1" applyBorder="1" applyAlignment="1">
      <alignment horizontal="center" vertical="center"/>
    </xf>
    <xf numFmtId="0" fontId="11" fillId="0" borderId="51" xfId="0" applyFont="1" applyBorder="1" applyAlignment="1">
      <alignment horizontal="center" vertical="center"/>
    </xf>
    <xf numFmtId="0" fontId="11" fillId="0" borderId="53" xfId="0" applyFont="1" applyBorder="1" applyAlignment="1">
      <alignment horizontal="center" vertical="center"/>
    </xf>
    <xf numFmtId="14" fontId="12" fillId="0" borderId="13" xfId="0" applyNumberFormat="1" applyFont="1" applyBorder="1" applyAlignment="1" applyProtection="1">
      <alignment horizontal="center" vertical="center"/>
      <protection locked="0"/>
    </xf>
    <xf numFmtId="14" fontId="12" fillId="0" borderId="34" xfId="0" applyNumberFormat="1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165" fontId="11" fillId="0" borderId="13" xfId="0" applyNumberFormat="1" applyFont="1" applyBorder="1" applyAlignment="1" applyProtection="1">
      <alignment horizontal="center" vertical="center"/>
      <protection locked="0"/>
    </xf>
    <xf numFmtId="165" fontId="11" fillId="0" borderId="32" xfId="0" applyNumberFormat="1" applyFont="1" applyBorder="1" applyAlignment="1" applyProtection="1">
      <alignment horizontal="center" vertical="center"/>
      <protection locked="0"/>
    </xf>
    <xf numFmtId="165" fontId="11" fillId="0" borderId="34" xfId="0" applyNumberFormat="1" applyFont="1" applyBorder="1" applyAlignment="1" applyProtection="1">
      <alignment horizontal="center" vertical="center"/>
      <protection locked="0"/>
    </xf>
    <xf numFmtId="165" fontId="11" fillId="0" borderId="55" xfId="0" applyNumberFormat="1" applyFont="1" applyBorder="1" applyAlignment="1" applyProtection="1">
      <alignment horizontal="center" vertical="center"/>
      <protection locked="0"/>
    </xf>
    <xf numFmtId="165" fontId="11" fillId="0" borderId="35" xfId="0" applyNumberFormat="1" applyFont="1" applyBorder="1" applyAlignment="1" applyProtection="1">
      <alignment horizontal="center" vertical="center"/>
      <protection locked="0"/>
    </xf>
    <xf numFmtId="165" fontId="11" fillId="0" borderId="56" xfId="0" applyNumberFormat="1" applyFont="1" applyBorder="1" applyAlignment="1" applyProtection="1">
      <alignment horizontal="center" vertical="center"/>
      <protection locked="0"/>
    </xf>
    <xf numFmtId="0" fontId="12" fillId="0" borderId="21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39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44" fontId="12" fillId="0" borderId="40" xfId="1" applyFont="1" applyFill="1" applyBorder="1" applyAlignment="1" applyProtection="1">
      <alignment horizontal="center"/>
    </xf>
    <xf numFmtId="44" fontId="12" fillId="0" borderId="41" xfId="1" applyFont="1" applyFill="1" applyBorder="1" applyAlignment="1" applyProtection="1">
      <alignment horizontal="center"/>
    </xf>
    <xf numFmtId="0" fontId="12" fillId="0" borderId="42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1" fillId="0" borderId="63" xfId="0" applyFont="1" applyBorder="1" applyAlignment="1">
      <alignment horizontal="center"/>
    </xf>
    <xf numFmtId="0" fontId="11" fillId="0" borderId="64" xfId="0" applyFont="1" applyBorder="1" applyAlignment="1">
      <alignment horizontal="center"/>
    </xf>
    <xf numFmtId="0" fontId="11" fillId="0" borderId="65" xfId="0" applyFont="1" applyBorder="1" applyAlignment="1">
      <alignment horizontal="center"/>
    </xf>
    <xf numFmtId="0" fontId="12" fillId="0" borderId="21" xfId="0" applyFont="1" applyBorder="1" applyAlignment="1">
      <alignment horizontal="center"/>
    </xf>
    <xf numFmtId="0" fontId="12" fillId="0" borderId="43" xfId="0" applyFont="1" applyBorder="1" applyAlignment="1" applyProtection="1">
      <alignment horizontal="center"/>
      <protection locked="0"/>
    </xf>
    <xf numFmtId="0" fontId="12" fillId="0" borderId="44" xfId="0" applyFont="1" applyBorder="1" applyAlignment="1" applyProtection="1">
      <alignment horizontal="center"/>
      <protection locked="0"/>
    </xf>
    <xf numFmtId="0" fontId="12" fillId="0" borderId="45" xfId="0" applyFont="1" applyBorder="1" applyAlignment="1" applyProtection="1">
      <alignment horizontal="center"/>
      <protection locked="0"/>
    </xf>
    <xf numFmtId="0" fontId="12" fillId="0" borderId="46" xfId="0" applyFont="1" applyBorder="1" applyAlignment="1" applyProtection="1">
      <alignment horizontal="center"/>
      <protection locked="0"/>
    </xf>
    <xf numFmtId="0" fontId="12" fillId="0" borderId="47" xfId="0" applyFont="1" applyBorder="1" applyAlignment="1">
      <alignment horizontal="center"/>
    </xf>
    <xf numFmtId="0" fontId="12" fillId="0" borderId="49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50" xfId="0" applyFont="1" applyBorder="1" applyAlignment="1">
      <alignment horizontal="center"/>
    </xf>
    <xf numFmtId="0" fontId="12" fillId="0" borderId="48" xfId="0" applyFont="1" applyBorder="1" applyAlignment="1" applyProtection="1">
      <alignment horizont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2" fillId="0" borderId="47" xfId="0" applyFont="1" applyBorder="1" applyAlignment="1" applyProtection="1">
      <alignment horizontal="center"/>
      <protection locked="0"/>
    </xf>
    <xf numFmtId="0" fontId="12" fillId="0" borderId="51" xfId="0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50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6" fillId="0" borderId="39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wrapText="1"/>
      <protection locked="0"/>
    </xf>
    <xf numFmtId="0" fontId="4" fillId="0" borderId="16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12" fillId="0" borderId="38" xfId="0" applyFont="1" applyBorder="1" applyAlignment="1">
      <alignment horizontal="center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0" xfId="0" applyFont="1" applyBorder="1" applyAlignment="1">
      <alignment horizontal="center" wrapText="1"/>
    </xf>
    <xf numFmtId="0" fontId="7" fillId="0" borderId="24" xfId="0" applyFont="1" applyBorder="1" applyAlignment="1">
      <alignment horizontal="center" wrapText="1"/>
    </xf>
    <xf numFmtId="0" fontId="7" fillId="0" borderId="26" xfId="0" applyFont="1" applyBorder="1" applyAlignment="1">
      <alignment horizontal="center" wrapText="1"/>
    </xf>
    <xf numFmtId="0" fontId="7" fillId="0" borderId="52" xfId="0" applyFont="1" applyBorder="1" applyAlignment="1">
      <alignment horizontal="center" wrapText="1"/>
    </xf>
    <xf numFmtId="0" fontId="7" fillId="0" borderId="4" xfId="0" applyFont="1" applyBorder="1" applyAlignment="1">
      <alignment horizontal="center" wrapText="1"/>
    </xf>
    <xf numFmtId="0" fontId="7" fillId="0" borderId="53" xfId="0" applyFont="1" applyBorder="1" applyAlignment="1">
      <alignment horizontal="center" wrapText="1"/>
    </xf>
    <xf numFmtId="0" fontId="14" fillId="0" borderId="24" xfId="0" applyFont="1" applyBorder="1" applyAlignment="1">
      <alignment horizontal="center" wrapText="1"/>
    </xf>
    <xf numFmtId="0" fontId="14" fillId="0" borderId="26" xfId="0" applyFont="1" applyBorder="1" applyAlignment="1">
      <alignment horizontal="center" wrapText="1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4">
    <dxf>
      <fill>
        <patternFill>
          <fgColor theme="0"/>
        </patternFill>
      </fill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2</xdr:col>
      <xdr:colOff>564695</xdr:colOff>
      <xdr:row>6</xdr:row>
      <xdr:rowOff>223837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1669F31-949D-4371-B61A-4027F7D1F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34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6"/>
  <sheetViews>
    <sheetView tabSelected="1" topLeftCell="A52" zoomScale="70" zoomScaleNormal="70" workbookViewId="0">
      <selection activeCell="A65" sqref="A65:J65"/>
    </sheetView>
  </sheetViews>
  <sheetFormatPr baseColWidth="10" defaultColWidth="11.42578125" defaultRowHeight="18.75" x14ac:dyDescent="0.3"/>
  <cols>
    <col min="1" max="1" width="20.7109375" style="24" customWidth="1"/>
    <col min="2" max="2" width="11.42578125" style="24"/>
    <col min="3" max="3" width="27.7109375" style="24" customWidth="1"/>
    <col min="4" max="4" width="40.42578125" style="24" customWidth="1"/>
    <col min="5" max="5" width="11.42578125" style="24"/>
    <col min="6" max="6" width="23.28515625" style="24" bestFit="1" customWidth="1"/>
    <col min="7" max="7" width="34.7109375" style="24" customWidth="1"/>
    <col min="8" max="8" width="28.7109375" style="24" customWidth="1"/>
    <col min="9" max="9" width="25.42578125" style="24" customWidth="1"/>
    <col min="10" max="10" width="40.28515625" style="24" customWidth="1"/>
    <col min="11" max="16384" width="11.42578125" style="24"/>
  </cols>
  <sheetData>
    <row r="1" spans="1:10" x14ac:dyDescent="0.3">
      <c r="A1" s="22"/>
      <c r="B1" s="23"/>
      <c r="C1" s="23"/>
      <c r="D1" s="23"/>
      <c r="E1" s="23"/>
      <c r="F1" s="23"/>
      <c r="G1" s="23"/>
      <c r="H1" s="23"/>
      <c r="I1" s="113" t="s">
        <v>978</v>
      </c>
      <c r="J1" s="114"/>
    </row>
    <row r="2" spans="1:10" ht="26.25" customHeight="1" x14ac:dyDescent="0.3">
      <c r="A2" s="25"/>
      <c r="D2" s="58" t="s">
        <v>0</v>
      </c>
      <c r="E2" s="58"/>
      <c r="F2" s="58"/>
      <c r="G2" s="58"/>
      <c r="H2" s="58"/>
      <c r="I2" s="58"/>
      <c r="J2" s="59"/>
    </row>
    <row r="3" spans="1:10" ht="26.25" customHeight="1" x14ac:dyDescent="0.3">
      <c r="A3" s="25"/>
      <c r="D3" s="58" t="s">
        <v>925</v>
      </c>
      <c r="E3" s="58"/>
      <c r="F3" s="58"/>
      <c r="G3" s="58"/>
      <c r="H3" s="58"/>
      <c r="I3" s="58"/>
      <c r="J3" s="59"/>
    </row>
    <row r="4" spans="1:10" ht="15.75" customHeight="1" x14ac:dyDescent="0.3">
      <c r="A4" s="115"/>
      <c r="B4" s="116"/>
      <c r="C4" s="116"/>
      <c r="D4" s="116"/>
      <c r="E4" s="116"/>
      <c r="F4" s="116"/>
      <c r="G4" s="26"/>
      <c r="H4" s="26"/>
      <c r="I4" s="26"/>
      <c r="J4" s="27"/>
    </row>
    <row r="5" spans="1:10" x14ac:dyDescent="0.3">
      <c r="A5" s="25"/>
      <c r="J5" s="28"/>
    </row>
    <row r="6" spans="1:10" x14ac:dyDescent="0.3">
      <c r="A6" s="117"/>
      <c r="B6" s="58"/>
      <c r="C6" s="58"/>
      <c r="D6" s="58"/>
      <c r="E6" s="58"/>
      <c r="F6" s="58"/>
      <c r="G6" s="58"/>
      <c r="H6" s="58"/>
      <c r="I6" s="58"/>
      <c r="J6" s="59"/>
    </row>
    <row r="7" spans="1:10" x14ac:dyDescent="0.3">
      <c r="A7" s="25"/>
      <c r="E7" s="29"/>
      <c r="F7" s="29"/>
      <c r="G7" s="29"/>
      <c r="H7" s="29"/>
      <c r="J7" s="28"/>
    </row>
    <row r="8" spans="1:10" ht="12.75" customHeight="1" x14ac:dyDescent="0.3">
      <c r="A8" s="25"/>
      <c r="B8" s="29"/>
      <c r="C8" s="29"/>
      <c r="D8" s="29"/>
      <c r="E8" s="29"/>
      <c r="J8" s="28"/>
    </row>
    <row r="9" spans="1:10" ht="17.25" customHeight="1" x14ac:dyDescent="0.3">
      <c r="A9" s="25"/>
      <c r="B9" s="29"/>
      <c r="C9" s="29"/>
      <c r="D9" s="29"/>
      <c r="E9" s="29"/>
      <c r="F9" s="129" t="s">
        <v>910</v>
      </c>
      <c r="G9" s="129"/>
      <c r="H9" s="129"/>
      <c r="I9" s="118">
        <f>E52</f>
        <v>0</v>
      </c>
      <c r="J9" s="119"/>
    </row>
    <row r="10" spans="1:10" ht="17.25" customHeight="1" x14ac:dyDescent="0.3">
      <c r="A10" s="25"/>
      <c r="B10" s="29"/>
      <c r="C10" s="29"/>
      <c r="D10" s="29"/>
      <c r="E10" s="29"/>
      <c r="F10" s="39" t="s">
        <v>911</v>
      </c>
      <c r="G10" s="39"/>
      <c r="H10" s="39"/>
      <c r="J10" s="28"/>
    </row>
    <row r="11" spans="1:10" x14ac:dyDescent="0.3">
      <c r="A11" s="25"/>
      <c r="B11" s="29"/>
      <c r="C11" s="29"/>
      <c r="D11" s="29"/>
      <c r="E11" s="29"/>
      <c r="J11" s="28"/>
    </row>
    <row r="12" spans="1:10" x14ac:dyDescent="0.3">
      <c r="A12" s="117"/>
      <c r="B12" s="58"/>
      <c r="C12" s="58"/>
      <c r="D12" s="58"/>
      <c r="F12" s="120" t="s">
        <v>894</v>
      </c>
      <c r="G12" s="121"/>
      <c r="H12" s="121"/>
      <c r="I12" s="121"/>
      <c r="J12" s="122"/>
    </row>
    <row r="13" spans="1:10" ht="7.9" customHeight="1" x14ac:dyDescent="0.3">
      <c r="A13" s="25"/>
      <c r="F13" s="123" t="s">
        <v>895</v>
      </c>
      <c r="G13" s="124"/>
      <c r="H13" s="124"/>
      <c r="I13" s="124"/>
      <c r="J13" s="125"/>
    </row>
    <row r="14" spans="1:10" ht="19.5" thickBot="1" x14ac:dyDescent="0.35">
      <c r="A14" s="30"/>
      <c r="F14" s="126"/>
      <c r="G14" s="127"/>
      <c r="H14" s="127"/>
      <c r="I14" s="127"/>
      <c r="J14" s="128"/>
    </row>
    <row r="15" spans="1:10" ht="19.5" thickTop="1" x14ac:dyDescent="0.3">
      <c r="A15" s="117"/>
      <c r="B15" s="58"/>
      <c r="C15" s="58"/>
      <c r="D15" s="58"/>
      <c r="E15" s="58"/>
      <c r="F15" s="134" t="s">
        <v>924</v>
      </c>
      <c r="G15" s="135"/>
      <c r="H15" s="130" t="s">
        <v>896</v>
      </c>
      <c r="I15" s="130" t="s">
        <v>897</v>
      </c>
      <c r="J15" s="132"/>
    </row>
    <row r="16" spans="1:10" ht="36" customHeight="1" x14ac:dyDescent="0.3">
      <c r="A16" s="25"/>
      <c r="F16" s="136"/>
      <c r="G16" s="137"/>
      <c r="H16" s="131"/>
      <c r="I16" s="131"/>
      <c r="J16" s="133"/>
    </row>
    <row r="17" spans="1:10" s="29" customFormat="1" ht="12.75" customHeight="1" x14ac:dyDescent="0.25">
      <c r="A17" s="30"/>
      <c r="F17" s="101" t="s">
        <v>899</v>
      </c>
      <c r="G17" s="102"/>
      <c r="H17" s="138" t="s">
        <v>900</v>
      </c>
      <c r="I17" s="141" t="s">
        <v>977</v>
      </c>
      <c r="J17" s="142"/>
    </row>
    <row r="18" spans="1:10" s="29" customFormat="1" ht="12.75" customHeight="1" x14ac:dyDescent="0.25">
      <c r="A18" s="30"/>
      <c r="F18" s="103"/>
      <c r="G18" s="104"/>
      <c r="H18" s="139"/>
      <c r="I18" s="143"/>
      <c r="J18" s="144"/>
    </row>
    <row r="19" spans="1:10" s="29" customFormat="1" ht="12.75" customHeight="1" x14ac:dyDescent="0.25">
      <c r="A19" s="30"/>
      <c r="F19" s="103"/>
      <c r="G19" s="104"/>
      <c r="H19" s="139"/>
      <c r="I19" s="143"/>
      <c r="J19" s="144"/>
    </row>
    <row r="20" spans="1:10" s="29" customFormat="1" ht="12.75" customHeight="1" thickBot="1" x14ac:dyDescent="0.3">
      <c r="A20" s="30"/>
      <c r="B20" s="97"/>
      <c r="C20" s="97"/>
      <c r="D20" s="97"/>
      <c r="E20" s="97"/>
      <c r="F20" s="105"/>
      <c r="G20" s="106"/>
      <c r="H20" s="140"/>
      <c r="I20" s="145"/>
      <c r="J20" s="146"/>
    </row>
    <row r="21" spans="1:10" s="29" customFormat="1" thickTop="1" x14ac:dyDescent="0.25">
      <c r="A21" s="30"/>
      <c r="B21" s="37"/>
      <c r="C21" s="37"/>
      <c r="D21" s="36"/>
      <c r="E21" s="26"/>
      <c r="F21" s="31"/>
      <c r="G21" s="31"/>
      <c r="H21" s="32"/>
      <c r="I21" s="33"/>
      <c r="J21" s="34"/>
    </row>
    <row r="22" spans="1:10" s="29" customFormat="1" ht="16.5" customHeight="1" x14ac:dyDescent="0.25">
      <c r="A22" s="107" t="s">
        <v>901</v>
      </c>
      <c r="B22" s="108"/>
      <c r="C22" s="108"/>
      <c r="D22" s="108"/>
      <c r="E22" s="108"/>
      <c r="F22" s="108"/>
      <c r="G22" s="108"/>
      <c r="H22" s="108"/>
      <c r="I22" s="108"/>
      <c r="J22" s="109"/>
    </row>
    <row r="23" spans="1:10" s="29" customFormat="1" ht="17.25" customHeight="1" x14ac:dyDescent="0.25">
      <c r="A23" s="107" t="s">
        <v>902</v>
      </c>
      <c r="B23" s="108"/>
      <c r="C23" s="108"/>
      <c r="D23" s="108"/>
      <c r="E23" s="108"/>
      <c r="F23" s="108"/>
      <c r="G23" s="108"/>
      <c r="H23" s="108"/>
      <c r="I23" s="108"/>
      <c r="J23" s="109"/>
    </row>
    <row r="24" spans="1:10" s="29" customFormat="1" ht="7.5" customHeight="1" x14ac:dyDescent="0.25">
      <c r="A24" s="30"/>
      <c r="J24" s="35"/>
    </row>
    <row r="25" spans="1:10" s="29" customFormat="1" ht="15" customHeight="1" x14ac:dyDescent="0.25">
      <c r="A25" s="98" t="s">
        <v>912</v>
      </c>
      <c r="B25" s="99"/>
      <c r="C25" s="40" t="s">
        <v>903</v>
      </c>
      <c r="D25" s="40" t="s">
        <v>904</v>
      </c>
      <c r="E25" s="99" t="s">
        <v>905</v>
      </c>
      <c r="F25" s="99"/>
      <c r="G25" s="99" t="s">
        <v>906</v>
      </c>
      <c r="H25" s="99"/>
      <c r="I25" s="99"/>
      <c r="J25" s="100"/>
    </row>
    <row r="26" spans="1:10" s="29" customFormat="1" ht="7.5" customHeight="1" x14ac:dyDescent="0.25">
      <c r="A26" s="93"/>
      <c r="B26" s="94"/>
      <c r="C26" s="41"/>
      <c r="D26" s="42"/>
      <c r="E26" s="43"/>
      <c r="F26" s="44"/>
      <c r="G26" s="26"/>
      <c r="J26" s="45"/>
    </row>
    <row r="27" spans="1:10" s="29" customFormat="1" ht="24" customHeight="1" x14ac:dyDescent="0.25">
      <c r="A27" s="50"/>
      <c r="B27" s="51"/>
      <c r="C27" s="112"/>
      <c r="D27" s="67"/>
      <c r="E27" s="60"/>
      <c r="F27" s="61"/>
      <c r="G27" s="65" t="s">
        <v>907</v>
      </c>
      <c r="H27" s="95"/>
      <c r="I27" s="95"/>
      <c r="J27" s="96"/>
    </row>
    <row r="28" spans="1:10" s="29" customFormat="1" ht="16.5" customHeight="1" x14ac:dyDescent="0.25">
      <c r="A28" s="50"/>
      <c r="B28" s="51"/>
      <c r="C28" s="112"/>
      <c r="D28" s="67"/>
      <c r="E28" s="60"/>
      <c r="F28" s="61"/>
      <c r="G28" s="65"/>
      <c r="H28" s="95"/>
      <c r="I28" s="95"/>
      <c r="J28" s="96"/>
    </row>
    <row r="29" spans="1:10" s="29" customFormat="1" ht="16.5" customHeight="1" x14ac:dyDescent="0.25">
      <c r="A29" s="50"/>
      <c r="B29" s="51"/>
      <c r="C29" s="112"/>
      <c r="D29" s="67"/>
      <c r="E29" s="60"/>
      <c r="F29" s="61"/>
      <c r="G29" s="62" t="s">
        <v>6</v>
      </c>
      <c r="H29" s="110"/>
      <c r="I29" s="110"/>
      <c r="J29" s="111"/>
    </row>
    <row r="30" spans="1:10" s="29" customFormat="1" ht="16.5" customHeight="1" x14ac:dyDescent="0.25">
      <c r="A30" s="50"/>
      <c r="B30" s="51"/>
      <c r="C30" s="112"/>
      <c r="D30" s="67"/>
      <c r="E30" s="60"/>
      <c r="F30" s="61"/>
      <c r="G30" s="62"/>
      <c r="H30" s="110"/>
      <c r="I30" s="110"/>
      <c r="J30" s="111"/>
    </row>
    <row r="31" spans="1:10" s="29" customFormat="1" ht="16.5" customHeight="1" x14ac:dyDescent="0.25">
      <c r="A31" s="50"/>
      <c r="B31" s="51"/>
      <c r="C31" s="66"/>
      <c r="D31" s="67"/>
      <c r="E31" s="60"/>
      <c r="F31" s="61"/>
      <c r="G31" s="62" t="s">
        <v>913</v>
      </c>
      <c r="H31" s="63"/>
      <c r="I31" s="63"/>
      <c r="J31" s="64"/>
    </row>
    <row r="32" spans="1:10" s="29" customFormat="1" ht="16.5" customHeight="1" x14ac:dyDescent="0.25">
      <c r="A32" s="50"/>
      <c r="B32" s="51"/>
      <c r="C32" s="66"/>
      <c r="D32" s="67"/>
      <c r="E32" s="60"/>
      <c r="F32" s="61"/>
      <c r="G32" s="62"/>
      <c r="H32" s="63"/>
      <c r="I32" s="63"/>
      <c r="J32" s="64"/>
    </row>
    <row r="33" spans="1:10" s="29" customFormat="1" ht="16.5" customHeight="1" x14ac:dyDescent="0.25">
      <c r="A33" s="50"/>
      <c r="B33" s="51"/>
      <c r="C33" s="66"/>
      <c r="D33" s="67"/>
      <c r="E33" s="60"/>
      <c r="F33" s="61"/>
      <c r="G33" s="57"/>
      <c r="H33" s="58"/>
      <c r="I33" s="58"/>
      <c r="J33" s="59"/>
    </row>
    <row r="34" spans="1:10" s="29" customFormat="1" ht="16.5" customHeight="1" x14ac:dyDescent="0.25">
      <c r="A34" s="50"/>
      <c r="B34" s="51"/>
      <c r="C34" s="66"/>
      <c r="D34" s="67"/>
      <c r="E34" s="60"/>
      <c r="F34" s="61"/>
      <c r="G34" s="57"/>
      <c r="H34" s="58"/>
      <c r="I34" s="58"/>
      <c r="J34" s="59"/>
    </row>
    <row r="35" spans="1:10" s="29" customFormat="1" ht="16.5" customHeight="1" x14ac:dyDescent="0.25">
      <c r="A35" s="52"/>
      <c r="B35" s="51"/>
      <c r="C35" s="66"/>
      <c r="D35" s="67"/>
      <c r="E35" s="60"/>
      <c r="F35" s="61"/>
      <c r="G35" s="57"/>
      <c r="H35" s="58"/>
      <c r="I35" s="58"/>
      <c r="J35" s="59"/>
    </row>
    <row r="36" spans="1:10" s="29" customFormat="1" ht="16.5" customHeight="1" x14ac:dyDescent="0.25">
      <c r="A36" s="52"/>
      <c r="B36" s="51"/>
      <c r="C36" s="66"/>
      <c r="D36" s="67"/>
      <c r="E36" s="60"/>
      <c r="F36" s="61"/>
      <c r="G36" s="57"/>
      <c r="H36" s="58"/>
      <c r="I36" s="58"/>
      <c r="J36" s="59"/>
    </row>
    <row r="37" spans="1:10" s="29" customFormat="1" ht="16.5" customHeight="1" x14ac:dyDescent="0.25">
      <c r="A37" s="52"/>
      <c r="B37" s="51"/>
      <c r="C37" s="66"/>
      <c r="D37" s="67"/>
      <c r="E37" s="60"/>
      <c r="F37" s="61"/>
      <c r="G37" s="57"/>
      <c r="H37" s="58"/>
      <c r="I37" s="58"/>
      <c r="J37" s="59"/>
    </row>
    <row r="38" spans="1:10" s="29" customFormat="1" ht="16.5" customHeight="1" x14ac:dyDescent="0.25">
      <c r="A38" s="52"/>
      <c r="B38" s="51"/>
      <c r="C38" s="66"/>
      <c r="D38" s="67"/>
      <c r="E38" s="60"/>
      <c r="F38" s="61"/>
      <c r="G38" s="57"/>
      <c r="H38" s="58"/>
      <c r="I38" s="58"/>
      <c r="J38" s="59"/>
    </row>
    <row r="39" spans="1:10" s="29" customFormat="1" ht="16.5" customHeight="1" x14ac:dyDescent="0.25">
      <c r="A39" s="52"/>
      <c r="B39" s="51"/>
      <c r="C39" s="66"/>
      <c r="D39" s="67"/>
      <c r="E39" s="60"/>
      <c r="F39" s="61"/>
      <c r="G39" s="57" t="s">
        <v>915</v>
      </c>
      <c r="H39" s="58"/>
      <c r="I39" s="58"/>
      <c r="J39" s="59"/>
    </row>
    <row r="40" spans="1:10" s="29" customFormat="1" ht="36" customHeight="1" x14ac:dyDescent="0.25">
      <c r="A40" s="87"/>
      <c r="B40" s="88"/>
      <c r="C40" s="71"/>
      <c r="D40" s="72"/>
      <c r="E40" s="73"/>
      <c r="F40" s="74"/>
      <c r="G40" s="26" t="s">
        <v>916</v>
      </c>
      <c r="H40" s="89">
        <f>H27</f>
        <v>0</v>
      </c>
      <c r="I40" s="89"/>
      <c r="J40" s="90"/>
    </row>
    <row r="41" spans="1:10" s="29" customFormat="1" ht="16.5" customHeight="1" x14ac:dyDescent="0.25">
      <c r="A41" s="91" t="s">
        <v>914</v>
      </c>
      <c r="B41" s="92"/>
      <c r="C41" s="71"/>
      <c r="D41" s="72"/>
      <c r="E41" s="73"/>
      <c r="F41" s="74"/>
      <c r="G41" s="26" t="s">
        <v>917</v>
      </c>
      <c r="H41" s="83"/>
      <c r="I41" s="83"/>
      <c r="J41" s="84"/>
    </row>
    <row r="42" spans="1:10" s="29" customFormat="1" ht="33.75" customHeight="1" x14ac:dyDescent="0.25">
      <c r="A42" s="77"/>
      <c r="B42" s="78"/>
      <c r="C42" s="71"/>
      <c r="D42" s="72"/>
      <c r="E42" s="73"/>
      <c r="F42" s="74"/>
      <c r="G42" s="26" t="s">
        <v>918</v>
      </c>
      <c r="H42" s="85"/>
      <c r="I42" s="85"/>
      <c r="J42" s="86"/>
    </row>
    <row r="43" spans="1:10" s="29" customFormat="1" ht="31.5" customHeight="1" x14ac:dyDescent="0.25">
      <c r="A43" s="77"/>
      <c r="B43" s="78"/>
      <c r="C43" s="71"/>
      <c r="D43" s="72"/>
      <c r="E43" s="73"/>
      <c r="F43" s="74"/>
      <c r="G43" s="26" t="s">
        <v>898</v>
      </c>
      <c r="H43" s="83"/>
      <c r="I43" s="83"/>
      <c r="J43" s="84"/>
    </row>
    <row r="44" spans="1:10" s="29" customFormat="1" ht="26.25" customHeight="1" x14ac:dyDescent="0.25">
      <c r="A44" s="79"/>
      <c r="B44" s="80"/>
      <c r="C44" s="71"/>
      <c r="D44" s="72"/>
      <c r="E44" s="73"/>
      <c r="F44" s="74"/>
      <c r="G44" s="26" t="s">
        <v>919</v>
      </c>
      <c r="H44" s="83"/>
      <c r="I44" s="83"/>
      <c r="J44" s="84"/>
    </row>
    <row r="45" spans="1:10" s="29" customFormat="1" ht="32.25" customHeight="1" x14ac:dyDescent="0.25">
      <c r="A45" s="79"/>
      <c r="B45" s="80"/>
      <c r="C45" s="71"/>
      <c r="D45" s="72"/>
      <c r="E45" s="73"/>
      <c r="F45" s="74"/>
      <c r="G45" s="26" t="s">
        <v>920</v>
      </c>
      <c r="H45" s="83"/>
      <c r="I45" s="83"/>
      <c r="J45" s="84"/>
    </row>
    <row r="46" spans="1:10" s="29" customFormat="1" ht="26.45" customHeight="1" x14ac:dyDescent="0.25">
      <c r="A46" s="79"/>
      <c r="B46" s="80"/>
      <c r="C46" s="71"/>
      <c r="D46" s="72"/>
      <c r="E46" s="73"/>
      <c r="F46" s="74"/>
      <c r="G46" s="65" t="s">
        <v>921</v>
      </c>
      <c r="H46" s="110"/>
      <c r="I46" s="110"/>
      <c r="J46" s="111"/>
    </row>
    <row r="47" spans="1:10" s="29" customFormat="1" ht="25.15" customHeight="1" x14ac:dyDescent="0.25">
      <c r="A47" s="87" t="s">
        <v>922</v>
      </c>
      <c r="B47" s="88"/>
      <c r="C47" s="71"/>
      <c r="D47" s="72"/>
      <c r="E47" s="73"/>
      <c r="F47" s="74"/>
      <c r="G47" s="65"/>
      <c r="H47" s="110"/>
      <c r="I47" s="110"/>
      <c r="J47" s="111"/>
    </row>
    <row r="48" spans="1:10" s="29" customFormat="1" ht="16.5" customHeight="1" x14ac:dyDescent="0.25">
      <c r="A48" s="77"/>
      <c r="B48" s="78"/>
      <c r="C48" s="71"/>
      <c r="D48" s="72"/>
      <c r="E48" s="73"/>
      <c r="F48" s="74"/>
      <c r="G48" s="65"/>
      <c r="H48" s="110"/>
      <c r="I48" s="110"/>
      <c r="J48" s="111"/>
    </row>
    <row r="49" spans="1:10" s="29" customFormat="1" ht="16.5" customHeight="1" x14ac:dyDescent="0.25">
      <c r="A49" s="77"/>
      <c r="B49" s="78"/>
      <c r="C49" s="71"/>
      <c r="D49" s="72"/>
      <c r="E49" s="73"/>
      <c r="F49" s="74"/>
      <c r="J49" s="35"/>
    </row>
    <row r="50" spans="1:10" s="29" customFormat="1" ht="24" customHeight="1" thickBot="1" x14ac:dyDescent="0.3">
      <c r="A50" s="81"/>
      <c r="B50" s="82"/>
      <c r="C50" s="71"/>
      <c r="D50" s="72"/>
      <c r="E50" s="75"/>
      <c r="F50" s="76"/>
      <c r="G50" s="46"/>
      <c r="H50" s="47"/>
      <c r="I50" s="47"/>
      <c r="J50" s="48"/>
    </row>
    <row r="51" spans="1:10" s="29" customFormat="1" ht="6" customHeight="1" thickBot="1" x14ac:dyDescent="0.3">
      <c r="A51" s="147"/>
      <c r="B51" s="148"/>
      <c r="C51" s="38"/>
      <c r="J51" s="35"/>
    </row>
    <row r="52" spans="1:10" s="29" customFormat="1" ht="33" customHeight="1" thickTop="1" x14ac:dyDescent="0.25">
      <c r="A52" s="149"/>
      <c r="B52" s="121"/>
      <c r="C52" s="121"/>
      <c r="D52" s="150"/>
      <c r="E52" s="151">
        <f>SUM(E27:F50)</f>
        <v>0</v>
      </c>
      <c r="F52" s="152"/>
      <c r="G52" s="153" t="e">
        <f ca="1">Apalabra(E52)</f>
        <v>#NAME?</v>
      </c>
      <c r="H52" s="154"/>
      <c r="I52" s="154"/>
      <c r="J52" s="155"/>
    </row>
    <row r="53" spans="1:10" s="29" customFormat="1" ht="20.25" customHeight="1" thickBot="1" x14ac:dyDescent="0.3">
      <c r="A53" s="156" t="s">
        <v>923</v>
      </c>
      <c r="B53" s="157"/>
      <c r="C53" s="157"/>
      <c r="D53" s="157"/>
      <c r="E53" s="157"/>
      <c r="F53" s="157"/>
      <c r="G53" s="157"/>
      <c r="H53" s="157"/>
      <c r="I53" s="157"/>
      <c r="J53" s="158"/>
    </row>
    <row r="54" spans="1:10" s="29" customFormat="1" ht="21" customHeight="1" thickTop="1" x14ac:dyDescent="0.25">
      <c r="A54" s="159" t="s">
        <v>888</v>
      </c>
      <c r="B54" s="70"/>
      <c r="C54" s="70"/>
      <c r="D54" s="70"/>
      <c r="E54" s="70"/>
      <c r="F54" s="160" t="s">
        <v>908</v>
      </c>
      <c r="G54" s="161"/>
      <c r="H54" s="162"/>
      <c r="I54" s="160" t="s">
        <v>909</v>
      </c>
      <c r="J54" s="163"/>
    </row>
    <row r="55" spans="1:10" s="29" customFormat="1" ht="30" customHeight="1" x14ac:dyDescent="0.25">
      <c r="A55" s="159"/>
      <c r="B55" s="70"/>
      <c r="C55" s="70"/>
      <c r="D55" s="70"/>
      <c r="E55" s="164"/>
      <c r="F55" s="168"/>
      <c r="G55" s="169"/>
      <c r="H55" s="170"/>
      <c r="I55" s="168"/>
      <c r="J55" s="174"/>
    </row>
    <row r="56" spans="1:10" s="29" customFormat="1" ht="15" customHeight="1" x14ac:dyDescent="0.25">
      <c r="A56" s="159"/>
      <c r="B56" s="70"/>
      <c r="C56" s="70"/>
      <c r="D56" s="70"/>
      <c r="E56" s="164"/>
      <c r="F56" s="168"/>
      <c r="G56" s="169"/>
      <c r="H56" s="170"/>
      <c r="I56" s="168"/>
      <c r="J56" s="174"/>
    </row>
    <row r="57" spans="1:10" s="29" customFormat="1" ht="15" customHeight="1" x14ac:dyDescent="0.25">
      <c r="A57" s="159"/>
      <c r="B57" s="70"/>
      <c r="C57" s="70"/>
      <c r="D57" s="70"/>
      <c r="E57" s="164"/>
      <c r="F57" s="168"/>
      <c r="G57" s="169"/>
      <c r="H57" s="170"/>
      <c r="I57" s="168"/>
      <c r="J57" s="174"/>
    </row>
    <row r="58" spans="1:10" s="29" customFormat="1" ht="15" customHeight="1" x14ac:dyDescent="0.25">
      <c r="A58" s="159"/>
      <c r="B58" s="70"/>
      <c r="C58" s="70"/>
      <c r="D58" s="70"/>
      <c r="E58" s="164"/>
      <c r="F58" s="168"/>
      <c r="G58" s="169"/>
      <c r="H58" s="170"/>
      <c r="I58" s="168"/>
      <c r="J58" s="174"/>
    </row>
    <row r="59" spans="1:10" s="29" customFormat="1" ht="42" customHeight="1" x14ac:dyDescent="0.25">
      <c r="A59" s="165"/>
      <c r="B59" s="166"/>
      <c r="C59" s="166"/>
      <c r="D59" s="166"/>
      <c r="E59" s="167"/>
      <c r="F59" s="171"/>
      <c r="G59" s="172"/>
      <c r="H59" s="173"/>
      <c r="I59" s="171"/>
      <c r="J59" s="175"/>
    </row>
    <row r="60" spans="1:10" s="29" customFormat="1" ht="96" customHeight="1" x14ac:dyDescent="0.25">
      <c r="A60" s="176" t="s">
        <v>887</v>
      </c>
      <c r="B60" s="177"/>
      <c r="C60" s="177"/>
      <c r="D60" s="177"/>
      <c r="E60" s="178"/>
      <c r="F60" s="179"/>
      <c r="G60" s="179"/>
      <c r="H60" s="180"/>
      <c r="I60" s="181"/>
      <c r="J60" s="182"/>
    </row>
    <row r="61" spans="1:10" s="29" customFormat="1" ht="16.5" customHeight="1" thickBot="1" x14ac:dyDescent="0.3">
      <c r="A61" s="183"/>
      <c r="B61" s="184"/>
      <c r="C61" s="184"/>
      <c r="D61" s="184"/>
      <c r="E61" s="184"/>
      <c r="F61" s="184"/>
      <c r="G61" s="184"/>
      <c r="H61" s="184"/>
      <c r="I61" s="184"/>
      <c r="J61" s="185"/>
    </row>
    <row r="62" spans="1:10" s="29" customFormat="1" ht="21" customHeight="1" thickTop="1" x14ac:dyDescent="0.25">
      <c r="A62" s="68"/>
      <c r="B62" s="69"/>
      <c r="C62" s="69"/>
      <c r="D62" s="69"/>
      <c r="E62" s="186"/>
      <c r="F62" s="69"/>
      <c r="G62" s="69"/>
      <c r="H62" s="69"/>
      <c r="I62" s="160" t="s">
        <v>909</v>
      </c>
      <c r="J62" s="163"/>
    </row>
    <row r="63" spans="1:10" s="29" customFormat="1" ht="86.25" customHeight="1" x14ac:dyDescent="0.25">
      <c r="A63" s="187"/>
      <c r="B63" s="188"/>
      <c r="C63" s="188"/>
      <c r="D63" s="188"/>
      <c r="E63" s="189"/>
      <c r="F63" s="70"/>
      <c r="G63" s="70"/>
      <c r="H63" s="70"/>
      <c r="I63" s="190"/>
      <c r="J63" s="191"/>
    </row>
    <row r="64" spans="1:10" s="29" customFormat="1" ht="54" customHeight="1" x14ac:dyDescent="0.25">
      <c r="A64" s="192"/>
      <c r="B64" s="193"/>
      <c r="C64" s="193"/>
      <c r="D64" s="193"/>
      <c r="E64" s="194"/>
      <c r="F64" s="166"/>
      <c r="G64" s="166"/>
      <c r="H64" s="166"/>
      <c r="I64" s="195"/>
      <c r="J64" s="196"/>
    </row>
    <row r="65" spans="1:10" s="29" customFormat="1" ht="31.5" customHeight="1" x14ac:dyDescent="0.25">
      <c r="A65" s="53"/>
      <c r="B65" s="54"/>
      <c r="C65" s="54"/>
      <c r="D65" s="54"/>
      <c r="E65" s="54"/>
      <c r="F65" s="55"/>
      <c r="G65" s="55"/>
      <c r="H65" s="55"/>
      <c r="I65" s="55"/>
      <c r="J65" s="56"/>
    </row>
    <row r="66" spans="1:10" s="29" customFormat="1" ht="5.45" customHeight="1" x14ac:dyDescent="0.25">
      <c r="A66" s="30"/>
      <c r="E66" s="36"/>
      <c r="F66" s="36"/>
      <c r="G66" s="36"/>
      <c r="H66" s="36"/>
      <c r="J66" s="35"/>
    </row>
  </sheetData>
  <sheetProtection formatCells="0" formatColumns="0" formatRows="0" insertColumns="0" insertRows="0" deleteColumns="0" deleteRows="0" sort="0" autoFilter="0" pivotTables="0"/>
  <dataConsolidate/>
  <mergeCells count="84"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  <mergeCell ref="A53:J53"/>
    <mergeCell ref="A54:E54"/>
    <mergeCell ref="F54:H54"/>
    <mergeCell ref="I54:J54"/>
    <mergeCell ref="A55:E59"/>
    <mergeCell ref="F55:H59"/>
    <mergeCell ref="I55:J59"/>
    <mergeCell ref="H46:J48"/>
    <mergeCell ref="A47:B47"/>
    <mergeCell ref="A51:B51"/>
    <mergeCell ref="A52:D52"/>
    <mergeCell ref="E52:F52"/>
    <mergeCell ref="G52:J52"/>
    <mergeCell ref="A15:E15"/>
    <mergeCell ref="H15:H16"/>
    <mergeCell ref="I15:J16"/>
    <mergeCell ref="F15:G16"/>
    <mergeCell ref="A22:J22"/>
    <mergeCell ref="H17:H20"/>
    <mergeCell ref="I17:J20"/>
    <mergeCell ref="I9:J9"/>
    <mergeCell ref="A12:D12"/>
    <mergeCell ref="F12:J12"/>
    <mergeCell ref="F13:J14"/>
    <mergeCell ref="F9:H9"/>
    <mergeCell ref="I1:J1"/>
    <mergeCell ref="D2:J2"/>
    <mergeCell ref="D3:J3"/>
    <mergeCell ref="A4:F4"/>
    <mergeCell ref="A6:J6"/>
    <mergeCell ref="A26:B26"/>
    <mergeCell ref="G27:G28"/>
    <mergeCell ref="H27:J28"/>
    <mergeCell ref="B20:E20"/>
    <mergeCell ref="A25:B25"/>
    <mergeCell ref="E25:F25"/>
    <mergeCell ref="G25:J25"/>
    <mergeCell ref="F17:G20"/>
    <mergeCell ref="A23:J23"/>
    <mergeCell ref="A27:B30"/>
    <mergeCell ref="E27:F30"/>
    <mergeCell ref="G29:G30"/>
    <mergeCell ref="H29:J30"/>
    <mergeCell ref="C27:C30"/>
    <mergeCell ref="D27:D30"/>
    <mergeCell ref="C40:C50"/>
    <mergeCell ref="D40:D50"/>
    <mergeCell ref="E40:F50"/>
    <mergeCell ref="A42:B43"/>
    <mergeCell ref="A44:B46"/>
    <mergeCell ref="A48:B50"/>
    <mergeCell ref="H41:J41"/>
    <mergeCell ref="H42:J42"/>
    <mergeCell ref="H43:J43"/>
    <mergeCell ref="A40:B40"/>
    <mergeCell ref="H40:J40"/>
    <mergeCell ref="A41:B41"/>
    <mergeCell ref="H44:J44"/>
    <mergeCell ref="H45:J45"/>
    <mergeCell ref="A31:B34"/>
    <mergeCell ref="A35:B39"/>
    <mergeCell ref="A65:J65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</mergeCells>
  <phoneticPr fontId="8" type="noConversion"/>
  <conditionalFormatting sqref="I60:J60">
    <cfRule type="containsErrors" dxfId="3" priority="3">
      <formula>ISERROR(I60)</formula>
    </cfRule>
    <cfRule type="cellIs" dxfId="2" priority="4" operator="equal">
      <formula>0</formula>
    </cfRule>
  </conditionalFormatting>
  <conditionalFormatting sqref="I64:J64">
    <cfRule type="containsErrors" dxfId="1" priority="2">
      <formula>ISERROR(I64)</formula>
    </cfRule>
  </conditionalFormatting>
  <conditionalFormatting sqref="H40:J40">
    <cfRule type="containsErrors" dxfId="0" priority="1">
      <formula>ISERROR(H40)</formula>
    </cfRule>
  </conditionalFormatting>
  <dataValidations xWindow="137" yWindow="420" count="1">
    <dataValidation type="list" allowBlank="1" showInputMessage="1" showErrorMessage="1" sqref="D35" xr:uid="{72D3A89D-817C-4FF0-9D9F-4F2F112ECFCB}">
      <formula1>INDIRECT(C35)</formula1>
    </dataValidation>
  </dataValidations>
  <pageMargins left="0.97" right="0.53" top="0.43" bottom="0.4" header="0.3" footer="0.3"/>
  <pageSetup scale="3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2">
        <x14:dataValidation type="list" allowBlank="1" showInputMessage="1" showErrorMessage="1" xr:uid="{2D33128D-CD14-4C41-82DC-27DE3EB8C76A}">
          <x14:formula1>
            <xm:f>proyecto!$B$2:$B$37</xm:f>
          </x14:formula1>
          <xm:sqref>C27:C39</xm:sqref>
        </x14:dataValidation>
        <x14:dataValidation type="list" allowBlank="1" showInputMessage="1" showErrorMessage="1" xr:uid="{E3FC9DB4-1B2F-4258-987C-A93436CA5FAC}">
          <x14:formula1>
            <xm:f>proyecto!$B$2:$B$57</xm:f>
          </x14:formula1>
          <xm:sqref>D27:D34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97" t="s">
        <v>5</v>
      </c>
      <c r="F1" s="198"/>
      <c r="G1" s="199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2:B117"/>
  <sheetViews>
    <sheetView topLeftCell="A25" workbookViewId="0">
      <selection activeCell="B2" sqref="B2:B57"/>
    </sheetView>
  </sheetViews>
  <sheetFormatPr baseColWidth="10" defaultRowHeight="15" x14ac:dyDescent="0.25"/>
  <cols>
    <col min="1" max="1" width="119.85546875" bestFit="1" customWidth="1"/>
    <col min="2" max="3" width="16.28515625" bestFit="1" customWidth="1"/>
    <col min="9" max="9" width="34.85546875" bestFit="1" customWidth="1"/>
    <col min="10" max="10" width="16.85546875" bestFit="1" customWidth="1"/>
  </cols>
  <sheetData>
    <row r="2" spans="1:2" x14ac:dyDescent="0.25">
      <c r="A2" t="s">
        <v>932</v>
      </c>
      <c r="B2" s="49" t="s">
        <v>979</v>
      </c>
    </row>
    <row r="3" spans="1:2" x14ac:dyDescent="0.25">
      <c r="A3" t="s">
        <v>890</v>
      </c>
      <c r="B3" s="49" t="s">
        <v>980</v>
      </c>
    </row>
    <row r="4" spans="1:2" x14ac:dyDescent="0.25">
      <c r="B4" s="49" t="s">
        <v>981</v>
      </c>
    </row>
    <row r="5" spans="1:2" x14ac:dyDescent="0.25">
      <c r="A5" t="s">
        <v>933</v>
      </c>
      <c r="B5" s="49" t="s">
        <v>982</v>
      </c>
    </row>
    <row r="6" spans="1:2" x14ac:dyDescent="0.25">
      <c r="A6" t="s">
        <v>890</v>
      </c>
      <c r="B6" s="49" t="s">
        <v>983</v>
      </c>
    </row>
    <row r="7" spans="1:2" x14ac:dyDescent="0.25">
      <c r="B7" s="49" t="s">
        <v>984</v>
      </c>
    </row>
    <row r="8" spans="1:2" x14ac:dyDescent="0.25">
      <c r="A8" t="s">
        <v>934</v>
      </c>
      <c r="B8" s="49" t="s">
        <v>985</v>
      </c>
    </row>
    <row r="9" spans="1:2" x14ac:dyDescent="0.25">
      <c r="A9" t="s">
        <v>890</v>
      </c>
      <c r="B9" s="49" t="s">
        <v>986</v>
      </c>
    </row>
    <row r="10" spans="1:2" x14ac:dyDescent="0.25">
      <c r="B10" s="49" t="s">
        <v>987</v>
      </c>
    </row>
    <row r="11" spans="1:2" x14ac:dyDescent="0.25">
      <c r="A11" t="s">
        <v>935</v>
      </c>
      <c r="B11" s="49" t="s">
        <v>988</v>
      </c>
    </row>
    <row r="12" spans="1:2" x14ac:dyDescent="0.25">
      <c r="A12" t="s">
        <v>890</v>
      </c>
      <c r="B12" s="49" t="s">
        <v>989</v>
      </c>
    </row>
    <row r="13" spans="1:2" x14ac:dyDescent="0.25">
      <c r="B13" s="49" t="s">
        <v>990</v>
      </c>
    </row>
    <row r="14" spans="1:2" x14ac:dyDescent="0.25">
      <c r="A14" t="s">
        <v>936</v>
      </c>
      <c r="B14" s="49" t="s">
        <v>991</v>
      </c>
    </row>
    <row r="15" spans="1:2" x14ac:dyDescent="0.25">
      <c r="A15" t="s">
        <v>890</v>
      </c>
      <c r="B15" s="49" t="s">
        <v>992</v>
      </c>
    </row>
    <row r="16" spans="1:2" x14ac:dyDescent="0.25">
      <c r="B16" s="49" t="s">
        <v>993</v>
      </c>
    </row>
    <row r="17" spans="1:2" x14ac:dyDescent="0.25">
      <c r="A17" t="s">
        <v>937</v>
      </c>
      <c r="B17" s="49" t="s">
        <v>994</v>
      </c>
    </row>
    <row r="18" spans="1:2" x14ac:dyDescent="0.25">
      <c r="A18" t="s">
        <v>938</v>
      </c>
      <c r="B18" s="49" t="s">
        <v>995</v>
      </c>
    </row>
    <row r="19" spans="1:2" x14ac:dyDescent="0.25">
      <c r="B19" s="49" t="s">
        <v>996</v>
      </c>
    </row>
    <row r="20" spans="1:2" x14ac:dyDescent="0.25">
      <c r="A20" t="s">
        <v>939</v>
      </c>
      <c r="B20" s="49" t="s">
        <v>997</v>
      </c>
    </row>
    <row r="21" spans="1:2" x14ac:dyDescent="0.25">
      <c r="A21" t="s">
        <v>890</v>
      </c>
      <c r="B21" s="49" t="s">
        <v>998</v>
      </c>
    </row>
    <row r="22" spans="1:2" x14ac:dyDescent="0.25">
      <c r="B22" s="49" t="s">
        <v>999</v>
      </c>
    </row>
    <row r="23" spans="1:2" x14ac:dyDescent="0.25">
      <c r="A23" t="s">
        <v>940</v>
      </c>
      <c r="B23" s="49" t="s">
        <v>1000</v>
      </c>
    </row>
    <row r="24" spans="1:2" x14ac:dyDescent="0.25">
      <c r="A24" t="s">
        <v>890</v>
      </c>
      <c r="B24" s="49" t="s">
        <v>926</v>
      </c>
    </row>
    <row r="25" spans="1:2" x14ac:dyDescent="0.25">
      <c r="B25" s="49" t="s">
        <v>927</v>
      </c>
    </row>
    <row r="26" spans="1:2" x14ac:dyDescent="0.25">
      <c r="A26" t="s">
        <v>941</v>
      </c>
      <c r="B26" s="49" t="s">
        <v>1001</v>
      </c>
    </row>
    <row r="27" spans="1:2" x14ac:dyDescent="0.25">
      <c r="A27" t="s">
        <v>890</v>
      </c>
      <c r="B27" s="49" t="s">
        <v>928</v>
      </c>
    </row>
    <row r="28" spans="1:2" x14ac:dyDescent="0.25">
      <c r="B28" s="49" t="s">
        <v>1002</v>
      </c>
    </row>
    <row r="29" spans="1:2" x14ac:dyDescent="0.25">
      <c r="A29" t="s">
        <v>942</v>
      </c>
      <c r="B29" s="49" t="s">
        <v>1003</v>
      </c>
    </row>
    <row r="30" spans="1:2" x14ac:dyDescent="0.25">
      <c r="A30" t="s">
        <v>890</v>
      </c>
      <c r="B30" s="49" t="s">
        <v>1004</v>
      </c>
    </row>
    <row r="31" spans="1:2" x14ac:dyDescent="0.25">
      <c r="B31" s="49" t="s">
        <v>929</v>
      </c>
    </row>
    <row r="32" spans="1:2" x14ac:dyDescent="0.25">
      <c r="A32" t="s">
        <v>943</v>
      </c>
      <c r="B32" s="49" t="s">
        <v>930</v>
      </c>
    </row>
    <row r="33" spans="1:2" x14ac:dyDescent="0.25">
      <c r="A33" t="s">
        <v>890</v>
      </c>
      <c r="B33" s="49" t="s">
        <v>1005</v>
      </c>
    </row>
    <row r="34" spans="1:2" x14ac:dyDescent="0.25">
      <c r="B34" s="49" t="s">
        <v>1006</v>
      </c>
    </row>
    <row r="35" spans="1:2" x14ac:dyDescent="0.25">
      <c r="A35" t="s">
        <v>944</v>
      </c>
      <c r="B35" s="49" t="s">
        <v>931</v>
      </c>
    </row>
    <row r="36" spans="1:2" x14ac:dyDescent="0.25">
      <c r="A36" t="s">
        <v>945</v>
      </c>
      <c r="B36" s="49" t="s">
        <v>1007</v>
      </c>
    </row>
    <row r="37" spans="1:2" x14ac:dyDescent="0.25">
      <c r="B37" s="49" t="s">
        <v>1008</v>
      </c>
    </row>
    <row r="38" spans="1:2" x14ac:dyDescent="0.25">
      <c r="A38" t="s">
        <v>946</v>
      </c>
      <c r="B38" s="49" t="s">
        <v>1009</v>
      </c>
    </row>
    <row r="39" spans="1:2" x14ac:dyDescent="0.25">
      <c r="A39" t="s">
        <v>890</v>
      </c>
      <c r="B39" s="49" t="s">
        <v>1010</v>
      </c>
    </row>
    <row r="40" spans="1:2" x14ac:dyDescent="0.25">
      <c r="B40" s="49" t="s">
        <v>1011</v>
      </c>
    </row>
    <row r="41" spans="1:2" x14ac:dyDescent="0.25">
      <c r="A41" t="s">
        <v>947</v>
      </c>
      <c r="B41" s="49" t="s">
        <v>1012</v>
      </c>
    </row>
    <row r="42" spans="1:2" x14ac:dyDescent="0.25">
      <c r="A42" t="s">
        <v>890</v>
      </c>
      <c r="B42" s="49" t="s">
        <v>1013</v>
      </c>
    </row>
    <row r="43" spans="1:2" x14ac:dyDescent="0.25">
      <c r="B43" s="49" t="s">
        <v>1014</v>
      </c>
    </row>
    <row r="44" spans="1:2" x14ac:dyDescent="0.25">
      <c r="A44" t="s">
        <v>948</v>
      </c>
      <c r="B44" s="49" t="s">
        <v>1015</v>
      </c>
    </row>
    <row r="45" spans="1:2" x14ac:dyDescent="0.25">
      <c r="A45" t="s">
        <v>949</v>
      </c>
      <c r="B45" s="49" t="s">
        <v>1016</v>
      </c>
    </row>
    <row r="46" spans="1:2" x14ac:dyDescent="0.25">
      <c r="B46" s="49" t="s">
        <v>1017</v>
      </c>
    </row>
    <row r="47" spans="1:2" x14ac:dyDescent="0.25">
      <c r="A47" t="s">
        <v>950</v>
      </c>
      <c r="B47" s="49" t="s">
        <v>1018</v>
      </c>
    </row>
    <row r="48" spans="1:2" x14ac:dyDescent="0.25">
      <c r="A48" t="s">
        <v>951</v>
      </c>
      <c r="B48" s="49" t="s">
        <v>1019</v>
      </c>
    </row>
    <row r="49" spans="1:2" x14ac:dyDescent="0.25">
      <c r="B49" s="49" t="s">
        <v>1020</v>
      </c>
    </row>
    <row r="50" spans="1:2" x14ac:dyDescent="0.25">
      <c r="A50" t="s">
        <v>952</v>
      </c>
      <c r="B50" s="49" t="s">
        <v>1021</v>
      </c>
    </row>
    <row r="51" spans="1:2" x14ac:dyDescent="0.25">
      <c r="A51" t="s">
        <v>949</v>
      </c>
      <c r="B51" s="49" t="s">
        <v>1022</v>
      </c>
    </row>
    <row r="52" spans="1:2" x14ac:dyDescent="0.25">
      <c r="B52" s="49" t="s">
        <v>1023</v>
      </c>
    </row>
    <row r="53" spans="1:2" x14ac:dyDescent="0.25">
      <c r="A53" t="s">
        <v>953</v>
      </c>
      <c r="B53" s="49" t="s">
        <v>1024</v>
      </c>
    </row>
    <row r="54" spans="1:2" x14ac:dyDescent="0.25">
      <c r="A54" t="s">
        <v>938</v>
      </c>
      <c r="B54" s="49" t="s">
        <v>1025</v>
      </c>
    </row>
    <row r="55" spans="1:2" x14ac:dyDescent="0.25">
      <c r="B55" s="49" t="s">
        <v>1026</v>
      </c>
    </row>
    <row r="56" spans="1:2" x14ac:dyDescent="0.25">
      <c r="A56" t="s">
        <v>954</v>
      </c>
      <c r="B56" s="49" t="s">
        <v>1027</v>
      </c>
    </row>
    <row r="57" spans="1:2" x14ac:dyDescent="0.25">
      <c r="A57" t="s">
        <v>951</v>
      </c>
      <c r="B57" s="49" t="s">
        <v>1028</v>
      </c>
    </row>
    <row r="59" spans="1:2" x14ac:dyDescent="0.25">
      <c r="A59" t="s">
        <v>955</v>
      </c>
    </row>
    <row r="60" spans="1:2" x14ac:dyDescent="0.25">
      <c r="A60" t="s">
        <v>956</v>
      </c>
    </row>
    <row r="61" spans="1:2" x14ac:dyDescent="0.25">
      <c r="A61" t="s">
        <v>957</v>
      </c>
    </row>
    <row r="62" spans="1:2" x14ac:dyDescent="0.25">
      <c r="A62" t="s">
        <v>938</v>
      </c>
    </row>
    <row r="63" spans="1:2" x14ac:dyDescent="0.25">
      <c r="A63" t="s">
        <v>958</v>
      </c>
    </row>
    <row r="64" spans="1:2" x14ac:dyDescent="0.25">
      <c r="A64" t="s">
        <v>959</v>
      </c>
    </row>
    <row r="66" spans="1:1" x14ac:dyDescent="0.25">
      <c r="A66" t="s">
        <v>960</v>
      </c>
    </row>
    <row r="67" spans="1:1" x14ac:dyDescent="0.25">
      <c r="A67" t="s">
        <v>956</v>
      </c>
    </row>
    <row r="69" spans="1:1" x14ac:dyDescent="0.25">
      <c r="A69" t="s">
        <v>961</v>
      </c>
    </row>
    <row r="70" spans="1:1" x14ac:dyDescent="0.25">
      <c r="A70" t="s">
        <v>949</v>
      </c>
    </row>
    <row r="72" spans="1:1" x14ac:dyDescent="0.25">
      <c r="A72" t="s">
        <v>962</v>
      </c>
    </row>
    <row r="73" spans="1:1" x14ac:dyDescent="0.25">
      <c r="A73" t="s">
        <v>963</v>
      </c>
    </row>
    <row r="74" spans="1:1" x14ac:dyDescent="0.25">
      <c r="A74" t="s">
        <v>938</v>
      </c>
    </row>
    <row r="75" spans="1:1" x14ac:dyDescent="0.25">
      <c r="A75" t="s">
        <v>893</v>
      </c>
    </row>
    <row r="77" spans="1:1" x14ac:dyDescent="0.25">
      <c r="A77" t="s">
        <v>964</v>
      </c>
    </row>
    <row r="78" spans="1:1" x14ac:dyDescent="0.25">
      <c r="A78" t="s">
        <v>949</v>
      </c>
    </row>
    <row r="80" spans="1:1" x14ac:dyDescent="0.25">
      <c r="A80" t="s">
        <v>965</v>
      </c>
    </row>
    <row r="81" spans="1:1" x14ac:dyDescent="0.25">
      <c r="A81" t="s">
        <v>893</v>
      </c>
    </row>
    <row r="82" spans="1:1" x14ac:dyDescent="0.25">
      <c r="A82" t="s">
        <v>949</v>
      </c>
    </row>
    <row r="83" spans="1:1" x14ac:dyDescent="0.25">
      <c r="A83" t="s">
        <v>966</v>
      </c>
    </row>
    <row r="84" spans="1:1" x14ac:dyDescent="0.25">
      <c r="A84" t="s">
        <v>893</v>
      </c>
    </row>
    <row r="86" spans="1:1" x14ac:dyDescent="0.25">
      <c r="A86" t="s">
        <v>967</v>
      </c>
    </row>
    <row r="87" spans="1:1" x14ac:dyDescent="0.25">
      <c r="A87" t="s">
        <v>893</v>
      </c>
    </row>
    <row r="89" spans="1:1" x14ac:dyDescent="0.25">
      <c r="A89" t="s">
        <v>968</v>
      </c>
    </row>
    <row r="90" spans="1:1" x14ac:dyDescent="0.25">
      <c r="A90" t="s">
        <v>892</v>
      </c>
    </row>
    <row r="92" spans="1:1" x14ac:dyDescent="0.25">
      <c r="A92" t="s">
        <v>969</v>
      </c>
    </row>
    <row r="93" spans="1:1" x14ac:dyDescent="0.25">
      <c r="A93" t="s">
        <v>949</v>
      </c>
    </row>
    <row r="95" spans="1:1" x14ac:dyDescent="0.25">
      <c r="A95" t="s">
        <v>970</v>
      </c>
    </row>
    <row r="96" spans="1:1" x14ac:dyDescent="0.25">
      <c r="A96" t="s">
        <v>956</v>
      </c>
    </row>
    <row r="97" spans="1:1" x14ac:dyDescent="0.25">
      <c r="A97" t="s">
        <v>959</v>
      </c>
    </row>
    <row r="99" spans="1:1" x14ac:dyDescent="0.25">
      <c r="A99" t="s">
        <v>971</v>
      </c>
    </row>
    <row r="100" spans="1:1" x14ac:dyDescent="0.25">
      <c r="A100" t="s">
        <v>959</v>
      </c>
    </row>
    <row r="102" spans="1:1" x14ac:dyDescent="0.25">
      <c r="A102" t="s">
        <v>972</v>
      </c>
    </row>
    <row r="103" spans="1:1" x14ac:dyDescent="0.25">
      <c r="A103" t="s">
        <v>949</v>
      </c>
    </row>
    <row r="104" spans="1:1" x14ac:dyDescent="0.25">
      <c r="A104" t="s">
        <v>956</v>
      </c>
    </row>
    <row r="105" spans="1:1" x14ac:dyDescent="0.25">
      <c r="A105" t="s">
        <v>959</v>
      </c>
    </row>
    <row r="106" spans="1:1" x14ac:dyDescent="0.25">
      <c r="A106" t="s">
        <v>893</v>
      </c>
    </row>
    <row r="108" spans="1:1" x14ac:dyDescent="0.25">
      <c r="A108" t="s">
        <v>973</v>
      </c>
    </row>
    <row r="109" spans="1:1" x14ac:dyDescent="0.25">
      <c r="A109" t="s">
        <v>974</v>
      </c>
    </row>
    <row r="110" spans="1:1" x14ac:dyDescent="0.25">
      <c r="A110" t="s">
        <v>949</v>
      </c>
    </row>
    <row r="112" spans="1:1" x14ac:dyDescent="0.25">
      <c r="A112" t="s">
        <v>975</v>
      </c>
    </row>
    <row r="113" spans="1:1" x14ac:dyDescent="0.25">
      <c r="A113" t="s">
        <v>949</v>
      </c>
    </row>
    <row r="115" spans="1:1" x14ac:dyDescent="0.25">
      <c r="A115" t="s">
        <v>976</v>
      </c>
    </row>
    <row r="116" spans="1:1" x14ac:dyDescent="0.25">
      <c r="A116" t="s">
        <v>891</v>
      </c>
    </row>
    <row r="117" spans="1:1" x14ac:dyDescent="0.25">
      <c r="A117" t="s">
        <v>889</v>
      </c>
    </row>
  </sheetData>
  <dataValidations count="1">
    <dataValidation type="list" allowBlank="1" showInputMessage="1" showErrorMessage="1" sqref="H2" xr:uid="{20991679-4576-426A-A8B9-BD1B4D8F3AA9}">
      <formula1>$L$2:$L$4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91</vt:i4>
      </vt:variant>
    </vt:vector>
  </HeadingPairs>
  <TitlesOfParts>
    <vt:vector size="95" baseType="lpstr">
      <vt:lpstr>PAGOS A TERCEROS Refrendo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E027QB03482201</vt:lpstr>
      <vt:lpstr>E027QB03482202</vt:lpstr>
      <vt:lpstr>E027QB03552201</vt:lpstr>
      <vt:lpstr>E027QB03552202</vt:lpstr>
      <vt:lpstr>E027QB03602202</vt:lpstr>
      <vt:lpstr>E027QB04882202</vt:lpstr>
      <vt:lpstr>E027QB04882203</vt:lpstr>
      <vt:lpstr>E027QB04882204</vt:lpstr>
      <vt:lpstr>E027QB04882301</vt:lpstr>
      <vt:lpstr>E027QB04882302</vt:lpstr>
      <vt:lpstr>E027QB04882303</vt:lpstr>
      <vt:lpstr>E027QB04952201</vt:lpstr>
      <vt:lpstr>E027QB04982201</vt:lpstr>
      <vt:lpstr>E027QB08012201</vt:lpstr>
      <vt:lpstr>E027QB24372202</vt:lpstr>
      <vt:lpstr>E027QB24412201</vt:lpstr>
      <vt:lpstr>E027QB37752201</vt:lpstr>
      <vt:lpstr>E027QC03402202</vt:lpstr>
      <vt:lpstr>E027QC03402203</vt:lpstr>
      <vt:lpstr>E027QC03402301</vt:lpstr>
      <vt:lpstr>E027QC03402302</vt:lpstr>
      <vt:lpstr>E027QC03422301</vt:lpstr>
      <vt:lpstr>E027QC03432301</vt:lpstr>
      <vt:lpstr>E027QC03432302</vt:lpstr>
      <vt:lpstr>E027QC03442202</vt:lpstr>
      <vt:lpstr>E027QC03442301</vt:lpstr>
      <vt:lpstr>E027QC03442302</vt:lpstr>
      <vt:lpstr>E027QC03682206</vt:lpstr>
      <vt:lpstr>E027QC03682209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E027QC03742201</vt:lpstr>
      <vt:lpstr>E027QC03742202</vt:lpstr>
      <vt:lpstr>E027QC03742301</vt:lpstr>
      <vt:lpstr>E027QC03742302</vt:lpstr>
      <vt:lpstr>E027QC03752202</vt:lpstr>
      <vt:lpstr>E027QC03752301</vt:lpstr>
      <vt:lpstr>E027QC03752302</vt:lpstr>
      <vt:lpstr>E027QC03752303</vt:lpstr>
      <vt:lpstr>E027QC03762201</vt:lpstr>
      <vt:lpstr>E027QC03762202</vt:lpstr>
      <vt:lpstr>E027QC03762301</vt:lpstr>
      <vt:lpstr>E027QC03762302</vt:lpstr>
      <vt:lpstr>E027QC03772202</vt:lpstr>
      <vt:lpstr>E027QC03772301</vt:lpstr>
      <vt:lpstr>E027QC03772302</vt:lpstr>
      <vt:lpstr>E027QC03772303</vt:lpstr>
      <vt:lpstr>E027QC03772304</vt:lpstr>
      <vt:lpstr>E027QC03782201</vt:lpstr>
      <vt:lpstr>E027QC03782301</vt:lpstr>
      <vt:lpstr>E027QC03792201</vt:lpstr>
      <vt:lpstr>E027QC03792205</vt:lpstr>
      <vt:lpstr>E027QC03792301</vt:lpstr>
      <vt:lpstr>E027QC03792302</vt:lpstr>
      <vt:lpstr>E027QC03792303</vt:lpstr>
      <vt:lpstr>E027QC03792304</vt:lpstr>
      <vt:lpstr>E027QC03802202</vt:lpstr>
      <vt:lpstr>E027QC03802207</vt:lpstr>
      <vt:lpstr>E027QC03802301</vt:lpstr>
      <vt:lpstr>E027QC03802302</vt:lpstr>
      <vt:lpstr>E027QC03802303</vt:lpstr>
      <vt:lpstr>E027QC03812201</vt:lpstr>
      <vt:lpstr>E027QC03812301</vt:lpstr>
      <vt:lpstr>E027QC04182301</vt:lpstr>
      <vt:lpstr>E027QC06222301</vt:lpstr>
      <vt:lpstr>E027QC06232301</vt:lpstr>
      <vt:lpstr>E027QC06242301</vt:lpstr>
      <vt:lpstr>E027QC32142203</vt:lpstr>
      <vt:lpstr>E027QC32142204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P000GB14002299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2023-01-18T17:05:30Z</cp:lastPrinted>
  <dcterms:created xsi:type="dcterms:W3CDTF">2016-02-08T15:52:06Z</dcterms:created>
  <dcterms:modified xsi:type="dcterms:W3CDTF">2024-01-10T18:13:42Z</dcterms:modified>
</cp:coreProperties>
</file>