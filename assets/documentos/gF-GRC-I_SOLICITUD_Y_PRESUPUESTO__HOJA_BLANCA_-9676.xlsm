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tramite\"/>
    </mc:Choice>
  </mc:AlternateContent>
  <bookViews>
    <workbookView xWindow="0" yWindow="0" windowWidth="28800" windowHeight="11730"/>
  </bookViews>
  <sheets>
    <sheet name="GCR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8"/>
  <definedNames>
    <definedName name="_xlnm._FilterDatabase" localSheetId="2" hidden="1">partida!$B$1:$C$1</definedName>
    <definedName name="CONCEPTO">GCR!$A$49:$A$55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20" l="1"/>
  <c r="D53" i="20"/>
  <c r="D50" i="20"/>
  <c r="D52" i="20"/>
  <c r="D51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5" i="20"/>
  <c r="B17" i="20" s="1"/>
  <c r="B42" i="22"/>
  <c r="B166" i="22"/>
  <c r="B45" i="22"/>
  <c r="C202" i="22"/>
  <c r="C240" i="22"/>
  <c r="B119" i="22"/>
  <c r="C235" i="22"/>
  <c r="C102" i="22"/>
  <c r="B177" i="22"/>
  <c r="B150" i="22"/>
  <c r="B50" i="22"/>
  <c r="B220" i="22"/>
  <c r="C30" i="22"/>
  <c r="C46" i="22"/>
  <c r="C124" i="22"/>
  <c r="B185" i="22"/>
  <c r="B32" i="22"/>
  <c r="C14" i="22"/>
  <c r="C210" i="22"/>
  <c r="C111" i="22"/>
  <c r="C32" i="22"/>
  <c r="B109" i="22"/>
  <c r="C234" i="22"/>
  <c r="B88" i="22"/>
  <c r="C43" i="22"/>
  <c r="B131" i="22"/>
  <c r="C108" i="22"/>
  <c r="B9" i="22"/>
  <c r="C38" i="22"/>
  <c r="C229" i="22"/>
  <c r="C183" i="22"/>
  <c r="D54" i="20"/>
  <c r="C170" i="22"/>
  <c r="C178" i="22"/>
  <c r="C201" i="22"/>
  <c r="B21" i="22"/>
  <c r="C100" i="22"/>
  <c r="B90" i="22"/>
  <c r="C18" i="22"/>
  <c r="C31" i="22"/>
  <c r="C144" i="22"/>
  <c r="B206" i="22"/>
  <c r="B216" i="22"/>
  <c r="B80" i="22"/>
  <c r="C165" i="22"/>
  <c r="C233" i="22"/>
  <c r="C115" i="22"/>
  <c r="C224" i="22"/>
  <c r="C27" i="22"/>
  <c r="B25" i="22"/>
  <c r="C145" i="22"/>
  <c r="B69" i="22"/>
  <c r="B62" i="22"/>
  <c r="B63" i="22"/>
  <c r="B12" i="22"/>
  <c r="B48" i="22"/>
  <c r="B27" i="22"/>
  <c r="C4" i="22"/>
  <c r="C90" i="22"/>
  <c r="C249" i="22"/>
  <c r="C119" i="22"/>
  <c r="C74" i="22"/>
  <c r="C122" i="22"/>
  <c r="C191" i="22"/>
  <c r="B29" i="22"/>
  <c r="B171" i="22"/>
  <c r="B156" i="22"/>
  <c r="B5" i="22"/>
  <c r="B145" i="22"/>
  <c r="C55" i="22"/>
  <c r="B191" i="22"/>
  <c r="C129" i="22"/>
  <c r="C2" i="22"/>
  <c r="B136" i="22"/>
  <c r="B230" i="22"/>
  <c r="C96" i="22"/>
  <c r="C135" i="22"/>
  <c r="C5" i="22"/>
  <c r="C128" i="22"/>
  <c r="B117" i="22"/>
  <c r="B70" i="22"/>
  <c r="C28" i="22"/>
  <c r="C237" i="22"/>
  <c r="C215" i="22"/>
  <c r="C239" i="22"/>
  <c r="B31" i="22"/>
  <c r="B174" i="22"/>
  <c r="C104" i="22"/>
  <c r="B135" i="22"/>
  <c r="B137" i="22"/>
  <c r="C97" i="22"/>
  <c r="C226" i="22"/>
  <c r="C161" i="22"/>
  <c r="C95" i="22"/>
  <c r="C173" i="22"/>
  <c r="B213" i="22"/>
  <c r="B108" i="22"/>
  <c r="C141" i="22"/>
  <c r="B97" i="22"/>
  <c r="C59" i="22"/>
  <c r="B91" i="22"/>
  <c r="C33" i="22"/>
  <c r="C184" i="22"/>
  <c r="C66" i="22"/>
  <c r="C61" i="22"/>
  <c r="C3" i="22"/>
  <c r="C101" i="22"/>
  <c r="C126" i="22"/>
  <c r="B113" i="22"/>
  <c r="B10" i="22"/>
  <c r="B8" i="22"/>
  <c r="C13" i="22"/>
  <c r="B105" i="22"/>
  <c r="C157" i="22"/>
  <c r="C9" i="22"/>
  <c r="B197" i="22"/>
  <c r="B81" i="22"/>
  <c r="B231" i="22"/>
  <c r="C50" i="22"/>
  <c r="B56" i="22"/>
  <c r="B72" i="22"/>
  <c r="C47" i="22"/>
  <c r="B49" i="22"/>
  <c r="C58" i="22"/>
  <c r="B180" i="22"/>
  <c r="C153" i="22"/>
  <c r="B67" i="22"/>
  <c r="C200" i="22"/>
  <c r="C62" i="22"/>
  <c r="B39" i="22"/>
  <c r="C77" i="22"/>
  <c r="B15" i="22"/>
  <c r="B190" i="22"/>
  <c r="C137" i="22"/>
  <c r="C23" i="22"/>
  <c r="B242" i="22"/>
  <c r="C193" i="22"/>
  <c r="C227" i="22"/>
  <c r="C54" i="22"/>
  <c r="C121" i="22"/>
  <c r="B212" i="22"/>
  <c r="C194" i="22"/>
  <c r="B78" i="22"/>
  <c r="C87" i="22"/>
  <c r="C207" i="22"/>
  <c r="B184" i="22"/>
  <c r="B235" i="22"/>
  <c r="B93" i="22"/>
  <c r="B85" i="22"/>
  <c r="B71" i="22"/>
  <c r="B187" i="22"/>
  <c r="C56" i="22"/>
  <c r="C160" i="22"/>
  <c r="C211" i="22"/>
  <c r="B173" i="22"/>
  <c r="C52" i="22"/>
  <c r="C109" i="22"/>
  <c r="B86" i="22"/>
  <c r="D55" i="20"/>
  <c r="B165" i="22"/>
  <c r="C244" i="22"/>
  <c r="C80" i="22"/>
  <c r="C192" i="22"/>
  <c r="B38" i="22"/>
  <c r="C92" i="22"/>
  <c r="B203" i="22"/>
  <c r="C69" i="22"/>
  <c r="C143" i="22"/>
  <c r="C188" i="22"/>
  <c r="B107" i="22"/>
  <c r="B186" i="22"/>
  <c r="C238" i="22"/>
  <c r="B4" i="22"/>
  <c r="C180" i="22"/>
  <c r="B126" i="22"/>
  <c r="B18" i="22"/>
  <c r="B238" i="22"/>
  <c r="C35" i="22"/>
  <c r="B55" i="22"/>
  <c r="B51" i="22"/>
  <c r="B47" i="22"/>
  <c r="C98" i="22"/>
  <c r="B218" i="22"/>
  <c r="B57" i="22"/>
  <c r="B224" i="22"/>
  <c r="C7" i="22"/>
  <c r="B164" i="22"/>
  <c r="B134" i="22"/>
  <c r="B154" i="22"/>
  <c r="B248" i="22"/>
  <c r="C60" i="22"/>
  <c r="C212" i="22"/>
  <c r="B33" i="22"/>
  <c r="B178" i="22"/>
  <c r="C70" i="22"/>
  <c r="B111" i="22"/>
  <c r="B175" i="22"/>
  <c r="B222" i="22"/>
  <c r="B155" i="22"/>
  <c r="C57" i="22"/>
  <c r="B121" i="22"/>
  <c r="C214" i="22"/>
  <c r="C195" i="22"/>
  <c r="B89" i="22"/>
  <c r="C181" i="22"/>
  <c r="B79" i="22"/>
  <c r="B158" i="22"/>
  <c r="B221" i="22"/>
  <c r="C107" i="22"/>
  <c r="C156" i="22"/>
  <c r="B143" i="22"/>
  <c r="B225" i="22"/>
  <c r="C198" i="22"/>
  <c r="B104" i="22"/>
  <c r="B234" i="22"/>
  <c r="C225" i="22"/>
  <c r="B116" i="22"/>
  <c r="B24" i="22"/>
  <c r="B243" i="22"/>
  <c r="C134" i="22"/>
  <c r="B188" i="22"/>
  <c r="C179" i="22"/>
  <c r="C89" i="22"/>
  <c r="C152" i="22"/>
  <c r="C40" i="22"/>
  <c r="B232" i="22"/>
  <c r="B83" i="22"/>
  <c r="C199" i="22"/>
  <c r="C203" i="22"/>
  <c r="B35" i="22"/>
  <c r="C228" i="22"/>
  <c r="C120" i="22"/>
  <c r="C236" i="22"/>
  <c r="B237" i="22"/>
  <c r="B236" i="22"/>
  <c r="B176" i="22"/>
  <c r="B7" i="22"/>
  <c r="B54" i="22"/>
  <c r="B210" i="22"/>
  <c r="C10" i="22"/>
  <c r="C168" i="22"/>
  <c r="C16" i="22"/>
  <c r="B99" i="22"/>
  <c r="C17" i="20"/>
  <c r="C116" i="22"/>
  <c r="B162" i="22"/>
  <c r="B139" i="22"/>
  <c r="B82" i="22"/>
  <c r="B196" i="22"/>
  <c r="C243" i="22"/>
  <c r="B92" i="22"/>
  <c r="B151" i="22"/>
  <c r="C138" i="22"/>
  <c r="B247" i="22"/>
  <c r="B133" i="22"/>
  <c r="C174" i="22"/>
  <c r="C175" i="22"/>
  <c r="C182" i="22"/>
  <c r="B246" i="22"/>
  <c r="C71" i="22"/>
  <c r="B241" i="22"/>
  <c r="B106" i="22"/>
  <c r="C114" i="22"/>
  <c r="C20" i="22"/>
  <c r="C231" i="22"/>
  <c r="B34" i="22"/>
  <c r="B118" i="22"/>
  <c r="C213" i="22"/>
  <c r="C217" i="22"/>
  <c r="B110" i="22"/>
  <c r="B98" i="22"/>
  <c r="B167" i="22"/>
  <c r="B193" i="22"/>
  <c r="B66" i="22"/>
  <c r="C245" i="22"/>
  <c r="B140" i="22"/>
  <c r="B20" i="22"/>
  <c r="C68" i="22"/>
  <c r="B74" i="22"/>
  <c r="B183" i="22"/>
  <c r="B128" i="22"/>
  <c r="B53" i="22"/>
  <c r="C218" i="22"/>
  <c r="B211" i="22"/>
  <c r="B204" i="22"/>
  <c r="C11" i="22"/>
  <c r="B68" i="22"/>
  <c r="C106" i="22"/>
  <c r="C6" i="22"/>
  <c r="B129" i="22"/>
  <c r="C39" i="22"/>
  <c r="C189" i="22"/>
  <c r="C42" i="22"/>
  <c r="B170" i="22"/>
  <c r="C117" i="22"/>
  <c r="B3" i="22"/>
  <c r="B22" i="22"/>
  <c r="C155" i="22"/>
  <c r="C242" i="22"/>
  <c r="C163" i="22"/>
  <c r="C110" i="22"/>
  <c r="B23" i="22"/>
  <c r="C185" i="22"/>
  <c r="C65" i="22"/>
  <c r="C73" i="22"/>
  <c r="B194" i="22"/>
  <c r="B124" i="22"/>
  <c r="C142" i="22"/>
  <c r="C196" i="22"/>
  <c r="B112" i="22"/>
  <c r="C187" i="22"/>
  <c r="B101" i="22"/>
  <c r="B138" i="22"/>
  <c r="B223" i="22"/>
  <c r="B132" i="22"/>
  <c r="B233" i="22"/>
  <c r="C44" i="22"/>
  <c r="B103" i="22"/>
  <c r="B84" i="22"/>
  <c r="B157" i="22"/>
  <c r="C75" i="22"/>
  <c r="B122" i="22"/>
  <c r="C26" i="22"/>
  <c r="B144" i="22"/>
  <c r="B199" i="22"/>
  <c r="B11" i="22"/>
  <c r="B161" i="22"/>
  <c r="B160" i="22"/>
  <c r="C139" i="22"/>
  <c r="B207" i="22"/>
  <c r="B172" i="22"/>
  <c r="B30" i="22"/>
  <c r="B228" i="22"/>
  <c r="B40" i="22"/>
  <c r="B181" i="22"/>
  <c r="C29" i="22"/>
  <c r="B6" i="22"/>
  <c r="C127" i="22"/>
  <c r="C159" i="22"/>
  <c r="B141" i="22"/>
  <c r="B202" i="22"/>
  <c r="B201" i="22"/>
  <c r="B146" i="22"/>
  <c r="B249" i="22"/>
  <c r="C49" i="22"/>
  <c r="C147" i="22"/>
  <c r="C166" i="22"/>
  <c r="C216" i="22"/>
  <c r="C131" i="22"/>
  <c r="B19" i="22"/>
  <c r="C154" i="22"/>
  <c r="C158" i="22"/>
  <c r="C94" i="22"/>
  <c r="B61" i="22"/>
  <c r="C172" i="22"/>
  <c r="C91" i="22"/>
  <c r="C99" i="22"/>
  <c r="B125" i="22"/>
  <c r="C209" i="22"/>
  <c r="C148" i="22"/>
  <c r="B205" i="22"/>
  <c r="C221" i="22"/>
  <c r="C103" i="22"/>
  <c r="B73" i="22"/>
  <c r="C51" i="22"/>
  <c r="B75" i="22"/>
  <c r="C19" i="22"/>
  <c r="C132" i="22"/>
  <c r="C222" i="22"/>
  <c r="B179" i="22"/>
  <c r="C34" i="22"/>
  <c r="B2" i="22"/>
  <c r="B149" i="22"/>
  <c r="B147" i="22"/>
  <c r="B52" i="22"/>
  <c r="C64" i="22"/>
  <c r="B152" i="22"/>
  <c r="C150" i="22"/>
  <c r="B239" i="22"/>
  <c r="B65" i="22"/>
  <c r="B189" i="22"/>
  <c r="C86" i="22"/>
  <c r="C8" i="22"/>
  <c r="B163" i="22"/>
  <c r="C22" i="22"/>
  <c r="C63" i="22"/>
  <c r="B100" i="22"/>
  <c r="C206" i="22"/>
  <c r="B182" i="22"/>
  <c r="B94" i="22"/>
  <c r="C82" i="22"/>
  <c r="C53" i="22"/>
  <c r="B28" i="22"/>
  <c r="C164" i="22"/>
  <c r="C247" i="22"/>
  <c r="B44" i="22"/>
  <c r="C84" i="22"/>
  <c r="C204" i="22"/>
  <c r="C41" i="22"/>
  <c r="B245" i="22"/>
  <c r="B37" i="22"/>
  <c r="C112" i="22"/>
  <c r="B77" i="22"/>
  <c r="C21" i="22"/>
  <c r="B208" i="22"/>
  <c r="B46" i="22"/>
  <c r="C171" i="22"/>
  <c r="B102" i="22"/>
  <c r="C79" i="22"/>
  <c r="C78" i="22"/>
  <c r="C130" i="22"/>
  <c r="C45" i="22"/>
  <c r="C25" i="22"/>
  <c r="C105" i="22"/>
  <c r="C113" i="22"/>
  <c r="B130" i="22"/>
  <c r="C15" i="22"/>
  <c r="B226" i="22"/>
  <c r="C37" i="22"/>
  <c r="B192" i="22"/>
  <c r="B43" i="22"/>
  <c r="B195" i="22"/>
  <c r="B148" i="22"/>
  <c r="C133" i="22"/>
  <c r="B87" i="22"/>
  <c r="C151" i="22"/>
  <c r="B36" i="22"/>
  <c r="B169" i="22"/>
  <c r="B127" i="22"/>
  <c r="C123" i="22"/>
  <c r="C125" i="22"/>
  <c r="B229" i="22"/>
  <c r="B17" i="22"/>
  <c r="B95" i="22"/>
  <c r="B214" i="22"/>
  <c r="B227" i="22"/>
  <c r="C177" i="22"/>
  <c r="C85" i="22"/>
  <c r="C162" i="22"/>
  <c r="B59" i="22"/>
  <c r="C67" i="22"/>
  <c r="B58" i="22"/>
  <c r="C48" i="22"/>
  <c r="C118" i="22"/>
  <c r="C149" i="22"/>
  <c r="B16" i="22"/>
  <c r="B159" i="22"/>
  <c r="C76" i="22"/>
  <c r="C88" i="22"/>
  <c r="C186" i="22"/>
  <c r="B76" i="22"/>
  <c r="C146" i="22"/>
  <c r="C140" i="22"/>
  <c r="C190" i="22"/>
  <c r="C248" i="22"/>
  <c r="B120" i="22"/>
  <c r="B200" i="22"/>
  <c r="B14" i="22"/>
  <c r="C208" i="22"/>
  <c r="C136" i="22"/>
  <c r="B60" i="22"/>
  <c r="B153" i="22"/>
  <c r="C93" i="22"/>
  <c r="C220" i="22"/>
  <c r="B198" i="22"/>
  <c r="C72" i="22"/>
  <c r="C241" i="22"/>
  <c r="B209" i="22"/>
  <c r="B217" i="22"/>
  <c r="C12" i="22"/>
  <c r="C197" i="22"/>
  <c r="B64" i="22"/>
  <c r="C36" i="22"/>
  <c r="B168" i="22"/>
  <c r="B115" i="22"/>
  <c r="C246" i="22"/>
  <c r="C17" i="22"/>
  <c r="B240" i="22"/>
  <c r="B142" i="22"/>
  <c r="B114" i="22"/>
  <c r="C24" i="22"/>
  <c r="C81" i="22"/>
  <c r="C167" i="22"/>
  <c r="B13" i="22"/>
  <c r="B26" i="22"/>
  <c r="B123" i="22"/>
  <c r="C169" i="22"/>
  <c r="C219" i="22"/>
  <c r="C232" i="22"/>
  <c r="C230" i="22"/>
  <c r="C83" i="22"/>
  <c r="B215" i="22"/>
  <c r="B96" i="22"/>
  <c r="B41" i="22"/>
  <c r="B244" i="22"/>
  <c r="C176" i="22"/>
  <c r="C223" i="22"/>
  <c r="B219" i="22"/>
  <c r="D49" i="20"/>
  <c r="C205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<sst xmlns="http://schemas.openxmlformats.org/spreadsheetml/2006/main" count="1691" uniqueCount="969">
  <si>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</si>
  <si>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</si>
  <si>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</si>
  <si>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</si>
  <si>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</si>
  <si>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C.P. LILIA ANAYANSI TAPIA CURIEL</t>
  </si>
  <si>
    <t>DIRECTORA ADMINISTRATIVA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</si>
  <si>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</si>
  <si>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</si>
  <si>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</si>
  <si>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</si>
  <si>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</si>
  <si>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</si>
  <si>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</si>
  <si>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</si>
  <si>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</si>
  <si>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</si>
  <si>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</si>
  <si>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</si>
  <si>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</si>
  <si>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C.P. Lilia Anayansi Tapia Curiel</t>
  </si>
  <si>
    <t>Directora Administrativa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</si>
  <si>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</si>
  <si>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</si>
  <si>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</si>
  <si>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</si>
  <si>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</si>
  <si>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</si>
  <si>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</si>
  <si>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</si>
  <si>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</si>
  <si>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</si>
  <si>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</si>
  <si>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</si>
  <si>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</si>
  <si>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</si>
  <si>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</si>
  <si>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</si>
  <si>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</si>
  <si>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</si>
  <si>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</si>
  <si>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</si>
  <si>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</si>
  <si>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</si>
  <si>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</si>
  <si>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</si>
  <si>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</si>
  <si>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</si>
  <si>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</si>
  <si>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</si>
  <si>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</si>
  <si>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</si>
  <si>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</si>
  <si>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</si>
  <si>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</si>
  <si>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</si>
  <si>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</si>
  <si>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</si>
  <si>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</si>
  <si>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</si>
  <si>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</si>
  <si>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</si>
  <si>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</si>
  <si>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</si>
  <si>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</si>
  <si>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</si>
  <si>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</si>
  <si>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</si>
  <si>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</si>
  <si>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</si>
  <si>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</si>
  <si>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</si>
  <si>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</si>
  <si>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</si>
  <si>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</si>
  <si>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</si>
  <si>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</si>
  <si>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</si>
  <si>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</si>
  <si>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</si>
  <si>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</si>
  <si>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</si>
  <si>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</si>
  <si>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</si>
  <si>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</si>
  <si>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</si>
  <si>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</si>
  <si>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</si>
  <si>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</si>
  <si>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</si>
  <si>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</si>
  <si>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</si>
  <si>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</si>
  <si>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</si>
  <si>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</si>
  <si>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</si>
  <si>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</si>
  <si>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</si>
  <si>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</si>
  <si>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</si>
  <si>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</si>
  <si>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</si>
  <si>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</si>
  <si>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</si>
  <si>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</si>
  <si>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</si>
  <si>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</si>
  <si>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</si>
  <si>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</si>
  <si>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</si>
  <si>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</si>
  <si>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</si>
  <si>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</si>
  <si>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</si>
  <si>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</si>
  <si>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</si>
  <si>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</si>
  <si>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</si>
  <si>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</si>
  <si>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</si>
  <si>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</si>
  <si>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</si>
  <si>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</si>
  <si>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</si>
  <si>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</si>
  <si>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</si>
  <si>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</si>
  <si>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</si>
  <si>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</si>
  <si>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</si>
  <si>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</si>
  <si>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</si>
  <si>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</si>
  <si>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</si>
  <si>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</si>
  <si>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</si>
  <si>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</si>
  <si>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</si>
  <si>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</si>
  <si>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</si>
  <si>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</si>
  <si>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</si>
  <si>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</si>
  <si>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</si>
  <si>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</si>
  <si>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</si>
  <si>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</si>
  <si>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</si>
  <si>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</si>
  <si>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</si>
  <si>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</si>
  <si>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</si>
  <si>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</si>
  <si>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</si>
  <si>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</si>
  <si>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</si>
  <si>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</si>
  <si>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</si>
  <si>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</si>
  <si>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</si>
  <si>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</si>
  <si>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</si>
  <si>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</si>
  <si>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</si>
  <si>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</si>
  <si>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</si>
  <si>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</si>
  <si>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</si>
  <si>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</si>
  <si>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</si>
  <si>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</si>
  <si>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</si>
  <si>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</si>
  <si>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</si>
  <si>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</si>
  <si>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</si>
  <si>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</si>
  <si>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</si>
  <si>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</si>
  <si>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</si>
  <si>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</si>
  <si>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</si>
  <si>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</si>
  <si>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</si>
  <si>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</si>
  <si>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</si>
  <si>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</si>
  <si>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</si>
  <si>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</si>
  <si>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</si>
  <si>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</si>
  <si>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</si>
  <si>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</si>
  <si>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</si>
  <si>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</si>
  <si>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</si>
  <si>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</si>
  <si>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</si>
  <si>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</si>
  <si>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</si>
  <si>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</si>
  <si>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</si>
  <si>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</si>
  <si>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</si>
  <si>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</si>
  <si>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</si>
  <si>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</si>
  <si>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</si>
  <si>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</si>
  <si>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</si>
  <si>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</si>
  <si>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</si>
  <si>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</si>
  <si>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</si>
  <si>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</si>
  <si>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</si>
  <si>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</si>
  <si>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</si>
  <si>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</si>
  <si>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</si>
  <si>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</si>
  <si>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</si>
  <si>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</si>
  <si>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</si>
  <si>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</si>
  <si>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</si>
  <si>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</si>
  <si>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</si>
  <si>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</si>
  <si>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</si>
  <si>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</si>
  <si>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</si>
  <si>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</si>
  <si>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</si>
  <si>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</si>
  <si>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</si>
  <si>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</si>
  <si>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</si>
  <si>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</si>
  <si>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</si>
  <si>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</si>
  <si>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</si>
  <si>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</si>
  <si>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</si>
  <si>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</si>
  <si>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</si>
  <si>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</si>
  <si>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</si>
  <si>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</si>
  <si>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</si>
  <si>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</si>
  <si>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</si>
  <si>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</si>
  <si>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</si>
  <si>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</si>
  <si>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</si>
  <si>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</si>
  <si>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</si>
  <si>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</si>
  <si>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</si>
  <si>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</si>
  <si>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</si>
  <si>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</si>
  <si>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</si>
  <si>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</si>
  <si>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</si>
  <si>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</si>
  <si>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</si>
  <si>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</si>
  <si>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</si>
  <si>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</si>
  <si>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</si>
  <si>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</si>
  <si>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</si>
  <si>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</si>
  <si>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</si>
  <si>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</si>
  <si>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</si>
  <si>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</si>
  <si>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</si>
  <si>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</si>
  <si>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</si>
  <si>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</si>
  <si>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</si>
  <si>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</si>
  <si>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</si>
  <si>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</si>
  <si>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</si>
  <si>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</si>
  <si>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</si>
  <si>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</si>
  <si>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</si>
  <si>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</si>
  <si>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</si>
  <si>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</si>
  <si>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</si>
  <si>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</si>
  <si>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</si>
  <si>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</si>
  <si>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</si>
  <si>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</si>
  <si>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</si>
  <si>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</si>
  <si>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</si>
  <si>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</si>
  <si>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</si>
  <si>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</si>
  <si>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</si>
  <si>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</si>
  <si>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</si>
  <si>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</si>
  <si>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</si>
  <si>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</si>
  <si>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</si>
  <si>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</si>
  <si>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</si>
  <si>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</si>
  <si>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</si>
  <si>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</si>
  <si>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</si>
  <si>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</si>
  <si>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</si>
  <si>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</si>
  <si>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</si>
  <si>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</si>
  <si>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</si>
  <si>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</si>
  <si>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</si>
  <si>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</si>
  <si>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</si>
  <si>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</si>
  <si>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</si>
  <si>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</si>
  <si>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</si>
  <si>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</si>
  <si>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</si>
  <si>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</si>
  <si>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</si>
  <si>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</si>
  <si>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</si>
  <si>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</si>
  <si>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</si>
  <si>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</si>
  <si>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</si>
  <si>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</si>
  <si>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</si>
  <si>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</si>
  <si>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</si>
  <si>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</si>
  <si>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</si>
  <si>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</si>
  <si>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</si>
  <si>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</si>
  <si>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</si>
  <si>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</si>
  <si>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</si>
  <si>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</si>
  <si>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</si>
  <si>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</si>
  <si>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</si>
  <si>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</si>
  <si>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</si>
  <si>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</si>
  <si>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</si>
  <si>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</si>
  <si>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</si>
  <si>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</si>
  <si>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</si>
  <si>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</si>
  <si>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</si>
  <si>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</si>
  <si>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</si>
  <si>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</si>
  <si>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</si>
  <si>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</si>
  <si>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</si>
  <si>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</si>
  <si>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</si>
  <si>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</si>
  <si>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</si>
  <si>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</si>
  <si>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</si>
  <si>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</si>
  <si>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</si>
  <si>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</si>
  <si>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</si>
  <si>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</si>
  <si>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</si>
  <si>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</si>
  <si>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</si>
  <si>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</si>
  <si>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</si>
  <si>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</si>
  <si>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</si>
  <si>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</si>
  <si>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</si>
  <si>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</si>
  <si>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</si>
  <si>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</si>
  <si>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</si>
  <si>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</si>
  <si>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</si>
  <si>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</si>
  <si>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</si>
  <si>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</si>
  <si>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</si>
  <si>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</si>
  <si>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</si>
  <si>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</si>
  <si>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</si>
  <si>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</si>
  <si>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</si>
  <si>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</si>
  <si>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</si>
  <si>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</si>
  <si>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</si>
  <si>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</si>
  <si>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</si>
  <si>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</si>
  <si>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</si>
  <si>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</si>
  <si>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</si>
  <si>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</si>
  <si>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</si>
  <si>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</si>
  <si>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</si>
  <si>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</si>
  <si>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</si>
  <si>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</si>
  <si>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</si>
  <si>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</si>
  <si>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</si>
  <si>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</si>
  <si>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</si>
  <si>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</si>
  <si>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</si>
  <si>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</si>
  <si>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</si>
  <si>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</si>
  <si>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</si>
  <si>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</si>
  <si>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</si>
  <si>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</si>
  <si>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</si>
  <si>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</si>
  <si>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</si>
  <si>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</si>
  <si>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</si>
  <si>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</si>
  <si>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</si>
  <si>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</si>
  <si>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</si>
  <si>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</si>
  <si>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</si>
  <si>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</si>
  <si>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</si>
  <si>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</si>
  <si>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</si>
  <si>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</si>
  <si>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</si>
  <si>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</si>
  <si>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</si>
  <si>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</si>
  <si>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</si>
  <si>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</si>
  <si>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</si>
  <si>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</si>
  <si>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</si>
  <si>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</si>
  <si>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</si>
  <si>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</si>
  <si>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</si>
  <si>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</si>
  <si>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</si>
  <si>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</si>
  <si>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</si>
  <si>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</si>
  <si>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</si>
  <si>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</si>
  <si>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</si>
  <si>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</si>
  <si>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</si>
  <si>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</si>
  <si>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</si>
  <si>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</si>
  <si>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</si>
  <si>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</si>
  <si>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</si>
  <si>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</si>
  <si>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</si>
  <si>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</si>
  <si>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</si>
  <si>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</si>
  <si>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</si>
  <si>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</si>
  <si>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</si>
  <si>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</si>
  <si>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</si>
  <si>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</si>
  <si>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</si>
  <si>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</si>
  <si>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</si>
  <si>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</si>
  <si>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</si>
  <si>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</si>
  <si>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</si>
  <si>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</si>
  <si>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</si>
  <si>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</si>
  <si>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</si>
  <si>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</si>
  <si>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</si>
  <si>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</si>
  <si>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</si>
  <si>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</si>
  <si>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</si>
  <si>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</si>
  <si>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</si>
  <si>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</si>
  <si>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</si>
  <si>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</si>
  <si>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</si>
  <si>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</si>
  <si>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</si>
  <si>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</si>
  <si>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</si>
  <si>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</si>
  <si>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</si>
  <si>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</si>
  <si>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</si>
  <si>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</si>
  <si>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</si>
  <si>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</si>
  <si>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</si>
  <si>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</si>
  <si>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</si>
  <si>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</si>
  <si>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</si>
  <si>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</si>
  <si>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</si>
  <si>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</si>
  <si>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</si>
  <si>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</si>
  <si>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</si>
  <si>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</si>
  <si>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</si>
  <si>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</si>
  <si>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</si>
  <si>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</si>
  <si>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</si>
  <si>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</si>
  <si>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</si>
  <si>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</si>
  <si>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</si>
  <si>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</si>
  <si>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</si>
  <si>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</si>
  <si>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</si>
  <si>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</si>
  <si>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</si>
  <si>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</si>
  <si>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</si>
  <si>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</si>
  <si>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</si>
  <si>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</si>
  <si>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</si>
  <si>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</si>
  <si>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</si>
  <si>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</si>
  <si>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</si>
  <si>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</si>
  <si>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</si>
  <si>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</si>
  <si>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</si>
  <si>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</si>
  <si>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</si>
  <si>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</si>
  <si>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</si>
  <si>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</si>
  <si>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</si>
  <si>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</si>
  <si>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</si>
  <si>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</si>
  <si>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</si>
  <si>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</si>
  <si>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</si>
  <si>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</si>
  <si>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</si>
  <si>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</si>
  <si>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</si>
  <si>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</si>
  <si>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</si>
  <si>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</si>
  <si>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</si>
  <si>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</si>
  <si>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</si>
  <si>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</si>
  <si>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</si>
  <si>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</si>
  <si>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</si>
  <si>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</si>
  <si>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</si>
  <si>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</si>
  <si>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</si>
  <si>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</si>
  <si>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</si>
  <si>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</si>
  <si>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</si>
  <si>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</si>
  <si>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</si>
  <si>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</si>
  <si>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</si>
  <si>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</si>
  <si>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</si>
  <si>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</si>
  <si>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</si>
  <si>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</si>
  <si>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</si>
  <si>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</si>
  <si>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</si>
  <si>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</si>
  <si>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</si>
  <si>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</si>
  <si>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</si>
  <si>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</si>
  <si>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</si>
  <si>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</si>
  <si>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</si>
  <si>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</si>
  <si>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</si>
  <si>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</si>
  <si>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</si>
  <si>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</si>
  <si>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</si>
  <si>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</si>
  <si>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</si>
  <si>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</si>
  <si>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</si>
  <si>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</si>
  <si>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</si>
  <si>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</si>
  <si>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</si>
  <si>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</si>
  <si>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</si>
  <si>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</si>
  <si>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</si>
  <si>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</si>
  <si>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</si>
  <si>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</si>
  <si>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</si>
  <si>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</si>
  <si>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</si>
  <si>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</si>
  <si>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</si>
  <si>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</si>
  <si>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</si>
  <si>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</si>
  <si>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</si>
  <si>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</si>
  <si>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</si>
  <si>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</si>
  <si>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</si>
  <si>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</si>
  <si>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</si>
  <si>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</si>
  <si>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</si>
  <si>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</si>
  <si>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</si>
  <si>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</si>
  <si>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</si>
  <si>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</si>
  <si>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</si>
  <si>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</si>
  <si>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</si>
  <si>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</si>
  <si>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</si>
  <si>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</si>
  <si>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</si>
  <si>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</si>
  <si>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</si>
  <si>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</si>
  <si>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</si>
  <si>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</si>
  <si>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</si>
  <si>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</si>
  <si>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</si>
  <si>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</si>
  <si>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</si>
  <si>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</si>
  <si>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</si>
  <si>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</si>
  <si>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</si>
  <si>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</si>
  <si>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</si>
  <si>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</si>
  <si>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</si>
  <si>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</si>
  <si>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</si>
  <si>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</si>
  <si>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</si>
  <si>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</si>
  <si>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</si>
  <si>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</si>
  <si>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</si>
  <si>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</si>
  <si>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</si>
  <si>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</si>
  <si>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</si>
  <si>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</si>
  <si>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</si>
  <si>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</si>
  <si>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</si>
  <si>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</si>
  <si>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</si>
  <si>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</si>
  <si>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</si>
  <si>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</si>
  <si>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</si>
  <si>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</si>
  <si>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</si>
  <si>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</si>
  <si>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</si>
  <si>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</si>
  <si>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</si>
  <si>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</si>
  <si>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</si>
  <si>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</si>
  <si>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</si>
  <si>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</si>
  <si>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</si>
  <si>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</si>
  <si>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</si>
  <si>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</si>
  <si>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</si>
  <si>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</si>
  <si>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</si>
  <si>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</si>
  <si>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</si>
  <si>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</si>
  <si>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</si>
  <si>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</si>
  <si>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</si>
  <si>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</si>
  <si>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</si>
  <si>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</si>
  <si>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</si>
  <si>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</si>
  <si>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</si>
  <si>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</si>
  <si>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</si>
  <si>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</si>
  <si>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</si>
  <si>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</si>
  <si>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</si>
  <si>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</si>
  <si>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</si>
  <si>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</si>
  <si>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</si>
  <si>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</si>
  <si>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</si>
  <si>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</si>
  <si>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</si>
  <si>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</si>
  <si>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</si>
  <si>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</si>
  <si>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</si>
  <si>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</si>
  <si>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</si>
  <si>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</si>
  <si>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</si>
  <si>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</si>
  <si>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</si>
  <si>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</si>
  <si>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</si>
  <si>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</si>
  <si>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</si>
  <si>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</si>
  <si>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</si>
  <si>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</si>
  <si>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</si>
  <si>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</si>
  <si>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</si>
  <si>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</si>
  <si>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</si>
  <si>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</si>
  <si>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</si>
  <si>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</si>
  <si>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</si>
  <si>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</si>
  <si>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</si>
  <si>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</si>
  <si>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</si>
  <si>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</si>
  <si>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</si>
  <si>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</si>
  <si>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</si>
  <si>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</si>
  <si>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</si>
  <si>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</si>
  <si>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</si>
  <si>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</si>
  <si>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</si>
  <si>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</si>
  <si>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</si>
  <si>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</si>
  <si>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</si>
  <si>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</si>
  <si>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</si>
  <si>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</si>
  <si>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</si>
  <si>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</si>
  <si>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</si>
  <si>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</si>
  <si>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</si>
  <si>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</si>
  <si>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</si>
  <si>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</si>
  <si>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</si>
  <si>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</si>
  <si>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</si>
  <si>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</si>
  <si>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</si>
  <si>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</si>
  <si>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</si>
  <si>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</si>
  <si>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</si>
  <si>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</si>
  <si>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</si>
  <si>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</si>
  <si>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</si>
  <si>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</si>
  <si>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</si>
  <si>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</si>
  <si>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</si>
  <si>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</si>
  <si>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</si>
  <si>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</si>
  <si>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</si>
  <si>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</si>
  <si>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</si>
  <si>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</si>
  <si>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</si>
  <si>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</si>
  <si>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</si>
  <si>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</si>
  <si>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</si>
  <si>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</si>
  <si>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</si>
  <si>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</si>
  <si>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</si>
  <si>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</si>
  <si>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</si>
  <si>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</si>
  <si>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</si>
  <si>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</si>
  <si>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</si>
  <si>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</si>
  <si>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</si>
  <si>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</si>
  <si>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</si>
  <si>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</si>
  <si>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</si>
  <si>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</si>
  <si>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</si>
  <si>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</si>
  <si>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</si>
  <si>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</si>
  <si>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</si>
  <si>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</si>
  <si>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</si>
  <si>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</si>
  <si>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</si>
  <si>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</si>
  <si>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</si>
  <si>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</si>
  <si>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</si>
  <si>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</si>
  <si>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</si>
  <si>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</si>
  <si>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</si>
  <si>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</si>
  <si>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</si>
  <si>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</si>
  <si>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</si>
  <si>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</si>
  <si>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</si>
  <si>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</si>
  <si>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</si>
  <si>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</si>
  <si>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</si>
  <si>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</si>
  <si>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</si>
  <si>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</si>
  <si>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</si>
  <si>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</si>
  <si>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</si>
  <si>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</si>
  <si>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</si>
  <si>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</si>
  <si>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</si>
  <si>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</si>
  <si>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</si>
  <si>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</si>
  <si>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</si>
  <si>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</si>
  <si>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</si>
  <si>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</si>
  <si>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</si>
  <si>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</si>
  <si>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</si>
  <si>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</si>
  <si>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</si>
  <si>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</si>
  <si>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</si>
  <si>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</si>
  <si>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SDT/PRUEBA/001/2017</t>
  </si>
  <si>
    <t>LIC. JUAN PEREZ LOPEZ</t>
  </si>
  <si>
    <t>COMISION OFICIAL A LA CIUDAD DE MEXICO</t>
  </si>
  <si>
    <t>VIATICOS Y PASAJES POR COMISION</t>
  </si>
  <si>
    <t>MEXICO</t>
  </si>
  <si>
    <t>DEL 14 AL 15 DE JUNIO DE 2017</t>
  </si>
  <si>
    <t>Silao, Gto., a ____30__ de ____Marzo_________ de 2017.</t>
  </si>
  <si>
    <t>xxxx</t>
  </si>
  <si>
    <t>18.GG.G2061</t>
  </si>
  <si>
    <t>18.GG.P0292</t>
  </si>
  <si>
    <t>18.GG.G1074</t>
  </si>
  <si>
    <t>18.GG.Q0418</t>
  </si>
  <si>
    <t>18.GG.Q2523</t>
  </si>
  <si>
    <t>18.GG.Q0377</t>
  </si>
  <si>
    <t>18.GG.Q0378</t>
  </si>
  <si>
    <t>18.GG.Q0379</t>
  </si>
  <si>
    <t>18.GG.Q0380</t>
  </si>
  <si>
    <t>18.GG.Q0381</t>
  </si>
  <si>
    <t>18.GG.Q0621</t>
  </si>
  <si>
    <t>18.GG.Q0622</t>
  </si>
  <si>
    <t>18.GG.Q0623</t>
  </si>
  <si>
    <t>18.GG.Q0624</t>
  </si>
  <si>
    <t>18.GG.Q0723</t>
  </si>
  <si>
    <t>18.GG.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</si>
  <si>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</si>
  <si>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</si>
  <si>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</si>
  <si>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</si>
  <si>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</si>
  <si>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</si>
  <si>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</si>
  <si>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</si>
  <si>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</si>
  <si>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</si>
  <si>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</si>
  <si>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</si>
  <si>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</si>
  <si>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</si>
  <si>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</si>
  <si>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</si>
  <si>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</si>
  <si>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18.GG.Q0498</t>
  </si>
  <si>
    <t>18.GG.Q0797</t>
  </si>
  <si>
    <t>18.GG.Q0799</t>
  </si>
  <si>
    <t>18.GG.Q1545</t>
  </si>
  <si>
    <t>18.GG.Q1896</t>
  </si>
  <si>
    <t>18.GG.Q2390</t>
  </si>
  <si>
    <t>18.GG.Q2442</t>
  </si>
  <si>
    <t>18.GG.Q2561</t>
  </si>
  <si>
    <t>18.GG.Q2699</t>
  </si>
  <si>
    <t>18.GG.Q2701</t>
  </si>
  <si>
    <t>18.GG.Q2702</t>
  </si>
  <si>
    <t>18.GG.Q2703</t>
  </si>
  <si>
    <t>18.GG.Q2777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</si>
</sst>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4" fillId="0" borderId="0" xfId="0" applyFont="1" applyBorder="1" applyProtection="1"/>
    <xf numFmtId="0" fontId="15" fillId="0" borderId="0" xfId="0" applyFont="1" applyBorder="1" applyProtection="1"/>
    <xf numFmtId="0" fontId="15" fillId="0" borderId="3" xfId="0" applyFont="1" applyBorder="1" applyProtection="1"/>
    <xf numFmtId="0" fontId="16" fillId="0" borderId="0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17" fillId="0" borderId="3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</xf>
    <xf numFmtId="0" fontId="11" fillId="0" borderId="0" xfId="0" applyFont="1" applyAlignment="1" applyProtection="1">
      <alignment vertical="center"/>
    </xf>
    <xf numFmtId="0" fontId="12" fillId="0" borderId="2" xfId="0" applyFont="1" applyBorder="1" applyProtection="1"/>
    <xf numFmtId="0" fontId="17" fillId="0" borderId="0" xfId="0" applyFont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 wrapText="1"/>
    </xf>
    <xf numFmtId="0" fontId="17" fillId="0" borderId="1" xfId="0" applyFont="1" applyBorder="1" applyAlignment="1" applyProtection="1">
      <alignment horizontal="center" wrapText="1"/>
    </xf>
    <xf numFmtId="0" fontId="17" fillId="0" borderId="2" xfId="0" applyFont="1" applyBorder="1" applyAlignment="1" applyProtection="1">
      <alignment horizontal="center" wrapText="1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1800225</xdr:colOff>
      <xdr:row>8</xdr:row>
      <xdr:rowOff>76200</xdr:rowOff>
    </xdr:to>
    <xdr:pic>
      <xdr:nvPicPr>
        <xdr:cNvPr id="3" name="Picture 26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800225" cy="1800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0"/>
  <sheetViews>
    <sheetView tabSelected="1" workbookViewId="0">
      <selection activeCell="A15" sqref="A15:E15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x14ac:dyDescent="0.25">
      <c r="A1" s="24"/>
      <c r="B1" s="24"/>
      <c r="C1" s="24"/>
      <c r="D1" s="24"/>
      <c r="E1" s="1" t="s">
        <v>0</v>
      </c>
      <c r="F1" s="57"/>
    </row>
    <row r="2" spans="1:6" x14ac:dyDescent="0.25">
      <c r="A2" s="26"/>
      <c r="B2" s="26"/>
      <c r="C2" s="26"/>
      <c r="D2" s="26"/>
      <c r="E2" s="26"/>
      <c r="F2" s="27"/>
    </row>
    <row r="3" spans="1:6" x14ac:dyDescent="0.25">
      <c r="A3" s="26"/>
      <c r="B3" s="84" t="s">
        <v>1</v>
      </c>
      <c r="C3" s="84"/>
      <c r="D3" s="84"/>
      <c r="E3" s="84"/>
      <c r="F3" s="85"/>
    </row>
    <row r="4" spans="1:6" ht="18.75" customHeight="1" x14ac:dyDescent="0.25">
      <c r="A4" s="26"/>
      <c r="B4" s="84" t="s">
        <v>2</v>
      </c>
      <c r="C4" s="84"/>
      <c r="D4" s="84"/>
      <c r="E4" s="84"/>
      <c r="F4" s="28"/>
    </row>
    <row r="5" spans="1:6" ht="21" customHeight="1" x14ac:dyDescent="0.25">
      <c r="A5" s="26"/>
      <c r="B5" s="84" t="s">
        <v>3</v>
      </c>
      <c r="C5" s="84"/>
      <c r="D5" s="84"/>
      <c r="E5" s="84"/>
      <c r="F5" s="29"/>
    </row>
    <row r="6" spans="1:6" ht="16.5" thickBot="1" x14ac:dyDescent="0.3">
      <c r="A6" s="26"/>
      <c r="B6" s="26"/>
      <c r="C6" s="26"/>
      <c r="D6" s="26"/>
      <c r="E6" s="26"/>
      <c r="F6" s="27"/>
    </row>
    <row r="7" spans="1:6" ht="16.5" thickBot="1" x14ac:dyDescent="0.3">
      <c r="A7" s="26"/>
      <c r="B7" s="26"/>
      <c r="C7" s="26"/>
      <c r="D7" s="30" t="s">
        <v>4</v>
      </c>
      <c r="E7" s="31" t="s">
        <v>915</v>
      </c>
      <c r="F7" s="27"/>
    </row>
    <row r="8" spans="1:6" x14ac:dyDescent="0.25">
      <c r="A8" s="26"/>
      <c r="B8" s="26"/>
      <c r="C8" s="26"/>
      <c r="D8" s="26"/>
      <c r="E8" s="26"/>
      <c r="F8" s="27"/>
    </row>
    <row r="9" spans="1:6" ht="22.5" customHeight="1" x14ac:dyDescent="0.25">
      <c r="A9" s="59"/>
      <c r="B9" s="59"/>
      <c r="C9" s="59"/>
      <c r="D9" s="59"/>
      <c r="E9" s="59"/>
      <c r="F9" s="60"/>
    </row>
    <row r="10" spans="1:6" x14ac:dyDescent="0.25">
      <c r="A10" s="26"/>
      <c r="B10" s="26"/>
      <c r="C10" s="26"/>
      <c r="D10" s="26"/>
      <c r="E10" s="26"/>
      <c r="F10" s="27"/>
    </row>
    <row r="11" spans="1:6" x14ac:dyDescent="0.25">
      <c r="A11" s="32" t="s">
        <v>5</v>
      </c>
      <c r="B11" s="33"/>
      <c r="C11" s="33"/>
      <c r="D11" s="33"/>
      <c r="E11" s="33"/>
      <c r="F11" s="34"/>
    </row>
    <row r="12" spans="1:6" x14ac:dyDescent="0.25">
      <c r="A12" s="32" t="s">
        <v>6</v>
      </c>
      <c r="B12" s="33"/>
      <c r="C12" s="33"/>
      <c r="D12" s="33"/>
      <c r="E12" s="33"/>
      <c r="F12" s="34"/>
    </row>
    <row r="13" spans="1:6" ht="9" customHeight="1" x14ac:dyDescent="0.25">
      <c r="A13" s="35"/>
      <c r="B13" s="33"/>
      <c r="C13" s="33"/>
      <c r="D13" s="33"/>
      <c r="E13" s="33"/>
      <c r="F13" s="34"/>
    </row>
    <row r="14" spans="1:6" x14ac:dyDescent="0.25">
      <c r="A14" s="36" t="s">
        <v>907</v>
      </c>
      <c r="B14" s="33"/>
      <c r="C14" s="33"/>
      <c r="D14" s="33"/>
      <c r="E14" s="33"/>
      <c r="F14" s="34"/>
    </row>
    <row r="15" spans="1:6" ht="21.75" customHeight="1" x14ac:dyDescent="0.25">
      <c r="A15" s="86" t="s">
        <v>916</v>
      </c>
      <c r="B15" s="87"/>
      <c r="C15" s="87"/>
      <c r="D15" s="87"/>
      <c r="E15" s="88"/>
      <c r="F15" s="37"/>
    </row>
    <row r="16" spans="1:6" x14ac:dyDescent="0.25">
      <c r="A16" s="38" t="s">
        <v>7</v>
      </c>
      <c r="B16" s="89"/>
      <c r="C16" s="90"/>
      <c r="D16" s="90"/>
      <c r="E16" s="91"/>
      <c r="F16" s="37"/>
    </row>
    <row r="17" spans="1:7" ht="31.15" customHeight="1" x14ac:dyDescent="0.25">
      <c r="A17" s="36" t="s">
        <v>8</v>
      </c>
      <c r="B17" s="39">
        <f>C55</f>
        <v>0</v>
      </c>
      <c r="C17" s="98" t="str">
        <f>PesosMN(B17)</f>
        <v xml:space="preserve"> ( PESO 00/100 M.N.)</v>
      </c>
      <c r="D17" s="99"/>
      <c r="E17" s="100"/>
      <c r="F17" s="40"/>
    </row>
    <row r="18" spans="1:7" ht="8.25" customHeight="1" x14ac:dyDescent="0.25">
      <c r="A18" s="36"/>
      <c r="B18" s="36"/>
      <c r="C18" s="36"/>
      <c r="D18" s="36"/>
      <c r="E18" s="36"/>
      <c r="F18" s="41"/>
      <c r="G18" s="42"/>
    </row>
    <row r="19" spans="1:7" ht="22.5" customHeight="1" x14ac:dyDescent="0.25">
      <c r="A19" s="92" t="s">
        <v>9</v>
      </c>
      <c r="B19" s="92"/>
      <c r="C19" s="92"/>
      <c r="D19" s="92"/>
      <c r="E19" s="92"/>
      <c r="F19" s="93"/>
      <c r="G19" s="42"/>
    </row>
    <row r="20" spans="1:7" ht="22.5" customHeight="1" x14ac:dyDescent="0.25">
      <c r="A20" s="94" t="s">
        <v>917</v>
      </c>
      <c r="B20" s="94"/>
      <c r="C20" s="94"/>
      <c r="D20" s="94"/>
      <c r="E20" s="94"/>
      <c r="F20" s="43"/>
      <c r="G20" s="42"/>
    </row>
    <row r="21" spans="1:7" ht="22.5" customHeight="1" x14ac:dyDescent="0.25">
      <c r="A21" s="94"/>
      <c r="B21" s="94"/>
      <c r="C21" s="94"/>
      <c r="D21" s="94"/>
      <c r="E21" s="94"/>
      <c r="F21" s="43"/>
      <c r="G21" s="42"/>
    </row>
    <row r="22" spans="1:7" ht="22.5" customHeight="1" x14ac:dyDescent="0.25">
      <c r="A22" s="94"/>
      <c r="B22" s="94"/>
      <c r="C22" s="94"/>
      <c r="D22" s="94"/>
      <c r="E22" s="94"/>
      <c r="F22" s="43"/>
      <c r="G22" s="42"/>
    </row>
    <row r="23" spans="1:7" ht="22.9" customHeight="1" x14ac:dyDescent="0.25">
      <c r="A23" s="95"/>
      <c r="B23" s="95"/>
      <c r="C23" s="95"/>
      <c r="D23" s="95"/>
      <c r="E23" s="95"/>
      <c r="F23" s="44"/>
      <c r="G23" s="42"/>
    </row>
    <row r="24" spans="1:7" ht="18.75" customHeight="1" x14ac:dyDescent="0.25">
      <c r="A24" s="36" t="s">
        <v>10</v>
      </c>
      <c r="B24" s="101" t="s">
        <v>918</v>
      </c>
      <c r="C24" s="102"/>
      <c r="D24" s="102"/>
      <c r="E24" s="103"/>
      <c r="F24" s="37"/>
      <c r="G24" s="42"/>
    </row>
    <row r="25" spans="1:7" ht="18.75" customHeight="1" x14ac:dyDescent="0.25">
      <c r="A25" s="36" t="s">
        <v>11</v>
      </c>
      <c r="B25" s="101" t="s">
        <v>919</v>
      </c>
      <c r="C25" s="102"/>
      <c r="D25" s="102"/>
      <c r="E25" s="103"/>
      <c r="F25" s="40"/>
      <c r="G25" s="42"/>
    </row>
    <row r="26" spans="1:7" ht="18.75" customHeight="1" x14ac:dyDescent="0.25">
      <c r="A26" s="36" t="s">
        <v>12</v>
      </c>
      <c r="B26" s="101" t="s">
        <v>920</v>
      </c>
      <c r="C26" s="102"/>
      <c r="D26" s="102"/>
      <c r="E26" s="103"/>
      <c r="F26" s="40"/>
      <c r="G26" s="42"/>
    </row>
    <row r="27" spans="1:7" x14ac:dyDescent="0.25">
      <c r="A27" s="36"/>
      <c r="B27" s="36"/>
      <c r="C27" s="36"/>
      <c r="D27" s="36"/>
      <c r="E27" s="36"/>
      <c r="F27" s="41"/>
      <c r="G27" s="42"/>
    </row>
    <row r="28" spans="1:7" x14ac:dyDescent="0.25">
      <c r="A28" s="61" t="s">
        <v>13</v>
      </c>
      <c r="B28" s="61"/>
      <c r="C28" s="61"/>
      <c r="D28" s="61"/>
      <c r="E28" s="61"/>
      <c r="F28" s="41"/>
      <c r="G28" s="42"/>
    </row>
    <row r="29" spans="1:7" ht="5.25" customHeight="1" x14ac:dyDescent="0.25">
      <c r="A29" s="36" t="s">
        <v>14</v>
      </c>
      <c r="B29" s="36"/>
      <c r="C29" s="36"/>
      <c r="D29" s="36"/>
      <c r="E29" s="36"/>
      <c r="F29" s="41"/>
      <c r="G29" s="42"/>
    </row>
    <row r="30" spans="1:7" ht="66" customHeight="1" x14ac:dyDescent="0.25">
      <c r="A30" s="63" t="s">
        <v>908</v>
      </c>
      <c r="B30" s="63"/>
      <c r="C30" s="63"/>
      <c r="D30" s="63"/>
      <c r="E30" s="63"/>
      <c r="F30" s="37"/>
      <c r="G30" s="42"/>
    </row>
    <row r="31" spans="1:7" ht="6.75" customHeight="1" x14ac:dyDescent="0.25">
      <c r="A31" s="36"/>
      <c r="B31" s="36"/>
      <c r="C31" s="36"/>
      <c r="D31" s="36"/>
      <c r="E31" s="36"/>
      <c r="F31" s="41"/>
      <c r="G31" s="42"/>
    </row>
    <row r="32" spans="1:7" ht="21" customHeight="1" x14ac:dyDescent="0.25">
      <c r="A32" s="64" t="s">
        <v>909</v>
      </c>
      <c r="B32" s="64"/>
      <c r="C32" s="64"/>
      <c r="D32" s="64"/>
      <c r="E32" s="64"/>
      <c r="F32" s="65"/>
      <c r="G32" s="42"/>
    </row>
    <row r="33" spans="1:7" x14ac:dyDescent="0.25">
      <c r="A33" s="36"/>
      <c r="B33" s="36"/>
      <c r="C33" s="36"/>
      <c r="D33" s="36"/>
      <c r="E33" s="36"/>
      <c r="F33" s="41"/>
      <c r="G33" s="42"/>
    </row>
    <row r="34" spans="1:7" ht="16.5" customHeight="1" x14ac:dyDescent="0.25">
      <c r="A34" s="64" t="s">
        <v>910</v>
      </c>
      <c r="B34" s="64"/>
      <c r="C34" s="64"/>
      <c r="D34" s="64"/>
      <c r="E34" s="64"/>
      <c r="F34" s="65"/>
      <c r="G34" s="42"/>
    </row>
    <row r="35" spans="1:7" x14ac:dyDescent="0.25">
      <c r="A35" s="36"/>
      <c r="B35" s="36"/>
      <c r="C35" s="36"/>
      <c r="D35" s="36"/>
      <c r="E35" s="36"/>
      <c r="F35" s="41"/>
      <c r="G35" s="42"/>
    </row>
    <row r="36" spans="1:7" ht="44.25" customHeight="1" x14ac:dyDescent="0.25">
      <c r="A36" s="63" t="s">
        <v>911</v>
      </c>
      <c r="B36" s="63"/>
      <c r="C36" s="63"/>
      <c r="D36" s="63"/>
      <c r="E36" s="63"/>
      <c r="F36" s="37"/>
      <c r="G36" s="42"/>
    </row>
    <row r="37" spans="1:7" x14ac:dyDescent="0.25">
      <c r="A37" s="36"/>
      <c r="B37" s="36"/>
      <c r="C37" s="36"/>
      <c r="D37" s="36"/>
      <c r="E37" s="36"/>
      <c r="F37" s="41"/>
      <c r="G37" s="42"/>
    </row>
    <row r="38" spans="1:7" x14ac:dyDescent="0.25">
      <c r="A38" s="45" t="s">
        <v>912</v>
      </c>
      <c r="B38" s="45"/>
      <c r="C38" s="96" t="s">
        <v>922</v>
      </c>
      <c r="D38" s="96"/>
      <c r="E38" s="96"/>
      <c r="F38" s="40"/>
      <c r="G38" s="42"/>
    </row>
    <row r="39" spans="1:7" x14ac:dyDescent="0.25">
      <c r="A39" s="36"/>
      <c r="B39" s="36"/>
      <c r="C39" s="36"/>
      <c r="D39" s="36"/>
      <c r="E39" s="36"/>
      <c r="F39" s="41"/>
      <c r="G39" s="42"/>
    </row>
    <row r="40" spans="1:7" x14ac:dyDescent="0.25">
      <c r="A40" s="36" t="s">
        <v>913</v>
      </c>
      <c r="B40" s="36"/>
      <c r="C40" s="97" t="str">
        <f>A15</f>
        <v>LIC. JUAN PEREZ LOPEZ</v>
      </c>
      <c r="D40" s="97"/>
      <c r="E40" s="97"/>
      <c r="F40" s="40"/>
      <c r="G40" s="42"/>
    </row>
    <row r="41" spans="1:7" x14ac:dyDescent="0.25">
      <c r="A41" s="36"/>
      <c r="B41" s="36"/>
      <c r="C41" s="36"/>
      <c r="D41" s="36"/>
      <c r="E41" s="36"/>
      <c r="F41" s="41"/>
      <c r="G41" s="42"/>
    </row>
    <row r="42" spans="1:7" x14ac:dyDescent="0.25">
      <c r="A42" s="36"/>
      <c r="B42" s="36"/>
      <c r="C42" s="36"/>
      <c r="D42" s="36"/>
      <c r="E42" s="36"/>
      <c r="F42" s="41"/>
      <c r="G42" s="42"/>
    </row>
    <row r="43" spans="1:7" x14ac:dyDescent="0.25">
      <c r="A43" s="36"/>
      <c r="B43" s="97"/>
      <c r="C43" s="97"/>
      <c r="D43" s="97"/>
      <c r="E43" s="36"/>
      <c r="F43" s="41"/>
      <c r="G43" s="42"/>
    </row>
    <row r="44" spans="1:7" x14ac:dyDescent="0.25">
      <c r="A44" s="36"/>
      <c r="B44" s="58" t="s">
        <v>15</v>
      </c>
      <c r="C44" s="58"/>
      <c r="D44" s="58"/>
      <c r="E44" s="36"/>
      <c r="F44" s="41"/>
      <c r="G44" s="42"/>
    </row>
    <row r="45" spans="1:7" x14ac:dyDescent="0.25">
      <c r="A45" s="36"/>
      <c r="B45" s="36"/>
      <c r="C45" s="36"/>
      <c r="D45" s="36"/>
      <c r="E45" s="36"/>
      <c r="F45" s="41"/>
      <c r="G45" s="42"/>
    </row>
    <row r="46" spans="1:7" ht="19.5" customHeight="1" x14ac:dyDescent="0.25">
      <c r="A46" s="59"/>
      <c r="B46" s="59"/>
      <c r="C46" s="59"/>
      <c r="D46" s="59"/>
      <c r="E46" s="59"/>
      <c r="F46" s="60"/>
    </row>
    <row r="47" spans="1:7" x14ac:dyDescent="0.25">
      <c r="A47" s="36"/>
      <c r="B47" s="36"/>
      <c r="C47" s="36"/>
      <c r="D47" s="36"/>
      <c r="E47" s="36"/>
      <c r="F47" s="41"/>
      <c r="G47" s="42"/>
    </row>
    <row r="48" spans="1:7" x14ac:dyDescent="0.25">
      <c r="A48" s="46" t="s">
        <v>16</v>
      </c>
      <c r="B48" s="47" t="s">
        <v>17</v>
      </c>
      <c r="C48" s="61" t="s">
        <v>914</v>
      </c>
      <c r="D48" s="61"/>
      <c r="E48" s="61"/>
      <c r="F48" s="62"/>
      <c r="G48" s="42"/>
    </row>
    <row r="49" spans="1:7" s="56" customFormat="1" x14ac:dyDescent="0.25">
      <c r="A49" s="48"/>
      <c r="B49" s="53"/>
      <c r="C49" s="54"/>
      <c r="D49" s="77" t="str">
        <f>PesosMN(C49)</f>
        <v xml:space="preserve"> ( PESO 00/100 M.N.)</v>
      </c>
      <c r="E49" s="77"/>
      <c r="F49" s="78"/>
      <c r="G49" s="55"/>
    </row>
    <row r="50" spans="1:7" s="56" customFormat="1" x14ac:dyDescent="0.25">
      <c r="A50" s="48"/>
      <c r="B50" s="53"/>
      <c r="C50" s="54"/>
      <c r="D50" s="77" t="str">
        <f t="shared" ref="D50:D53" si="0">PesosMN(C50)</f>
        <v xml:space="preserve"> ( PESO 00/100 M.N.)</v>
      </c>
      <c r="E50" s="77"/>
      <c r="F50" s="78"/>
      <c r="G50" s="55"/>
    </row>
    <row r="51" spans="1:7" s="56" customFormat="1" x14ac:dyDescent="0.25">
      <c r="A51" s="48"/>
      <c r="B51" s="53"/>
      <c r="C51" s="54"/>
      <c r="D51" s="77" t="str">
        <f t="shared" si="0"/>
        <v xml:space="preserve"> ( PESO 00/100 M.N.)</v>
      </c>
      <c r="E51" s="77"/>
      <c r="F51" s="78"/>
      <c r="G51" s="55"/>
    </row>
    <row r="52" spans="1:7" s="56" customFormat="1" x14ac:dyDescent="0.25">
      <c r="A52" s="48"/>
      <c r="B52" s="53"/>
      <c r="C52" s="54"/>
      <c r="D52" s="77" t="str">
        <f t="shared" si="0"/>
        <v xml:space="preserve"> ( PESO 00/100 M.N.)</v>
      </c>
      <c r="E52" s="77"/>
      <c r="F52" s="78"/>
      <c r="G52" s="55"/>
    </row>
    <row r="53" spans="1:7" s="56" customFormat="1" x14ac:dyDescent="0.25">
      <c r="A53" s="48"/>
      <c r="B53" s="53"/>
      <c r="C53" s="54"/>
      <c r="D53" s="77" t="str">
        <f t="shared" si="0"/>
        <v xml:space="preserve"> ( PESO 00/100 M.N.)</v>
      </c>
      <c r="E53" s="77"/>
      <c r="F53" s="78"/>
      <c r="G53" s="55"/>
    </row>
    <row r="54" spans="1:7" s="56" customFormat="1" x14ac:dyDescent="0.25">
      <c r="A54" s="48"/>
      <c r="B54" s="53"/>
      <c r="C54" s="54"/>
      <c r="D54" s="77" t="str">
        <f t="shared" ref="D54" si="1">PesosMN(C54)</f>
        <v xml:space="preserve"> ( PESO 00/100 M.N.)</v>
      </c>
      <c r="E54" s="77"/>
      <c r="F54" s="78"/>
      <c r="G54" s="55"/>
    </row>
    <row r="55" spans="1:7" ht="20.25" customHeight="1" x14ac:dyDescent="0.25">
      <c r="A55" s="49"/>
      <c r="B55" s="49" t="s">
        <v>19</v>
      </c>
      <c r="C55" s="50">
        <f>SUM(C49:C54)</f>
        <v>0</v>
      </c>
      <c r="D55" s="79" t="str">
        <f>PesosMN(C55)</f>
        <v xml:space="preserve"> ( PESO 00/100 M.N.)</v>
      </c>
      <c r="E55" s="79"/>
      <c r="F55" s="80"/>
      <c r="G55" s="42"/>
    </row>
    <row r="56" spans="1:7" ht="16.5" thickBot="1" x14ac:dyDescent="0.3">
      <c r="A56" s="51"/>
      <c r="B56" s="51"/>
      <c r="C56" s="51"/>
      <c r="D56" s="51"/>
      <c r="E56" s="51"/>
      <c r="F56" s="52"/>
      <c r="G56" s="42"/>
    </row>
    <row r="57" spans="1:7" x14ac:dyDescent="0.25">
      <c r="A57" s="74" t="s">
        <v>921</v>
      </c>
      <c r="B57" s="74"/>
      <c r="C57" s="66"/>
      <c r="D57" s="67"/>
      <c r="E57" s="67"/>
      <c r="F57" s="68"/>
      <c r="G57" s="42"/>
    </row>
    <row r="58" spans="1:7" x14ac:dyDescent="0.25">
      <c r="A58" s="75"/>
      <c r="B58" s="75"/>
      <c r="C58" s="69"/>
      <c r="D58" s="58"/>
      <c r="E58" s="58"/>
      <c r="F58" s="70"/>
      <c r="G58" s="42"/>
    </row>
    <row r="59" spans="1:7" x14ac:dyDescent="0.25">
      <c r="A59" s="75"/>
      <c r="B59" s="75"/>
      <c r="C59" s="69"/>
      <c r="D59" s="58"/>
      <c r="E59" s="58"/>
      <c r="F59" s="70"/>
      <c r="G59" s="42"/>
    </row>
    <row r="60" spans="1:7" x14ac:dyDescent="0.25">
      <c r="A60" s="75"/>
      <c r="B60" s="75"/>
      <c r="C60" s="69"/>
      <c r="D60" s="58"/>
      <c r="E60" s="58"/>
      <c r="F60" s="70"/>
      <c r="G60" s="42"/>
    </row>
    <row r="61" spans="1:7" ht="16.5" thickBot="1" x14ac:dyDescent="0.3">
      <c r="A61" s="75"/>
      <c r="B61" s="75"/>
      <c r="C61" s="71"/>
      <c r="D61" s="72"/>
      <c r="E61" s="72"/>
      <c r="F61" s="73"/>
      <c r="G61" s="42"/>
    </row>
    <row r="62" spans="1:7" ht="24.6" customHeight="1" x14ac:dyDescent="0.25">
      <c r="A62" s="75"/>
      <c r="B62" s="75"/>
      <c r="C62" s="81" t="s">
        <v>20</v>
      </c>
      <c r="D62" s="82"/>
      <c r="E62" s="82"/>
      <c r="F62" s="83"/>
      <c r="G62" s="42"/>
    </row>
    <row r="63" spans="1:7" ht="16.5" thickBot="1" x14ac:dyDescent="0.3">
      <c r="A63" s="76"/>
      <c r="B63" s="76"/>
      <c r="C63" s="71" t="s">
        <v>21</v>
      </c>
      <c r="D63" s="72"/>
      <c r="E63" s="72"/>
      <c r="F63" s="73"/>
      <c r="G63" s="42"/>
    </row>
    <row r="64" spans="1:7" x14ac:dyDescent="0.25">
      <c r="A64" s="42"/>
      <c r="B64" s="42"/>
      <c r="C64" s="42"/>
      <c r="D64" s="42"/>
      <c r="E64" s="42"/>
      <c r="F64" s="42"/>
      <c r="G64" s="42"/>
    </row>
    <row r="65" spans="1:7" x14ac:dyDescent="0.25">
      <c r="A65" s="42"/>
      <c r="B65" s="42"/>
      <c r="C65" s="42"/>
      <c r="D65" s="42"/>
      <c r="E65" s="42"/>
      <c r="F65" s="42"/>
      <c r="G65" s="42"/>
    </row>
    <row r="66" spans="1:7" x14ac:dyDescent="0.25">
      <c r="A66" s="42"/>
      <c r="B66" s="42"/>
      <c r="C66" s="42"/>
      <c r="D66" s="42"/>
      <c r="E66" s="42"/>
      <c r="F66" s="42"/>
      <c r="G66" s="42"/>
    </row>
    <row r="67" spans="1:7" x14ac:dyDescent="0.25">
      <c r="A67" s="42"/>
      <c r="B67" s="42"/>
      <c r="C67" s="42"/>
      <c r="D67" s="42"/>
      <c r="E67" s="42"/>
      <c r="F67" s="42"/>
      <c r="G67" s="42"/>
    </row>
    <row r="68" spans="1:7" x14ac:dyDescent="0.25">
      <c r="A68" s="42"/>
      <c r="B68" s="42"/>
      <c r="C68" s="42"/>
      <c r="D68" s="42"/>
      <c r="E68" s="42"/>
      <c r="F68" s="42"/>
      <c r="G68" s="42"/>
    </row>
    <row r="69" spans="1:7" x14ac:dyDescent="0.25">
      <c r="A69" s="42"/>
      <c r="B69" s="42"/>
      <c r="C69" s="42"/>
      <c r="D69" s="42"/>
      <c r="E69" s="42"/>
      <c r="F69" s="42"/>
      <c r="G69" s="42"/>
    </row>
    <row r="70" spans="1:7" x14ac:dyDescent="0.25">
      <c r="A70" s="42"/>
      <c r="B70" s="42"/>
      <c r="C70" s="42"/>
      <c r="D70" s="42"/>
      <c r="E70" s="42"/>
      <c r="F70" s="42"/>
      <c r="G70" s="42"/>
    </row>
    <row r="71" spans="1:7" x14ac:dyDescent="0.25">
      <c r="A71" s="42"/>
      <c r="B71" s="42"/>
      <c r="C71" s="42"/>
      <c r="D71" s="42"/>
      <c r="E71" s="42"/>
      <c r="F71" s="42"/>
      <c r="G71" s="42"/>
    </row>
    <row r="72" spans="1:7" x14ac:dyDescent="0.25">
      <c r="A72" s="42"/>
      <c r="B72" s="42"/>
      <c r="C72" s="42"/>
      <c r="D72" s="42"/>
      <c r="E72" s="42"/>
      <c r="F72" s="42"/>
      <c r="G72" s="42"/>
    </row>
    <row r="73" spans="1:7" x14ac:dyDescent="0.25">
      <c r="A73" s="42"/>
      <c r="B73" s="42"/>
      <c r="C73" s="42"/>
      <c r="D73" s="42"/>
      <c r="E73" s="42"/>
      <c r="F73" s="42"/>
      <c r="G73" s="42"/>
    </row>
    <row r="74" spans="1:7" x14ac:dyDescent="0.25">
      <c r="A74" s="42"/>
      <c r="B74" s="42"/>
      <c r="C74" s="42"/>
      <c r="D74" s="42"/>
      <c r="E74" s="42"/>
      <c r="F74" s="42"/>
      <c r="G74" s="42"/>
    </row>
    <row r="75" spans="1:7" x14ac:dyDescent="0.25">
      <c r="A75" s="42"/>
      <c r="B75" s="42"/>
      <c r="C75" s="42"/>
      <c r="D75" s="42"/>
      <c r="E75" s="42"/>
      <c r="F75" s="42"/>
      <c r="G75" s="42"/>
    </row>
    <row r="76" spans="1:7" x14ac:dyDescent="0.25">
      <c r="A76" s="42"/>
      <c r="B76" s="42"/>
      <c r="C76" s="42"/>
      <c r="D76" s="42"/>
      <c r="E76" s="42"/>
      <c r="F76" s="42"/>
      <c r="G76" s="42"/>
    </row>
    <row r="77" spans="1:7" x14ac:dyDescent="0.25">
      <c r="A77" s="42"/>
      <c r="B77" s="42"/>
      <c r="C77" s="42"/>
      <c r="D77" s="42"/>
      <c r="E77" s="42"/>
      <c r="F77" s="42"/>
      <c r="G77" s="42"/>
    </row>
    <row r="78" spans="1:7" x14ac:dyDescent="0.25">
      <c r="A78" s="42"/>
      <c r="B78" s="42"/>
      <c r="C78" s="42"/>
      <c r="D78" s="42"/>
      <c r="E78" s="42"/>
      <c r="F78" s="42"/>
      <c r="G78" s="42"/>
    </row>
    <row r="79" spans="1:7" x14ac:dyDescent="0.25">
      <c r="A79" s="42"/>
      <c r="B79" s="42"/>
      <c r="C79" s="42"/>
      <c r="D79" s="42"/>
      <c r="E79" s="42"/>
      <c r="F79" s="42"/>
      <c r="G79" s="42"/>
    </row>
    <row r="80" spans="1:7" x14ac:dyDescent="0.25">
      <c r="A80" s="42"/>
      <c r="B80" s="42"/>
      <c r="C80" s="42"/>
      <c r="D80" s="42"/>
      <c r="E80" s="42"/>
      <c r="F80" s="42"/>
      <c r="G80" s="42"/>
    </row>
    <row r="81" spans="1:7" x14ac:dyDescent="0.25">
      <c r="A81" s="42"/>
      <c r="B81" s="42"/>
      <c r="C81" s="42"/>
      <c r="D81" s="42"/>
      <c r="E81" s="42"/>
      <c r="F81" s="42"/>
      <c r="G81" s="42"/>
    </row>
    <row r="82" spans="1:7" x14ac:dyDescent="0.25">
      <c r="A82" s="42"/>
      <c r="B82" s="42"/>
      <c r="C82" s="42"/>
      <c r="D82" s="42"/>
      <c r="E82" s="42"/>
      <c r="F82" s="42"/>
      <c r="G82" s="42"/>
    </row>
    <row r="83" spans="1:7" x14ac:dyDescent="0.25">
      <c r="A83" s="42"/>
      <c r="B83" s="42"/>
      <c r="C83" s="42"/>
      <c r="D83" s="42"/>
      <c r="E83" s="42"/>
      <c r="F83" s="42"/>
      <c r="G83" s="42"/>
    </row>
    <row r="84" spans="1:7" x14ac:dyDescent="0.25">
      <c r="A84" s="42"/>
      <c r="B84" s="42"/>
      <c r="C84" s="42"/>
      <c r="D84" s="42"/>
      <c r="E84" s="42"/>
      <c r="F84" s="42"/>
      <c r="G84" s="42"/>
    </row>
    <row r="85" spans="1:7" x14ac:dyDescent="0.25">
      <c r="A85" s="42"/>
      <c r="B85" s="42"/>
      <c r="C85" s="42"/>
      <c r="D85" s="42"/>
      <c r="E85" s="42"/>
      <c r="F85" s="42"/>
      <c r="G85" s="42"/>
    </row>
    <row r="86" spans="1:7" x14ac:dyDescent="0.25">
      <c r="A86" s="42"/>
      <c r="B86" s="42"/>
      <c r="C86" s="42"/>
      <c r="D86" s="42"/>
      <c r="E86" s="42"/>
      <c r="F86" s="42"/>
      <c r="G86" s="42"/>
    </row>
    <row r="87" spans="1:7" x14ac:dyDescent="0.25">
      <c r="A87" s="42"/>
      <c r="B87" s="42"/>
      <c r="C87" s="42"/>
      <c r="D87" s="42"/>
      <c r="E87" s="42"/>
      <c r="F87" s="42"/>
      <c r="G87" s="42"/>
    </row>
    <row r="88" spans="1:7" x14ac:dyDescent="0.25">
      <c r="A88" s="42"/>
      <c r="B88" s="42"/>
      <c r="C88" s="42"/>
      <c r="D88" s="42"/>
      <c r="E88" s="42"/>
      <c r="F88" s="42"/>
      <c r="G88" s="42"/>
    </row>
    <row r="89" spans="1:7" x14ac:dyDescent="0.25">
      <c r="A89" s="42"/>
      <c r="B89" s="42"/>
      <c r="C89" s="42"/>
      <c r="D89" s="42"/>
      <c r="E89" s="42"/>
      <c r="F89" s="42"/>
      <c r="G89" s="42"/>
    </row>
    <row r="90" spans="1:7" x14ac:dyDescent="0.25">
      <c r="A90" s="42"/>
      <c r="B90" s="42"/>
      <c r="C90" s="42"/>
      <c r="D90" s="42"/>
      <c r="E90" s="42"/>
      <c r="F90" s="42"/>
      <c r="G90" s="42"/>
    </row>
    <row r="91" spans="1:7" x14ac:dyDescent="0.25">
      <c r="A91" s="42"/>
      <c r="B91" s="42"/>
      <c r="C91" s="42"/>
      <c r="D91" s="42"/>
      <c r="E91" s="42"/>
      <c r="F91" s="42"/>
      <c r="G91" s="42"/>
    </row>
    <row r="92" spans="1:7" x14ac:dyDescent="0.25">
      <c r="A92" s="42"/>
      <c r="B92" s="42"/>
      <c r="C92" s="42"/>
      <c r="D92" s="42"/>
      <c r="E92" s="42"/>
      <c r="F92" s="42"/>
      <c r="G92" s="42"/>
    </row>
    <row r="93" spans="1:7" x14ac:dyDescent="0.25">
      <c r="A93" s="42"/>
      <c r="B93" s="42"/>
      <c r="C93" s="42"/>
      <c r="D93" s="42"/>
      <c r="E93" s="42"/>
      <c r="F93" s="42"/>
      <c r="G93" s="42"/>
    </row>
    <row r="94" spans="1:7" x14ac:dyDescent="0.25">
      <c r="A94" s="42"/>
      <c r="B94" s="42"/>
      <c r="C94" s="42"/>
      <c r="D94" s="42"/>
      <c r="E94" s="42"/>
      <c r="F94" s="42"/>
      <c r="G94" s="42"/>
    </row>
    <row r="95" spans="1:7" x14ac:dyDescent="0.25">
      <c r="A95" s="42"/>
      <c r="B95" s="42"/>
      <c r="C95" s="42"/>
      <c r="D95" s="42"/>
      <c r="E95" s="42"/>
      <c r="F95" s="42"/>
      <c r="G95" s="42"/>
    </row>
    <row r="96" spans="1:7" x14ac:dyDescent="0.25">
      <c r="A96" s="42"/>
      <c r="B96" s="42"/>
      <c r="C96" s="42"/>
      <c r="D96" s="42"/>
      <c r="E96" s="42"/>
      <c r="F96" s="42"/>
      <c r="G96" s="42"/>
    </row>
    <row r="97" spans="1:7" x14ac:dyDescent="0.25">
      <c r="A97" s="42"/>
      <c r="B97" s="42"/>
      <c r="C97" s="42"/>
      <c r="D97" s="42"/>
      <c r="E97" s="42"/>
      <c r="F97" s="42"/>
      <c r="G97" s="42"/>
    </row>
    <row r="98" spans="1:7" x14ac:dyDescent="0.25">
      <c r="A98" s="42"/>
      <c r="B98" s="42"/>
      <c r="C98" s="42"/>
      <c r="D98" s="42"/>
      <c r="E98" s="42"/>
      <c r="F98" s="42"/>
      <c r="G98" s="42"/>
    </row>
    <row r="99" spans="1:7" x14ac:dyDescent="0.25">
      <c r="A99" s="42"/>
      <c r="B99" s="42"/>
      <c r="C99" s="42"/>
      <c r="D99" s="42"/>
      <c r="E99" s="42"/>
      <c r="F99" s="42"/>
      <c r="G99" s="42"/>
    </row>
    <row r="100" spans="1:7" x14ac:dyDescent="0.25">
      <c r="A100" s="42"/>
      <c r="B100" s="42"/>
      <c r="C100" s="42"/>
      <c r="D100" s="42"/>
      <c r="E100" s="42"/>
      <c r="F100" s="42"/>
      <c r="G100" s="42"/>
    </row>
  </sheetData>
  <sheetProtection sheet="1" formatCells="0" formatColumns="0" formatRows="0" insertColumns="0" insertRows="0" deleteColumns="0" deleteRows="0" sort="0" autoFilter="0" pivotTables="0"/>
  <dataConsolidate/>
  <mergeCells count="34">
    <mergeCell ref="D52:F52"/>
    <mergeCell ref="D53:F53"/>
    <mergeCell ref="B16:E16"/>
    <mergeCell ref="A19:F19"/>
    <mergeCell ref="A20:E23"/>
    <mergeCell ref="D50:F50"/>
    <mergeCell ref="D51:F51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B3:F3"/>
    <mergeCell ref="B4:E4"/>
    <mergeCell ref="B5:E5"/>
    <mergeCell ref="A9:F9"/>
    <mergeCell ref="A15:E15"/>
    <mergeCell ref="C57:F61"/>
    <mergeCell ref="A57:B63"/>
    <mergeCell ref="D54:F54"/>
    <mergeCell ref="D55:F55"/>
    <mergeCell ref="C62:F62"/>
    <mergeCell ref="C63:F63"/>
    <mergeCell ref="B44:D44"/>
    <mergeCell ref="A46:F46"/>
    <mergeCell ref="C48:F48"/>
    <mergeCell ref="A30:E30"/>
    <mergeCell ref="A32:F32"/>
    <mergeCell ref="A34:F34"/>
    <mergeCell ref="A36:E36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4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proyecto!$A$2:$A$200</xm:f>
          </x14:formula1>
          <xm:sqref>B49:B54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46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22</v>
      </c>
      <c r="C1" s="3" t="s">
        <v>23</v>
      </c>
      <c r="D1" s="3" t="s">
        <v>24</v>
      </c>
      <c r="E1" s="104" t="s">
        <v>25</v>
      </c>
      <c r="F1" s="105"/>
      <c r="G1" s="106"/>
      <c r="H1" s="3" t="s">
        <v>26</v>
      </c>
      <c r="I1" s="3" t="s">
        <v>27</v>
      </c>
      <c r="J1" s="3" t="s">
        <v>28</v>
      </c>
      <c r="K1" s="3" t="s">
        <v>29</v>
      </c>
      <c r="L1" s="3" t="s">
        <v>30</v>
      </c>
      <c r="M1" s="3" t="s">
        <v>31</v>
      </c>
      <c r="N1" s="3" t="s">
        <v>32</v>
      </c>
      <c r="O1" s="3" t="s">
        <v>33</v>
      </c>
      <c r="P1" s="11" t="s">
        <v>34</v>
      </c>
      <c r="Q1" s="23" t="s">
        <v>28</v>
      </c>
      <c r="R1" s="20" t="s">
        <v>35</v>
      </c>
      <c r="T1" s="11" t="s">
        <v>36</v>
      </c>
    </row>
    <row r="2" spans="1:20" ht="15.75" thickBot="1" x14ac:dyDescent="0.3">
      <c r="A2" s="4">
        <v>1</v>
      </c>
      <c r="B2" s="12">
        <v>10003659</v>
      </c>
      <c r="C2" s="12" t="s">
        <v>255</v>
      </c>
      <c r="D2" s="12">
        <v>10003659</v>
      </c>
      <c r="E2" s="12" t="s">
        <v>256</v>
      </c>
      <c r="F2" s="12" t="s">
        <v>257</v>
      </c>
      <c r="G2" s="12" t="s">
        <v>258</v>
      </c>
      <c r="H2" s="12" t="s">
        <v>259</v>
      </c>
      <c r="I2" s="12">
        <v>30070448</v>
      </c>
      <c r="J2" s="12" t="s">
        <v>260</v>
      </c>
      <c r="K2" s="4" t="s">
        <v>43</v>
      </c>
      <c r="L2" s="4" t="s">
        <v>44</v>
      </c>
      <c r="M2" s="12" t="s">
        <v>261</v>
      </c>
      <c r="N2" s="12" t="s">
        <v>262</v>
      </c>
      <c r="O2" s="7" t="s">
        <v>45</v>
      </c>
      <c r="P2" s="18" t="str">
        <f>CONCATENATE(E2,"    ",F2,"    ",G2)</f>
        <v>FERNANDO    OLIVERA    ROCHA</v>
      </c>
      <c r="Q2" s="12" t="s">
        <v>260</v>
      </c>
      <c r="R2" s="21" t="str">
        <f>CONCATENATE(N2,M2,L29)</f>
        <v>C2101     GEGCF51002C2104 GEG</v>
      </c>
      <c r="T2" t="s">
        <v>46</v>
      </c>
    </row>
    <row r="3" spans="1:20" ht="15.75" thickBot="1" x14ac:dyDescent="0.3">
      <c r="A3" s="4">
        <v>2</v>
      </c>
      <c r="B3" s="12">
        <v>10003659</v>
      </c>
      <c r="C3" s="12" t="s">
        <v>255</v>
      </c>
      <c r="D3" s="12">
        <v>10003659</v>
      </c>
      <c r="E3" s="12" t="s">
        <v>263</v>
      </c>
      <c r="F3" s="12" t="s">
        <v>264</v>
      </c>
      <c r="G3" s="12" t="s">
        <v>265</v>
      </c>
      <c r="H3" s="12" t="s">
        <v>266</v>
      </c>
      <c r="I3" s="12">
        <v>30070547</v>
      </c>
      <c r="J3" s="12" t="s">
        <v>267</v>
      </c>
      <c r="K3" s="4" t="s">
        <v>43</v>
      </c>
      <c r="L3" s="4" t="s">
        <v>44</v>
      </c>
      <c r="M3" s="12" t="s">
        <v>268</v>
      </c>
      <c r="N3" s="12" t="s">
        <v>262</v>
      </c>
      <c r="O3" s="7" t="s">
        <v>45</v>
      </c>
      <c r="P3" s="18" t="str">
        <f t="shared" ref="P3:P66" si="0">CONCATENATE(E3,"    ",F3,"    ",G3)</f>
        <v>MARICARMEN    VELA    ESCAMILLA</v>
      </c>
      <c r="Q3" s="12" t="s">
        <v>267</v>
      </c>
      <c r="R3" s="21" t="str">
        <f t="shared" ref="R3:R66" si="1">CONCATENATE(N3,M3,L30)</f>
        <v>C2101     GEGCF12028C2102 GEG</v>
      </c>
      <c r="T3" t="s">
        <v>35</v>
      </c>
    </row>
    <row r="4" spans="1:20" ht="15.75" thickBot="1" x14ac:dyDescent="0.3">
      <c r="A4" s="4">
        <v>3</v>
      </c>
      <c r="B4" s="12">
        <v>10003665</v>
      </c>
      <c r="C4" s="12" t="s">
        <v>269</v>
      </c>
      <c r="D4" s="12">
        <v>10003665</v>
      </c>
      <c r="E4" s="12" t="s">
        <v>270</v>
      </c>
      <c r="F4" s="12" t="s">
        <v>271</v>
      </c>
      <c r="G4" s="12" t="s">
        <v>272</v>
      </c>
      <c r="H4" s="12" t="s">
        <v>273</v>
      </c>
      <c r="I4" s="12">
        <v>30070552</v>
      </c>
      <c r="J4" s="12" t="s">
        <v>274</v>
      </c>
      <c r="K4" s="4" t="s">
        <v>43</v>
      </c>
      <c r="L4" s="4" t="s">
        <v>44</v>
      </c>
      <c r="M4" s="12" t="s">
        <v>275</v>
      </c>
      <c r="N4" s="12" t="s">
        <v>262</v>
      </c>
      <c r="O4" s="7" t="s">
        <v>45</v>
      </c>
      <c r="P4" s="18" t="str">
        <f t="shared" si="0"/>
        <v>JUAN IVAN    GARCIA    REYNA</v>
      </c>
      <c r="Q4" s="12" t="s">
        <v>274</v>
      </c>
      <c r="R4" s="21" t="str">
        <f t="shared" si="1"/>
        <v>C2101     GEGOS05002C2102 GEG</v>
      </c>
      <c r="T4" t="s">
        <v>58</v>
      </c>
    </row>
    <row r="5" spans="1:20" ht="15.75" thickBot="1" x14ac:dyDescent="0.3">
      <c r="A5" s="4">
        <v>4</v>
      </c>
      <c r="B5" s="12">
        <v>10003665</v>
      </c>
      <c r="C5" s="12" t="s">
        <v>269</v>
      </c>
      <c r="D5" s="12">
        <v>10003665</v>
      </c>
      <c r="E5" s="12" t="s">
        <v>276</v>
      </c>
      <c r="F5" s="12" t="s">
        <v>277</v>
      </c>
      <c r="G5" s="12" t="s">
        <v>40</v>
      </c>
      <c r="H5" s="12" t="s">
        <v>278</v>
      </c>
      <c r="I5" s="12">
        <v>30070553</v>
      </c>
      <c r="J5" s="12" t="s">
        <v>279</v>
      </c>
      <c r="K5" s="4" t="s">
        <v>43</v>
      </c>
      <c r="L5" s="4" t="s">
        <v>64</v>
      </c>
      <c r="M5" s="12" t="s">
        <v>275</v>
      </c>
      <c r="N5" s="12" t="s">
        <v>262</v>
      </c>
      <c r="O5" s="7" t="s">
        <v>45</v>
      </c>
      <c r="P5" s="18" t="str">
        <f t="shared" si="0"/>
        <v>ERNESTO RAMON    COVARRUBIAS    MARTINEZ</v>
      </c>
      <c r="Q5" s="12" t="s">
        <v>279</v>
      </c>
      <c r="R5" s="21" t="str">
        <f t="shared" si="1"/>
        <v>C2101     GEGOS05002C2102 GEG</v>
      </c>
    </row>
    <row r="6" spans="1:20" ht="15.75" thickBot="1" x14ac:dyDescent="0.3">
      <c r="A6" s="4">
        <v>5</v>
      </c>
      <c r="B6" s="12">
        <v>10003654</v>
      </c>
      <c r="C6" s="12" t="s">
        <v>52</v>
      </c>
      <c r="D6" s="12">
        <v>10003654</v>
      </c>
      <c r="E6" s="12" t="s">
        <v>284</v>
      </c>
      <c r="F6" s="12" t="s">
        <v>40</v>
      </c>
      <c r="G6" s="12" t="s">
        <v>133</v>
      </c>
      <c r="H6" s="12" t="s">
        <v>285</v>
      </c>
      <c r="I6" s="12">
        <v>30070555</v>
      </c>
      <c r="J6" s="12" t="s">
        <v>286</v>
      </c>
      <c r="K6" s="4" t="s">
        <v>43</v>
      </c>
      <c r="L6" s="4" t="s">
        <v>64</v>
      </c>
      <c r="M6" s="12" t="s">
        <v>287</v>
      </c>
      <c r="N6" s="12" t="s">
        <v>288</v>
      </c>
      <c r="O6" s="7" t="s">
        <v>45</v>
      </c>
      <c r="P6" s="18" t="str">
        <f t="shared" si="0"/>
        <v>ROGELIO    MARTINEZ    CABALLERO</v>
      </c>
      <c r="Q6" s="12" t="s">
        <v>286</v>
      </c>
      <c r="R6" s="21" t="str">
        <f t="shared" si="1"/>
        <v>C2103     GEGCF54001Ñ</v>
      </c>
    </row>
    <row r="7" spans="1:20" ht="15.75" thickBot="1" x14ac:dyDescent="0.3">
      <c r="A7" s="4">
        <v>6</v>
      </c>
      <c r="B7" s="12">
        <v>10003653</v>
      </c>
      <c r="C7" s="12" t="s">
        <v>106</v>
      </c>
      <c r="D7" s="12">
        <v>10003653</v>
      </c>
      <c r="E7" s="12" t="s">
        <v>289</v>
      </c>
      <c r="F7" s="12" t="s">
        <v>290</v>
      </c>
      <c r="G7" s="12" t="s">
        <v>75</v>
      </c>
      <c r="H7" s="12" t="s">
        <v>291</v>
      </c>
      <c r="I7" s="12">
        <v>30070556</v>
      </c>
      <c r="J7" s="12" t="s">
        <v>292</v>
      </c>
      <c r="K7" s="4" t="s">
        <v>43</v>
      </c>
      <c r="L7" s="4" t="s">
        <v>64</v>
      </c>
      <c r="M7" s="12" t="s">
        <v>287</v>
      </c>
      <c r="N7" s="12" t="s">
        <v>283</v>
      </c>
      <c r="O7" s="7" t="s">
        <v>45</v>
      </c>
      <c r="P7" s="18" t="str">
        <f t="shared" si="0"/>
        <v>FRIDA XIMENA    HUETT    LOPEZ</v>
      </c>
      <c r="Q7" s="12" t="s">
        <v>292</v>
      </c>
      <c r="R7" s="21" t="str">
        <f t="shared" si="1"/>
        <v>C2102     GEGCF54001C2103 GEG</v>
      </c>
    </row>
    <row r="8" spans="1:20" ht="15.75" thickBot="1" x14ac:dyDescent="0.3">
      <c r="A8" s="4">
        <v>7</v>
      </c>
      <c r="B8" s="12">
        <v>10003661</v>
      </c>
      <c r="C8" s="12" t="s">
        <v>73</v>
      </c>
      <c r="D8" s="12">
        <v>10003661</v>
      </c>
      <c r="E8" s="12" t="s">
        <v>293</v>
      </c>
      <c r="F8" s="12" t="s">
        <v>294</v>
      </c>
      <c r="G8" s="12" t="s">
        <v>295</v>
      </c>
      <c r="H8" s="12" t="s">
        <v>296</v>
      </c>
      <c r="I8" s="12">
        <v>30070557</v>
      </c>
      <c r="J8" s="12" t="s">
        <v>297</v>
      </c>
      <c r="K8" s="4" t="s">
        <v>43</v>
      </c>
      <c r="L8" s="4" t="s">
        <v>79</v>
      </c>
      <c r="M8" s="12" t="s">
        <v>287</v>
      </c>
      <c r="N8" s="12" t="s">
        <v>283</v>
      </c>
      <c r="O8" s="7" t="s">
        <v>45</v>
      </c>
      <c r="P8" s="18" t="str">
        <f t="shared" si="0"/>
        <v>MANUEL    CAMACHO    PICHARDO</v>
      </c>
      <c r="Q8" s="12" t="s">
        <v>297</v>
      </c>
      <c r="R8" s="21" t="str">
        <f t="shared" si="1"/>
        <v>C2102     GEGCF54001C2103 GEG</v>
      </c>
    </row>
    <row r="9" spans="1:20" ht="15.75" thickBot="1" x14ac:dyDescent="0.3">
      <c r="A9" s="4">
        <v>8</v>
      </c>
      <c r="B9" s="12">
        <v>10003653</v>
      </c>
      <c r="C9" s="12" t="s">
        <v>106</v>
      </c>
      <c r="D9" s="12">
        <v>10003653</v>
      </c>
      <c r="E9" s="12" t="s">
        <v>300</v>
      </c>
      <c r="F9" s="12" t="s">
        <v>301</v>
      </c>
      <c r="G9" s="12" t="s">
        <v>302</v>
      </c>
      <c r="H9" s="12" t="s">
        <v>303</v>
      </c>
      <c r="I9" s="12">
        <v>30070562</v>
      </c>
      <c r="J9" s="12" t="s">
        <v>304</v>
      </c>
      <c r="K9" s="4" t="s">
        <v>43</v>
      </c>
      <c r="L9" s="4" t="s">
        <v>44</v>
      </c>
      <c r="M9" s="12" t="s">
        <v>298</v>
      </c>
      <c r="N9" s="12" t="s">
        <v>283</v>
      </c>
      <c r="O9" s="7" t="s">
        <v>45</v>
      </c>
      <c r="P9" s="18" t="str">
        <f t="shared" si="0"/>
        <v>MARIA DE LOURDES    PONCE DE LEON    MIRELES</v>
      </c>
      <c r="Q9" s="12" t="s">
        <v>304</v>
      </c>
      <c r="R9" s="21" t="str">
        <f t="shared" si="1"/>
        <v>C2102     GEGCF54015C2102 GEG</v>
      </c>
    </row>
    <row r="10" spans="1:20" ht="15.75" thickBot="1" x14ac:dyDescent="0.3">
      <c r="A10" s="4">
        <v>9</v>
      </c>
      <c r="B10" s="12">
        <v>10003652</v>
      </c>
      <c r="C10" s="12" t="s">
        <v>280</v>
      </c>
      <c r="D10" s="12">
        <v>10003652</v>
      </c>
      <c r="E10" s="12" t="s">
        <v>305</v>
      </c>
      <c r="F10" s="12" t="s">
        <v>306</v>
      </c>
      <c r="G10" s="12" t="s">
        <v>307</v>
      </c>
      <c r="H10" s="12" t="s">
        <v>308</v>
      </c>
      <c r="I10" s="12">
        <v>30070566</v>
      </c>
      <c r="J10" s="12" t="s">
        <v>309</v>
      </c>
      <c r="K10" s="4" t="s">
        <v>43</v>
      </c>
      <c r="L10" s="4" t="s">
        <v>44</v>
      </c>
      <c r="M10" s="12" t="s">
        <v>310</v>
      </c>
      <c r="N10" s="12" t="s">
        <v>283</v>
      </c>
      <c r="O10" s="7" t="s">
        <v>45</v>
      </c>
      <c r="P10" s="18" t="str">
        <f t="shared" si="0"/>
        <v>TERESITA DE JESUS    TAVARES    GAYTAN</v>
      </c>
      <c r="Q10" s="12" t="s">
        <v>309</v>
      </c>
      <c r="R10" s="21" t="str">
        <f t="shared" si="1"/>
        <v>C2102     GEGEA08001C2103 GEG</v>
      </c>
    </row>
    <row r="11" spans="1:20" ht="15.75" thickBot="1" x14ac:dyDescent="0.3">
      <c r="A11" s="4">
        <v>10</v>
      </c>
      <c r="B11" s="12">
        <v>10003662</v>
      </c>
      <c r="C11" s="12" t="s">
        <v>59</v>
      </c>
      <c r="D11" s="12">
        <v>10003662</v>
      </c>
      <c r="E11" s="12" t="s">
        <v>238</v>
      </c>
      <c r="F11" s="12" t="s">
        <v>311</v>
      </c>
      <c r="G11" s="12" t="s">
        <v>312</v>
      </c>
      <c r="H11" s="12" t="s">
        <v>313</v>
      </c>
      <c r="I11" s="12">
        <v>30070572</v>
      </c>
      <c r="J11" s="12" t="s">
        <v>314</v>
      </c>
      <c r="K11" s="4" t="s">
        <v>43</v>
      </c>
      <c r="L11" s="4" t="s">
        <v>44</v>
      </c>
      <c r="M11" s="12" t="s">
        <v>287</v>
      </c>
      <c r="N11" s="12" t="s">
        <v>299</v>
      </c>
      <c r="O11" s="7" t="s">
        <v>45</v>
      </c>
      <c r="P11" s="18" t="str">
        <f t="shared" si="0"/>
        <v>ADRIANA    COLLAZO    VALADEZ</v>
      </c>
      <c r="Q11" s="12" t="s">
        <v>314</v>
      </c>
      <c r="R11" s="21" t="str">
        <f t="shared" si="1"/>
        <v>C2104     GEGCF54001C2104 GEG</v>
      </c>
    </row>
    <row r="12" spans="1:20" ht="15.75" thickBot="1" x14ac:dyDescent="0.3">
      <c r="A12" s="4">
        <v>11</v>
      </c>
      <c r="B12" s="12">
        <v>10003660</v>
      </c>
      <c r="C12" s="12" t="s">
        <v>126</v>
      </c>
      <c r="D12" s="12">
        <v>10003660</v>
      </c>
      <c r="E12" s="12" t="s">
        <v>315</v>
      </c>
      <c r="F12" s="12" t="s">
        <v>316</v>
      </c>
      <c r="G12" s="12" t="s">
        <v>317</v>
      </c>
      <c r="H12" s="12" t="s">
        <v>318</v>
      </c>
      <c r="I12" s="12">
        <v>30070573</v>
      </c>
      <c r="J12" s="12" t="s">
        <v>319</v>
      </c>
      <c r="K12" s="4" t="s">
        <v>43</v>
      </c>
      <c r="L12" s="4" t="s">
        <v>44</v>
      </c>
      <c r="M12" s="12" t="s">
        <v>287</v>
      </c>
      <c r="N12" s="12" t="s">
        <v>299</v>
      </c>
      <c r="O12" s="7" t="s">
        <v>45</v>
      </c>
      <c r="P12" s="18" t="str">
        <f t="shared" si="0"/>
        <v>MIRIAM CECILIA    ADAME    ALCARAZ</v>
      </c>
      <c r="Q12" s="12" t="s">
        <v>319</v>
      </c>
      <c r="R12" s="21" t="str">
        <f t="shared" si="1"/>
        <v>C2104     GEGCF54001C2104 GEG</v>
      </c>
    </row>
    <row r="13" spans="1:20" ht="15.75" thickBot="1" x14ac:dyDescent="0.3">
      <c r="A13" s="4">
        <v>12</v>
      </c>
      <c r="B13" s="12">
        <v>10003660</v>
      </c>
      <c r="C13" s="12" t="s">
        <v>126</v>
      </c>
      <c r="D13" s="12">
        <v>10003660</v>
      </c>
      <c r="E13" s="12" t="s">
        <v>238</v>
      </c>
      <c r="F13" s="12" t="s">
        <v>320</v>
      </c>
      <c r="G13" s="12" t="s">
        <v>321</v>
      </c>
      <c r="H13" s="12" t="s">
        <v>322</v>
      </c>
      <c r="I13" s="12">
        <v>30070574</v>
      </c>
      <c r="J13" s="12" t="s">
        <v>323</v>
      </c>
      <c r="K13" s="4" t="s">
        <v>43</v>
      </c>
      <c r="L13" s="4" t="s">
        <v>44</v>
      </c>
      <c r="M13" s="12" t="s">
        <v>298</v>
      </c>
      <c r="N13" s="12" t="s">
        <v>299</v>
      </c>
      <c r="O13" s="7" t="s">
        <v>45</v>
      </c>
      <c r="P13" s="18" t="str">
        <f t="shared" si="0"/>
        <v>ADRIANA    JARDON    SALAZAR</v>
      </c>
      <c r="Q13" s="12" t="s">
        <v>323</v>
      </c>
      <c r="R13" s="21" t="str">
        <f t="shared" si="1"/>
        <v>C2104     GEGCF54015C2104 GEG</v>
      </c>
    </row>
    <row r="14" spans="1:20" ht="15.75" thickBot="1" x14ac:dyDescent="0.3">
      <c r="A14" s="4">
        <v>13</v>
      </c>
      <c r="B14" s="12">
        <v>10003662</v>
      </c>
      <c r="C14" s="12" t="s">
        <v>59</v>
      </c>
      <c r="D14" s="12">
        <v>10003662</v>
      </c>
      <c r="E14" s="12" t="s">
        <v>324</v>
      </c>
      <c r="F14" s="12" t="s">
        <v>325</v>
      </c>
      <c r="G14" s="12" t="s">
        <v>251</v>
      </c>
      <c r="H14" s="12" t="s">
        <v>326</v>
      </c>
      <c r="I14" s="12">
        <v>30070575</v>
      </c>
      <c r="J14" s="12" t="s">
        <v>327</v>
      </c>
      <c r="K14" s="4" t="s">
        <v>43</v>
      </c>
      <c r="L14" s="4" t="s">
        <v>79</v>
      </c>
      <c r="M14" s="12" t="s">
        <v>298</v>
      </c>
      <c r="N14" s="12" t="s">
        <v>299</v>
      </c>
      <c r="O14" s="7" t="s">
        <v>45</v>
      </c>
      <c r="P14" s="18" t="str">
        <f t="shared" si="0"/>
        <v>ABRAHAM RAFAEL    NAVARRO    GONZALEZ</v>
      </c>
      <c r="Q14" s="12" t="s">
        <v>327</v>
      </c>
      <c r="R14" s="21" t="str">
        <f t="shared" si="1"/>
        <v>C2104     GEGCF54015C2103 GEG</v>
      </c>
    </row>
    <row r="15" spans="1:20" ht="15.75" thickBot="1" x14ac:dyDescent="0.3">
      <c r="A15" s="4">
        <v>14</v>
      </c>
      <c r="B15" s="12">
        <v>10003662</v>
      </c>
      <c r="C15" s="12" t="s">
        <v>59</v>
      </c>
      <c r="D15" s="12">
        <v>10003662</v>
      </c>
      <c r="E15" s="12" t="s">
        <v>328</v>
      </c>
      <c r="F15" s="12" t="s">
        <v>329</v>
      </c>
      <c r="G15" s="12" t="s">
        <v>330</v>
      </c>
      <c r="H15" s="12" t="s">
        <v>331</v>
      </c>
      <c r="I15" s="12">
        <v>30070576</v>
      </c>
      <c r="J15" s="12" t="s">
        <v>332</v>
      </c>
      <c r="K15" s="4" t="s">
        <v>43</v>
      </c>
      <c r="L15" s="4" t="s">
        <v>79</v>
      </c>
      <c r="M15" s="12" t="s">
        <v>298</v>
      </c>
      <c r="N15" s="12" t="s">
        <v>299</v>
      </c>
      <c r="O15" s="7" t="s">
        <v>45</v>
      </c>
      <c r="P15" s="18" t="str">
        <f t="shared" si="0"/>
        <v>JAZMIN MARGARITA    LEON    MANRIQUE</v>
      </c>
      <c r="Q15" s="12" t="s">
        <v>332</v>
      </c>
      <c r="R15" s="21" t="str">
        <f t="shared" si="1"/>
        <v>C2104     GEGCF54015C2102 GEG</v>
      </c>
    </row>
    <row r="16" spans="1:20" ht="15.75" thickBot="1" x14ac:dyDescent="0.3">
      <c r="A16" s="4">
        <v>15</v>
      </c>
      <c r="B16" s="12">
        <v>10003666</v>
      </c>
      <c r="C16" s="12" t="s">
        <v>333</v>
      </c>
      <c r="D16" s="12">
        <v>10003666</v>
      </c>
      <c r="E16" s="12" t="s">
        <v>334</v>
      </c>
      <c r="F16" s="12" t="s">
        <v>208</v>
      </c>
      <c r="G16" s="12" t="s">
        <v>335</v>
      </c>
      <c r="H16" s="12" t="s">
        <v>336</v>
      </c>
      <c r="I16" s="12">
        <v>30070580</v>
      </c>
      <c r="J16" s="12" t="s">
        <v>309</v>
      </c>
      <c r="K16" s="4" t="s">
        <v>43</v>
      </c>
      <c r="L16" s="4" t="s">
        <v>79</v>
      </c>
      <c r="M16" s="12" t="s">
        <v>310</v>
      </c>
      <c r="N16" s="12" t="s">
        <v>299</v>
      </c>
      <c r="O16" s="7" t="s">
        <v>45</v>
      </c>
      <c r="P16" s="18" t="str">
        <f t="shared" si="0"/>
        <v>BETZAHIRA SARAI    MENDOZA    MONTOYA</v>
      </c>
      <c r="Q16" s="12" t="s">
        <v>309</v>
      </c>
      <c r="R16" s="21" t="str">
        <f t="shared" si="1"/>
        <v>C2104     GEGEA08001C2104 GEG</v>
      </c>
    </row>
    <row r="17" spans="1:18" ht="15.75" thickBot="1" x14ac:dyDescent="0.3">
      <c r="A17" s="4">
        <v>16</v>
      </c>
      <c r="B17" s="12">
        <v>10003665</v>
      </c>
      <c r="C17" s="12" t="s">
        <v>269</v>
      </c>
      <c r="D17" s="12">
        <v>10003665</v>
      </c>
      <c r="E17" s="12" t="s">
        <v>337</v>
      </c>
      <c r="F17" s="12" t="s">
        <v>338</v>
      </c>
      <c r="G17" s="12" t="s">
        <v>339</v>
      </c>
      <c r="H17" s="12" t="s">
        <v>340</v>
      </c>
      <c r="I17" s="12">
        <v>30070589</v>
      </c>
      <c r="J17" s="12" t="s">
        <v>341</v>
      </c>
      <c r="K17" s="4" t="s">
        <v>43</v>
      </c>
      <c r="L17" s="4" t="s">
        <v>44</v>
      </c>
      <c r="M17" s="12" t="s">
        <v>342</v>
      </c>
      <c r="N17" s="12" t="s">
        <v>262</v>
      </c>
      <c r="O17" s="7" t="s">
        <v>45</v>
      </c>
      <c r="P17" s="18" t="str">
        <f t="shared" si="0"/>
        <v>LILIA ANAYANSI    TAPIA    CURIEL</v>
      </c>
      <c r="Q17" s="12" t="s">
        <v>341</v>
      </c>
      <c r="R17" s="21" t="str">
        <f t="shared" si="1"/>
        <v>C2101     GEGCF54068C2104 GEG</v>
      </c>
    </row>
    <row r="18" spans="1:18" ht="15.75" thickBot="1" x14ac:dyDescent="0.3">
      <c r="A18" s="4">
        <v>17</v>
      </c>
      <c r="B18" s="12">
        <v>10003664</v>
      </c>
      <c r="C18" s="12" t="s">
        <v>343</v>
      </c>
      <c r="D18" s="12">
        <v>10003664</v>
      </c>
      <c r="E18" s="12" t="s">
        <v>344</v>
      </c>
      <c r="F18" s="12" t="s">
        <v>345</v>
      </c>
      <c r="G18" s="12" t="s">
        <v>346</v>
      </c>
      <c r="H18" s="12" t="s">
        <v>347</v>
      </c>
      <c r="I18" s="12">
        <v>30070590</v>
      </c>
      <c r="J18" s="12" t="s">
        <v>348</v>
      </c>
      <c r="K18" s="4" t="s">
        <v>43</v>
      </c>
      <c r="L18" s="4" t="s">
        <v>64</v>
      </c>
      <c r="M18" s="12" t="s">
        <v>349</v>
      </c>
      <c r="N18" s="12" t="s">
        <v>262</v>
      </c>
      <c r="O18" s="7" t="s">
        <v>45</v>
      </c>
      <c r="P18" s="18" t="str">
        <f t="shared" si="0"/>
        <v>ILIANA ALEJANDRA    BERNARDINO    CRUZ</v>
      </c>
      <c r="Q18" s="12" t="s">
        <v>348</v>
      </c>
      <c r="R18" s="21" t="str">
        <f t="shared" si="1"/>
        <v>C2101     GEGFF54001C2103 GEG</v>
      </c>
    </row>
    <row r="19" spans="1:18" ht="15.75" thickBot="1" x14ac:dyDescent="0.3">
      <c r="A19" s="4">
        <v>18</v>
      </c>
      <c r="B19" s="12">
        <v>10003656</v>
      </c>
      <c r="C19" s="12" t="s">
        <v>95</v>
      </c>
      <c r="D19" s="12">
        <v>10003656</v>
      </c>
      <c r="E19" s="12" t="s">
        <v>350</v>
      </c>
      <c r="F19" s="12" t="s">
        <v>351</v>
      </c>
      <c r="G19" s="12" t="s">
        <v>352</v>
      </c>
      <c r="H19" s="12" t="s">
        <v>353</v>
      </c>
      <c r="I19" s="12">
        <v>30070591</v>
      </c>
      <c r="J19" s="12" t="s">
        <v>354</v>
      </c>
      <c r="K19" s="4" t="s">
        <v>43</v>
      </c>
      <c r="L19" s="4" t="s">
        <v>64</v>
      </c>
      <c r="M19" s="12" t="s">
        <v>287</v>
      </c>
      <c r="N19" s="12" t="s">
        <v>288</v>
      </c>
      <c r="O19" s="7" t="s">
        <v>45</v>
      </c>
      <c r="P19" s="18" t="str">
        <f t="shared" si="0"/>
        <v>JORGE LUIS    CABREJOS    SAMAME</v>
      </c>
      <c r="Q19" s="12" t="s">
        <v>354</v>
      </c>
      <c r="R19" s="21" t="str">
        <f t="shared" si="1"/>
        <v>C2103     GEGCF54001</v>
      </c>
    </row>
    <row r="20" spans="1:18" ht="15.75" thickBot="1" x14ac:dyDescent="0.3">
      <c r="A20" s="4">
        <v>19</v>
      </c>
      <c r="B20" s="12">
        <v>10003656</v>
      </c>
      <c r="C20" s="12" t="s">
        <v>95</v>
      </c>
      <c r="D20" s="12">
        <v>10003656</v>
      </c>
      <c r="E20" s="12" t="s">
        <v>355</v>
      </c>
      <c r="F20" s="12" t="s">
        <v>356</v>
      </c>
      <c r="G20" s="12" t="s">
        <v>357</v>
      </c>
      <c r="H20" s="12" t="s">
        <v>358</v>
      </c>
      <c r="I20" s="12">
        <v>30070592</v>
      </c>
      <c r="J20" s="12" t="s">
        <v>359</v>
      </c>
      <c r="K20" s="4" t="s">
        <v>43</v>
      </c>
      <c r="L20" s="4" t="s">
        <v>64</v>
      </c>
      <c r="M20" s="12" t="s">
        <v>298</v>
      </c>
      <c r="N20" s="12" t="s">
        <v>288</v>
      </c>
      <c r="O20" s="7" t="s">
        <v>45</v>
      </c>
      <c r="P20" s="18" t="str">
        <f t="shared" si="0"/>
        <v>JOSE MARIA    MELGAR    AZANZA</v>
      </c>
      <c r="Q20" s="12" t="s">
        <v>359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95</v>
      </c>
      <c r="D21" s="12">
        <v>10003656</v>
      </c>
      <c r="E21" s="12" t="s">
        <v>360</v>
      </c>
      <c r="F21" s="12" t="s">
        <v>40</v>
      </c>
      <c r="G21" s="12" t="s">
        <v>361</v>
      </c>
      <c r="H21" s="12" t="s">
        <v>362</v>
      </c>
      <c r="I21" s="12">
        <v>30070593</v>
      </c>
      <c r="J21" s="12" t="s">
        <v>363</v>
      </c>
      <c r="K21" s="4" t="s">
        <v>43</v>
      </c>
      <c r="L21" s="4" t="s">
        <v>79</v>
      </c>
      <c r="M21" s="12" t="s">
        <v>298</v>
      </c>
      <c r="N21" s="12" t="s">
        <v>288</v>
      </c>
      <c r="O21" s="7" t="s">
        <v>45</v>
      </c>
      <c r="P21" s="18" t="str">
        <f t="shared" si="0"/>
        <v>BRENDA BIBIANA    MARTINEZ    AGUADO</v>
      </c>
      <c r="Q21" s="12" t="s">
        <v>363</v>
      </c>
      <c r="R21" s="21" t="str">
        <f t="shared" si="1"/>
        <v>C2103     GEGCF54015</v>
      </c>
    </row>
    <row r="22" spans="1:18" ht="15.75" thickBot="1" x14ac:dyDescent="0.3">
      <c r="A22" s="4">
        <v>21</v>
      </c>
      <c r="B22" s="12">
        <v>10003659</v>
      </c>
      <c r="C22" s="12" t="s">
        <v>255</v>
      </c>
      <c r="D22" s="12">
        <v>10003659</v>
      </c>
      <c r="E22" s="12" t="s">
        <v>364</v>
      </c>
      <c r="F22" s="12" t="s">
        <v>271</v>
      </c>
      <c r="G22" s="12" t="s">
        <v>365</v>
      </c>
      <c r="H22" s="12" t="s">
        <v>366</v>
      </c>
      <c r="I22" s="12">
        <v>30070594</v>
      </c>
      <c r="J22" s="12" t="s">
        <v>367</v>
      </c>
      <c r="K22" s="4" t="s">
        <v>43</v>
      </c>
      <c r="L22" s="4" t="s">
        <v>79</v>
      </c>
      <c r="M22" s="12" t="s">
        <v>298</v>
      </c>
      <c r="N22" s="12" t="s">
        <v>262</v>
      </c>
      <c r="O22" s="7" t="s">
        <v>45</v>
      </c>
      <c r="P22" s="18" t="str">
        <f t="shared" si="0"/>
        <v>LUCIA GABRIELA    GARCIA    NIETO</v>
      </c>
      <c r="Q22" s="12" t="s">
        <v>367</v>
      </c>
      <c r="R22" s="21" t="str">
        <f t="shared" si="1"/>
        <v>C2101     GEGCF54015</v>
      </c>
    </row>
    <row r="23" spans="1:18" ht="15.75" thickBot="1" x14ac:dyDescent="0.3">
      <c r="A23" s="4">
        <v>22</v>
      </c>
      <c r="B23" s="12">
        <v>10003664</v>
      </c>
      <c r="C23" s="12" t="s">
        <v>343</v>
      </c>
      <c r="D23" s="12">
        <v>10003664</v>
      </c>
      <c r="E23" s="12" t="s">
        <v>368</v>
      </c>
      <c r="F23" s="12" t="s">
        <v>369</v>
      </c>
      <c r="G23" s="12" t="s">
        <v>370</v>
      </c>
      <c r="H23" s="12" t="s">
        <v>371</v>
      </c>
      <c r="I23" s="12">
        <v>30070595</v>
      </c>
      <c r="J23" s="12" t="s">
        <v>372</v>
      </c>
      <c r="K23" s="4" t="s">
        <v>43</v>
      </c>
      <c r="L23" s="4" t="s">
        <v>79</v>
      </c>
      <c r="M23" s="12" t="s">
        <v>298</v>
      </c>
      <c r="N23" s="12" t="s">
        <v>262</v>
      </c>
      <c r="O23" s="7" t="s">
        <v>45</v>
      </c>
      <c r="P23" s="18" t="str">
        <f t="shared" si="0"/>
        <v>ARACELI    ROSALES    SANTOYO</v>
      </c>
      <c r="Q23" s="12" t="s">
        <v>372</v>
      </c>
      <c r="R23" s="21" t="str">
        <f t="shared" si="1"/>
        <v>C2101     GEGCF54015</v>
      </c>
    </row>
    <row r="24" spans="1:18" ht="15.75" thickBot="1" x14ac:dyDescent="0.3">
      <c r="A24" s="4">
        <v>23</v>
      </c>
      <c r="B24" s="12">
        <v>10003665</v>
      </c>
      <c r="C24" s="12" t="s">
        <v>269</v>
      </c>
      <c r="D24" s="12">
        <v>10003665</v>
      </c>
      <c r="E24" s="12" t="s">
        <v>373</v>
      </c>
      <c r="F24" s="12" t="s">
        <v>374</v>
      </c>
      <c r="G24" s="12" t="s">
        <v>70</v>
      </c>
      <c r="H24" s="12" t="s">
        <v>375</v>
      </c>
      <c r="I24" s="12">
        <v>30070596</v>
      </c>
      <c r="J24" s="12" t="s">
        <v>376</v>
      </c>
      <c r="K24" s="4" t="s">
        <v>43</v>
      </c>
      <c r="L24" s="4" t="s">
        <v>79</v>
      </c>
      <c r="M24" s="12" t="s">
        <v>377</v>
      </c>
      <c r="N24" s="12" t="s">
        <v>262</v>
      </c>
      <c r="O24" s="7" t="s">
        <v>45</v>
      </c>
      <c r="P24" s="18" t="str">
        <f t="shared" si="0"/>
        <v>ALDO GENARO    SANCHEZ    RODRIGUEZ</v>
      </c>
      <c r="Q24" s="12" t="s">
        <v>376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269</v>
      </c>
      <c r="D25" s="12">
        <v>10003665</v>
      </c>
      <c r="E25" s="12" t="s">
        <v>378</v>
      </c>
      <c r="F25" s="12" t="s">
        <v>75</v>
      </c>
      <c r="G25" s="12" t="s">
        <v>75</v>
      </c>
      <c r="H25" s="12" t="s">
        <v>379</v>
      </c>
      <c r="I25" s="12">
        <v>30070597</v>
      </c>
      <c r="J25" s="12" t="s">
        <v>380</v>
      </c>
      <c r="K25" s="4" t="s">
        <v>43</v>
      </c>
      <c r="L25" s="4" t="s">
        <v>79</v>
      </c>
      <c r="M25" s="12" t="s">
        <v>377</v>
      </c>
      <c r="N25" s="12" t="s">
        <v>262</v>
      </c>
      <c r="O25" s="7" t="s">
        <v>45</v>
      </c>
      <c r="P25" s="18" t="str">
        <f t="shared" si="0"/>
        <v>ANGELICA    LOPEZ    LOPEZ</v>
      </c>
      <c r="Q25" s="12" t="s">
        <v>380</v>
      </c>
      <c r="R25" s="21" t="str">
        <f t="shared" si="1"/>
        <v>C2101     GEGCF52048</v>
      </c>
    </row>
    <row r="26" spans="1:18" ht="15.75" thickBot="1" x14ac:dyDescent="0.3">
      <c r="A26" s="4">
        <v>25</v>
      </c>
      <c r="B26" s="12">
        <v>10003659</v>
      </c>
      <c r="C26" s="12" t="s">
        <v>255</v>
      </c>
      <c r="D26" s="12">
        <v>10003659</v>
      </c>
      <c r="E26" s="12" t="s">
        <v>381</v>
      </c>
      <c r="F26" s="12" t="s">
        <v>166</v>
      </c>
      <c r="G26" s="12" t="s">
        <v>382</v>
      </c>
      <c r="H26" s="12" t="s">
        <v>383</v>
      </c>
      <c r="I26" s="12">
        <v>30070598</v>
      </c>
      <c r="J26" s="12" t="s">
        <v>384</v>
      </c>
      <c r="K26" s="4" t="s">
        <v>43</v>
      </c>
      <c r="L26" s="4" t="s">
        <v>79</v>
      </c>
      <c r="M26" s="12" t="s">
        <v>385</v>
      </c>
      <c r="N26" s="12" t="s">
        <v>262</v>
      </c>
      <c r="O26" s="7" t="s">
        <v>45</v>
      </c>
      <c r="P26" s="18" t="str">
        <f t="shared" si="0"/>
        <v>CARLOS ENRIQUE    RIVERA    CORDERO</v>
      </c>
      <c r="Q26" s="12" t="s">
        <v>384</v>
      </c>
      <c r="R26" s="21" t="str">
        <f t="shared" si="1"/>
        <v>C2101     GEGCF54004</v>
      </c>
    </row>
    <row r="27" spans="1:18" ht="15.75" thickBot="1" x14ac:dyDescent="0.3">
      <c r="A27" s="4">
        <v>26</v>
      </c>
      <c r="B27" s="12">
        <v>10003659</v>
      </c>
      <c r="C27" s="12" t="s">
        <v>255</v>
      </c>
      <c r="D27" s="12">
        <v>10003659</v>
      </c>
      <c r="E27" s="12" t="s">
        <v>386</v>
      </c>
      <c r="F27" s="12" t="s">
        <v>387</v>
      </c>
      <c r="G27" s="12" t="s">
        <v>388</v>
      </c>
      <c r="H27" s="12" t="s">
        <v>389</v>
      </c>
      <c r="I27" s="12">
        <v>30070599</v>
      </c>
      <c r="J27" s="12" t="s">
        <v>390</v>
      </c>
      <c r="K27" s="4" t="s">
        <v>43</v>
      </c>
      <c r="L27" s="4" t="s">
        <v>79</v>
      </c>
      <c r="M27" s="12" t="s">
        <v>310</v>
      </c>
      <c r="N27" s="12" t="s">
        <v>262</v>
      </c>
      <c r="O27" s="7" t="s">
        <v>45</v>
      </c>
      <c r="P27" s="18" t="str">
        <f t="shared" si="0"/>
        <v>FIDEL RAMIRO    GUERRA    VALLEJO</v>
      </c>
      <c r="Q27" s="12" t="s">
        <v>390</v>
      </c>
      <c r="R27" s="21" t="str">
        <f t="shared" si="1"/>
        <v>C2101     GEGEA08001</v>
      </c>
    </row>
    <row r="28" spans="1:18" ht="15.75" thickBot="1" x14ac:dyDescent="0.3">
      <c r="A28" s="4">
        <v>27</v>
      </c>
      <c r="B28" s="12">
        <v>10003659</v>
      </c>
      <c r="C28" s="12" t="s">
        <v>255</v>
      </c>
      <c r="D28" s="12">
        <v>10003659</v>
      </c>
      <c r="E28" s="12" t="s">
        <v>391</v>
      </c>
      <c r="F28" s="12" t="s">
        <v>392</v>
      </c>
      <c r="G28" s="12" t="s">
        <v>102</v>
      </c>
      <c r="H28" s="12" t="s">
        <v>393</v>
      </c>
      <c r="I28" s="12">
        <v>30070600</v>
      </c>
      <c r="J28" s="12" t="s">
        <v>394</v>
      </c>
      <c r="K28" s="4" t="s">
        <v>43</v>
      </c>
      <c r="L28" s="4" t="s">
        <v>44</v>
      </c>
      <c r="M28" s="12" t="s">
        <v>310</v>
      </c>
      <c r="N28" s="12" t="s">
        <v>262</v>
      </c>
      <c r="O28" s="7" t="s">
        <v>45</v>
      </c>
      <c r="P28" s="18" t="str">
        <f t="shared" si="0"/>
        <v>MARTHA PATRICIA    URRUTIA    CORTES</v>
      </c>
      <c r="Q28" s="12" t="s">
        <v>394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95</v>
      </c>
      <c r="D29" s="12">
        <v>10003656</v>
      </c>
      <c r="E29" s="12" t="s">
        <v>395</v>
      </c>
      <c r="F29" s="12" t="s">
        <v>396</v>
      </c>
      <c r="G29" s="12" t="s">
        <v>271</v>
      </c>
      <c r="H29" s="12" t="s">
        <v>397</v>
      </c>
      <c r="I29" s="12">
        <v>30070601</v>
      </c>
      <c r="J29" s="12" t="s">
        <v>398</v>
      </c>
      <c r="K29" s="4" t="s">
        <v>43</v>
      </c>
      <c r="L29" s="4" t="s">
        <v>64</v>
      </c>
      <c r="M29" s="12" t="s">
        <v>399</v>
      </c>
      <c r="N29" s="12" t="s">
        <v>288</v>
      </c>
      <c r="O29" s="7" t="s">
        <v>45</v>
      </c>
      <c r="P29" s="18" t="str">
        <f t="shared" si="0"/>
        <v>JOSE DANIEL    SALAS    GARCIA</v>
      </c>
      <c r="Q29" s="12" t="s">
        <v>398</v>
      </c>
      <c r="R29" s="21" t="str">
        <f t="shared" si="1"/>
        <v>C2103     GEGCF52044</v>
      </c>
    </row>
    <row r="30" spans="1:18" ht="15.75" thickBot="1" x14ac:dyDescent="0.3">
      <c r="A30" s="4">
        <v>29</v>
      </c>
      <c r="B30" s="12">
        <v>10003656</v>
      </c>
      <c r="C30" s="12" t="s">
        <v>95</v>
      </c>
      <c r="D30" s="12">
        <v>10003656</v>
      </c>
      <c r="E30" s="12" t="s">
        <v>400</v>
      </c>
      <c r="F30" s="12" t="s">
        <v>401</v>
      </c>
      <c r="G30" s="12" t="s">
        <v>218</v>
      </c>
      <c r="H30" s="12" t="s">
        <v>402</v>
      </c>
      <c r="I30" s="12">
        <v>30070602</v>
      </c>
      <c r="J30" s="12" t="s">
        <v>201</v>
      </c>
      <c r="K30" s="4" t="s">
        <v>43</v>
      </c>
      <c r="L30" s="4" t="s">
        <v>79</v>
      </c>
      <c r="M30" s="12" t="s">
        <v>403</v>
      </c>
      <c r="N30" s="12" t="s">
        <v>288</v>
      </c>
      <c r="O30" s="7" t="s">
        <v>45</v>
      </c>
      <c r="P30" s="18" t="str">
        <f t="shared" si="0"/>
        <v>J JESUS    BARBOSA    AVILA</v>
      </c>
      <c r="Q30" s="12" t="s">
        <v>201</v>
      </c>
      <c r="R30" s="21" t="str">
        <f t="shared" si="1"/>
        <v>C2103     GEGOA06001</v>
      </c>
    </row>
    <row r="31" spans="1:18" ht="15.75" thickBot="1" x14ac:dyDescent="0.3">
      <c r="A31" s="4">
        <v>30</v>
      </c>
      <c r="B31" s="12">
        <v>10003661</v>
      </c>
      <c r="C31" s="12" t="s">
        <v>73</v>
      </c>
      <c r="D31" s="12">
        <v>10003661</v>
      </c>
      <c r="E31" s="12" t="s">
        <v>404</v>
      </c>
      <c r="F31" s="12" t="s">
        <v>405</v>
      </c>
      <c r="G31" s="12" t="s">
        <v>157</v>
      </c>
      <c r="H31" s="12" t="s">
        <v>406</v>
      </c>
      <c r="I31" s="12">
        <v>30070603</v>
      </c>
      <c r="J31" s="12" t="s">
        <v>407</v>
      </c>
      <c r="K31" s="4" t="s">
        <v>43</v>
      </c>
      <c r="L31" s="4" t="s">
        <v>79</v>
      </c>
      <c r="M31" s="12" t="s">
        <v>298</v>
      </c>
      <c r="N31" s="12" t="s">
        <v>283</v>
      </c>
      <c r="O31" s="7" t="s">
        <v>45</v>
      </c>
      <c r="P31" s="18" t="str">
        <f t="shared" si="0"/>
        <v>ADRIANA LORENA    JASSO    MEDINA</v>
      </c>
      <c r="Q31" s="12" t="s">
        <v>407</v>
      </c>
      <c r="R31" s="21" t="str">
        <f t="shared" si="1"/>
        <v>C2102     GEGCF54015</v>
      </c>
    </row>
    <row r="32" spans="1:18" ht="15.75" thickBot="1" x14ac:dyDescent="0.3">
      <c r="A32" s="4">
        <v>31</v>
      </c>
      <c r="B32" s="12">
        <v>10003654</v>
      </c>
      <c r="C32" s="12" t="s">
        <v>52</v>
      </c>
      <c r="D32" s="12">
        <v>10003654</v>
      </c>
      <c r="E32" s="12" t="s">
        <v>408</v>
      </c>
      <c r="F32" s="12" t="s">
        <v>409</v>
      </c>
      <c r="G32" s="12" t="s">
        <v>251</v>
      </c>
      <c r="H32" s="12" t="s">
        <v>410</v>
      </c>
      <c r="I32" s="12">
        <v>30070604</v>
      </c>
      <c r="J32" s="12" t="s">
        <v>411</v>
      </c>
      <c r="K32" s="4" t="s">
        <v>43</v>
      </c>
      <c r="L32" s="4" t="s">
        <v>79</v>
      </c>
      <c r="M32" s="12" t="s">
        <v>298</v>
      </c>
      <c r="N32" s="12" t="s">
        <v>288</v>
      </c>
      <c r="O32" s="7" t="s">
        <v>45</v>
      </c>
      <c r="P32" s="18" t="str">
        <f t="shared" si="0"/>
        <v>DORIS LORENA    ALBA    GONZALEZ</v>
      </c>
      <c r="Q32" s="12" t="s">
        <v>411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106</v>
      </c>
      <c r="D33" s="12">
        <v>10003653</v>
      </c>
      <c r="E33" s="12" t="s">
        <v>412</v>
      </c>
      <c r="F33" s="12" t="s">
        <v>413</v>
      </c>
      <c r="G33" s="12" t="s">
        <v>414</v>
      </c>
      <c r="H33" s="12" t="s">
        <v>415</v>
      </c>
      <c r="I33" s="12">
        <v>30070605</v>
      </c>
      <c r="J33" s="12" t="s">
        <v>416</v>
      </c>
      <c r="K33" s="4" t="s">
        <v>43</v>
      </c>
      <c r="L33" s="4" t="s">
        <v>202</v>
      </c>
      <c r="M33" s="12" t="s">
        <v>298</v>
      </c>
      <c r="N33" s="12" t="s">
        <v>283</v>
      </c>
      <c r="O33" s="7" t="s">
        <v>45</v>
      </c>
      <c r="P33" s="18" t="str">
        <f t="shared" si="0"/>
        <v>CECILIA    TERAN    OLMOS</v>
      </c>
      <c r="Q33" s="12" t="s">
        <v>416</v>
      </c>
      <c r="R33" s="21" t="str">
        <f t="shared" si="1"/>
        <v>C2102     GEGCF54015</v>
      </c>
    </row>
    <row r="34" spans="1:18" ht="15.75" thickBot="1" x14ac:dyDescent="0.3">
      <c r="A34" s="4">
        <v>33</v>
      </c>
      <c r="B34" s="12">
        <v>10003661</v>
      </c>
      <c r="C34" s="12" t="s">
        <v>73</v>
      </c>
      <c r="D34" s="12">
        <v>10003661</v>
      </c>
      <c r="E34" s="12" t="s">
        <v>417</v>
      </c>
      <c r="F34" s="12" t="s">
        <v>418</v>
      </c>
      <c r="G34" s="12" t="s">
        <v>419</v>
      </c>
      <c r="H34" s="12" t="s">
        <v>420</v>
      </c>
      <c r="I34" s="12">
        <v>30070606</v>
      </c>
      <c r="J34" s="12" t="s">
        <v>421</v>
      </c>
      <c r="K34" s="4" t="s">
        <v>43</v>
      </c>
      <c r="L34" s="4" t="s">
        <v>44</v>
      </c>
      <c r="M34" s="12" t="s">
        <v>298</v>
      </c>
      <c r="N34" s="12" t="s">
        <v>283</v>
      </c>
      <c r="O34" s="7" t="s">
        <v>45</v>
      </c>
      <c r="P34" s="18" t="str">
        <f t="shared" si="0"/>
        <v>LUIS ENRIQUE    FLORES    GRANADOS</v>
      </c>
      <c r="Q34" s="12" t="s">
        <v>421</v>
      </c>
      <c r="R34" s="21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422</v>
      </c>
      <c r="D35" s="12">
        <v>10003657</v>
      </c>
      <c r="E35" s="12" t="s">
        <v>423</v>
      </c>
      <c r="F35" s="12" t="s">
        <v>222</v>
      </c>
      <c r="G35" s="12" t="s">
        <v>424</v>
      </c>
      <c r="H35" s="12" t="s">
        <v>425</v>
      </c>
      <c r="I35" s="12">
        <v>30070607</v>
      </c>
      <c r="J35" s="12" t="s">
        <v>426</v>
      </c>
      <c r="K35" s="4" t="s">
        <v>43</v>
      </c>
      <c r="L35" s="4" t="s">
        <v>44</v>
      </c>
      <c r="M35" s="12" t="s">
        <v>427</v>
      </c>
      <c r="N35" s="12" t="s">
        <v>288</v>
      </c>
      <c r="O35" s="7" t="s">
        <v>45</v>
      </c>
      <c r="P35" s="18" t="str">
        <f t="shared" si="0"/>
        <v>OCTAVIO HUMBERTO    AGUILAR    MATA</v>
      </c>
      <c r="Q35" s="12" t="s">
        <v>426</v>
      </c>
      <c r="R35" s="21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80</v>
      </c>
      <c r="D36" s="12">
        <v>10003655</v>
      </c>
      <c r="E36" s="12" t="s">
        <v>238</v>
      </c>
      <c r="F36" s="12" t="s">
        <v>428</v>
      </c>
      <c r="G36" s="12" t="s">
        <v>70</v>
      </c>
      <c r="H36" s="12" t="s">
        <v>429</v>
      </c>
      <c r="I36" s="12">
        <v>30070608</v>
      </c>
      <c r="J36" s="12" t="s">
        <v>430</v>
      </c>
      <c r="K36" s="4" t="s">
        <v>43</v>
      </c>
      <c r="L36" s="4" t="s">
        <v>79</v>
      </c>
      <c r="M36" s="12" t="s">
        <v>287</v>
      </c>
      <c r="N36" s="12" t="s">
        <v>288</v>
      </c>
      <c r="O36" s="7" t="s">
        <v>45</v>
      </c>
      <c r="P36" s="18" t="str">
        <f t="shared" si="0"/>
        <v>ADRIANA    ISLAS    RODRIGUEZ</v>
      </c>
      <c r="Q36" s="12" t="s">
        <v>430</v>
      </c>
      <c r="R36" s="21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37</v>
      </c>
      <c r="D37" s="12">
        <v>10003663</v>
      </c>
      <c r="E37" s="12" t="s">
        <v>431</v>
      </c>
      <c r="F37" s="12" t="s">
        <v>156</v>
      </c>
      <c r="G37" s="12" t="s">
        <v>75</v>
      </c>
      <c r="H37" s="12" t="s">
        <v>432</v>
      </c>
      <c r="I37" s="12">
        <v>30070609</v>
      </c>
      <c r="J37" s="12" t="s">
        <v>433</v>
      </c>
      <c r="K37" s="4" t="s">
        <v>43</v>
      </c>
      <c r="L37" s="4" t="s">
        <v>44</v>
      </c>
      <c r="M37" s="12" t="s">
        <v>287</v>
      </c>
      <c r="N37" s="12" t="s">
        <v>288</v>
      </c>
      <c r="O37" s="7" t="s">
        <v>45</v>
      </c>
      <c r="P37" s="18" t="str">
        <f t="shared" si="0"/>
        <v>RICARDO    VAZQUEZ    LOPEZ</v>
      </c>
      <c r="Q37" s="12" t="s">
        <v>433</v>
      </c>
      <c r="R37" s="21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80</v>
      </c>
      <c r="D38" s="12">
        <v>10003655</v>
      </c>
      <c r="E38" s="12" t="s">
        <v>434</v>
      </c>
      <c r="F38" s="12" t="s">
        <v>435</v>
      </c>
      <c r="G38" s="12" t="s">
        <v>436</v>
      </c>
      <c r="H38" s="12" t="s">
        <v>437</v>
      </c>
      <c r="I38" s="12">
        <v>30070611</v>
      </c>
      <c r="J38" s="12" t="s">
        <v>438</v>
      </c>
      <c r="K38" s="4" t="s">
        <v>43</v>
      </c>
      <c r="L38" s="4" t="s">
        <v>64</v>
      </c>
      <c r="M38" s="12" t="s">
        <v>298</v>
      </c>
      <c r="N38" s="12" t="s">
        <v>288</v>
      </c>
      <c r="O38" s="7" t="s">
        <v>45</v>
      </c>
      <c r="P38" s="18" t="str">
        <f t="shared" si="0"/>
        <v>SERGIO KARLO    BELTRAN    LARA</v>
      </c>
      <c r="Q38" s="12" t="s">
        <v>438</v>
      </c>
      <c r="R38" s="21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37</v>
      </c>
      <c r="D39" s="12">
        <v>10003663</v>
      </c>
      <c r="E39" s="12" t="s">
        <v>439</v>
      </c>
      <c r="F39" s="12" t="s">
        <v>108</v>
      </c>
      <c r="G39" s="12" t="s">
        <v>92</v>
      </c>
      <c r="H39" s="12" t="s">
        <v>440</v>
      </c>
      <c r="I39" s="12">
        <v>30070612</v>
      </c>
      <c r="J39" s="12" t="s">
        <v>441</v>
      </c>
      <c r="K39" s="4" t="s">
        <v>43</v>
      </c>
      <c r="L39" s="4" t="s">
        <v>64</v>
      </c>
      <c r="M39" s="12" t="s">
        <v>298</v>
      </c>
      <c r="N39" s="12" t="s">
        <v>288</v>
      </c>
      <c r="O39" s="7" t="s">
        <v>45</v>
      </c>
      <c r="P39" s="18" t="str">
        <f t="shared" si="0"/>
        <v>MA CONSUELO    HERNANDEZ    PEREZ</v>
      </c>
      <c r="Q39" s="12" t="s">
        <v>441</v>
      </c>
      <c r="R39" s="21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95</v>
      </c>
      <c r="D40" s="12">
        <v>10003656</v>
      </c>
      <c r="E40" s="12" t="s">
        <v>442</v>
      </c>
      <c r="F40" s="12" t="s">
        <v>443</v>
      </c>
      <c r="G40" s="12" t="s">
        <v>346</v>
      </c>
      <c r="H40" s="12" t="s">
        <v>444</v>
      </c>
      <c r="I40" s="12">
        <v>30070613</v>
      </c>
      <c r="J40" s="12" t="s">
        <v>445</v>
      </c>
      <c r="K40" s="4" t="s">
        <v>43</v>
      </c>
      <c r="L40" s="4" t="s">
        <v>64</v>
      </c>
      <c r="M40" s="12" t="s">
        <v>298</v>
      </c>
      <c r="N40" s="12" t="s">
        <v>288</v>
      </c>
      <c r="O40" s="7" t="s">
        <v>45</v>
      </c>
      <c r="P40" s="18" t="str">
        <f t="shared" si="0"/>
        <v>MARISELA    CAMPOS    CRUZ</v>
      </c>
      <c r="Q40" s="12" t="s">
        <v>445</v>
      </c>
      <c r="R40" s="21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37</v>
      </c>
      <c r="D41" s="12">
        <v>10003663</v>
      </c>
      <c r="E41" s="12" t="s">
        <v>446</v>
      </c>
      <c r="F41" s="12" t="s">
        <v>447</v>
      </c>
      <c r="G41" s="12" t="s">
        <v>137</v>
      </c>
      <c r="H41" s="12" t="s">
        <v>448</v>
      </c>
      <c r="I41" s="12">
        <v>30070614</v>
      </c>
      <c r="J41" s="12" t="s">
        <v>449</v>
      </c>
      <c r="K41" s="4" t="s">
        <v>43</v>
      </c>
      <c r="L41" s="4" t="s">
        <v>44</v>
      </c>
      <c r="M41" s="12" t="s">
        <v>298</v>
      </c>
      <c r="N41" s="12" t="s">
        <v>288</v>
      </c>
      <c r="O41" s="7" t="s">
        <v>45</v>
      </c>
      <c r="P41" s="18" t="str">
        <f t="shared" si="0"/>
        <v>JONATHAN HAZAEL    MARES    MENDEZ</v>
      </c>
      <c r="Q41" s="12" t="s">
        <v>449</v>
      </c>
      <c r="R41" s="21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422</v>
      </c>
      <c r="D42" s="12">
        <v>10003657</v>
      </c>
      <c r="E42" s="12" t="s">
        <v>450</v>
      </c>
      <c r="F42" s="12" t="s">
        <v>70</v>
      </c>
      <c r="G42" s="12" t="s">
        <v>451</v>
      </c>
      <c r="H42" s="12" t="s">
        <v>452</v>
      </c>
      <c r="I42" s="12">
        <v>30070615</v>
      </c>
      <c r="J42" s="12" t="s">
        <v>309</v>
      </c>
      <c r="K42" s="4" t="s">
        <v>43</v>
      </c>
      <c r="L42" s="4" t="s">
        <v>79</v>
      </c>
      <c r="M42" s="12" t="s">
        <v>399</v>
      </c>
      <c r="N42" s="12" t="s">
        <v>288</v>
      </c>
      <c r="O42" s="7" t="s">
        <v>45</v>
      </c>
      <c r="P42" s="18" t="str">
        <f t="shared" si="0"/>
        <v>GLORIA    RODRIGUEZ    ZARATE</v>
      </c>
      <c r="Q42" s="12" t="s">
        <v>309</v>
      </c>
      <c r="R42" s="21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333</v>
      </c>
      <c r="D43" s="12">
        <v>10003666</v>
      </c>
      <c r="E43" s="12" t="s">
        <v>453</v>
      </c>
      <c r="F43" s="12" t="s">
        <v>454</v>
      </c>
      <c r="G43" s="12" t="s">
        <v>108</v>
      </c>
      <c r="H43" s="12" t="s">
        <v>455</v>
      </c>
      <c r="I43" s="12">
        <v>30070616</v>
      </c>
      <c r="J43" s="12" t="s">
        <v>456</v>
      </c>
      <c r="K43" s="4" t="s">
        <v>43</v>
      </c>
      <c r="L43" s="4" t="s">
        <v>64</v>
      </c>
      <c r="M43" s="12" t="s">
        <v>282</v>
      </c>
      <c r="N43" s="12" t="s">
        <v>299</v>
      </c>
      <c r="O43" s="7" t="s">
        <v>45</v>
      </c>
      <c r="P43" s="18" t="str">
        <f t="shared" si="0"/>
        <v>ROBERTO WILLEBALDO    CARDENAS    HERNANDEZ</v>
      </c>
      <c r="Q43" s="12" t="s">
        <v>456</v>
      </c>
      <c r="R43" s="21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126</v>
      </c>
      <c r="D44" s="12">
        <v>10003660</v>
      </c>
      <c r="E44" s="12" t="s">
        <v>457</v>
      </c>
      <c r="F44" s="12" t="s">
        <v>458</v>
      </c>
      <c r="G44" s="12" t="s">
        <v>459</v>
      </c>
      <c r="H44" s="12" t="s">
        <v>460</v>
      </c>
      <c r="I44" s="12">
        <v>30070617</v>
      </c>
      <c r="J44" s="12" t="s">
        <v>461</v>
      </c>
      <c r="K44" s="4" t="s">
        <v>43</v>
      </c>
      <c r="L44" s="4" t="s">
        <v>64</v>
      </c>
      <c r="M44" s="12" t="s">
        <v>399</v>
      </c>
      <c r="N44" s="12" t="s">
        <v>299</v>
      </c>
      <c r="O44" s="7" t="s">
        <v>45</v>
      </c>
      <c r="P44" s="18" t="str">
        <f t="shared" si="0"/>
        <v>LUZ MARGARITA    ROBLEDO    OLIVARES</v>
      </c>
      <c r="Q44" s="12" t="s">
        <v>461</v>
      </c>
      <c r="R44" s="21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126</v>
      </c>
      <c r="D45" s="12">
        <v>10003660</v>
      </c>
      <c r="E45" s="12" t="s">
        <v>462</v>
      </c>
      <c r="F45" s="12" t="s">
        <v>54</v>
      </c>
      <c r="G45" s="12" t="s">
        <v>92</v>
      </c>
      <c r="H45" s="12" t="s">
        <v>463</v>
      </c>
      <c r="I45" s="12">
        <v>30070618</v>
      </c>
      <c r="J45" s="12" t="s">
        <v>464</v>
      </c>
      <c r="K45" s="5" t="s">
        <v>43</v>
      </c>
      <c r="L45" s="5" t="s">
        <v>44</v>
      </c>
      <c r="M45" s="12" t="s">
        <v>465</v>
      </c>
      <c r="N45" s="12" t="s">
        <v>299</v>
      </c>
      <c r="O45" s="8" t="s">
        <v>45</v>
      </c>
      <c r="P45" s="18" t="str">
        <f t="shared" si="0"/>
        <v>IRAZEMA DEL ROCIO    ALVAREZ    PEREZ</v>
      </c>
      <c r="Q45" s="12" t="s">
        <v>464</v>
      </c>
      <c r="R45" s="21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106</v>
      </c>
      <c r="D46" s="12">
        <v>10003653</v>
      </c>
      <c r="E46" s="12" t="s">
        <v>466</v>
      </c>
      <c r="F46" s="12" t="s">
        <v>467</v>
      </c>
      <c r="G46" s="12" t="s">
        <v>468</v>
      </c>
      <c r="H46" s="12" t="s">
        <v>469</v>
      </c>
      <c r="I46" s="12">
        <v>30072744</v>
      </c>
      <c r="J46" s="12" t="s">
        <v>470</v>
      </c>
      <c r="K46" s="6"/>
      <c r="L46" s="6"/>
      <c r="M46" s="12" t="s">
        <v>471</v>
      </c>
      <c r="N46" s="12" t="s">
        <v>283</v>
      </c>
      <c r="O46" s="9" t="s">
        <v>45</v>
      </c>
      <c r="P46" s="18" t="str">
        <f t="shared" si="0"/>
        <v>PAOLA    RAMOS    VERA</v>
      </c>
      <c r="Q46" s="12" t="s">
        <v>470</v>
      </c>
      <c r="R46" s="21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73</v>
      </c>
      <c r="D47" s="12">
        <v>10003661</v>
      </c>
      <c r="E47" s="12" t="s">
        <v>472</v>
      </c>
      <c r="F47" s="12" t="s">
        <v>75</v>
      </c>
      <c r="G47" s="12" t="s">
        <v>251</v>
      </c>
      <c r="H47" s="12" t="s">
        <v>473</v>
      </c>
      <c r="I47" s="12">
        <v>30072749</v>
      </c>
      <c r="J47" s="12" t="s">
        <v>474</v>
      </c>
      <c r="K47" s="6"/>
      <c r="L47" s="6"/>
      <c r="M47" s="12" t="s">
        <v>399</v>
      </c>
      <c r="N47" s="12" t="s">
        <v>283</v>
      </c>
      <c r="O47" s="9" t="s">
        <v>45</v>
      </c>
      <c r="P47" s="18" t="str">
        <f t="shared" si="0"/>
        <v>TANIA LUCERO    LOPEZ    GONZALEZ</v>
      </c>
      <c r="Q47" s="12" t="s">
        <v>474</v>
      </c>
      <c r="R47" s="21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255</v>
      </c>
      <c r="D48" s="12">
        <v>10003659</v>
      </c>
      <c r="E48" s="12" t="s">
        <v>475</v>
      </c>
      <c r="F48" s="12" t="s">
        <v>476</v>
      </c>
      <c r="G48" s="12" t="s">
        <v>271</v>
      </c>
      <c r="H48" s="12" t="s">
        <v>477</v>
      </c>
      <c r="I48" s="12">
        <v>30077988</v>
      </c>
      <c r="J48" s="12" t="s">
        <v>478</v>
      </c>
      <c r="K48" s="6"/>
      <c r="L48" s="6"/>
      <c r="M48" s="12" t="s">
        <v>479</v>
      </c>
      <c r="N48" s="12" t="s">
        <v>262</v>
      </c>
      <c r="O48" s="9" t="s">
        <v>45</v>
      </c>
      <c r="P48" s="18" t="str">
        <f t="shared" si="0"/>
        <v>JUAN ANGEL    HORTA    GARCIA</v>
      </c>
      <c r="Q48" s="12" t="s">
        <v>478</v>
      </c>
      <c r="R48" s="21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269</v>
      </c>
      <c r="D49" s="12">
        <v>10003665</v>
      </c>
      <c r="E49" s="12" t="s">
        <v>480</v>
      </c>
      <c r="F49" s="12" t="s">
        <v>251</v>
      </c>
      <c r="G49" s="12" t="s">
        <v>87</v>
      </c>
      <c r="H49" s="12" t="s">
        <v>481</v>
      </c>
      <c r="I49" s="12">
        <v>30089403</v>
      </c>
      <c r="J49" s="12" t="s">
        <v>279</v>
      </c>
      <c r="K49" s="6"/>
      <c r="L49" s="6"/>
      <c r="M49" s="12" t="s">
        <v>275</v>
      </c>
      <c r="N49" s="12" t="s">
        <v>262</v>
      </c>
      <c r="O49" s="9" t="s">
        <v>45</v>
      </c>
      <c r="P49" s="18" t="str">
        <f t="shared" si="0"/>
        <v>ALVARO    GONZALEZ    ARREDONDO</v>
      </c>
      <c r="Q49" s="12" t="s">
        <v>279</v>
      </c>
      <c r="R49" s="21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269</v>
      </c>
      <c r="D50" s="12">
        <v>10003665</v>
      </c>
      <c r="E50" s="12" t="s">
        <v>482</v>
      </c>
      <c r="F50" s="12" t="s">
        <v>370</v>
      </c>
      <c r="G50" s="12" t="s">
        <v>483</v>
      </c>
      <c r="H50" s="12" t="s">
        <v>484</v>
      </c>
      <c r="I50" s="12">
        <v>30089404</v>
      </c>
      <c r="J50" s="12" t="s">
        <v>485</v>
      </c>
      <c r="K50" s="6"/>
      <c r="L50" s="6"/>
      <c r="M50" s="12" t="s">
        <v>275</v>
      </c>
      <c r="N50" s="12" t="s">
        <v>262</v>
      </c>
      <c r="O50" s="9" t="s">
        <v>45</v>
      </c>
      <c r="P50" s="18" t="str">
        <f t="shared" si="0"/>
        <v>DOLORES ARMANDO    SANTOYO    HIDALGO</v>
      </c>
      <c r="Q50" s="12" t="s">
        <v>485</v>
      </c>
      <c r="R50" s="21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422</v>
      </c>
      <c r="D51" s="12">
        <v>10003657</v>
      </c>
      <c r="E51" s="12" t="s">
        <v>486</v>
      </c>
      <c r="F51" s="12" t="s">
        <v>128</v>
      </c>
      <c r="G51" s="12" t="s">
        <v>40</v>
      </c>
      <c r="H51" s="12" t="s">
        <v>487</v>
      </c>
      <c r="I51" s="12">
        <v>30089405</v>
      </c>
      <c r="J51" s="12" t="s">
        <v>390</v>
      </c>
      <c r="K51" s="6"/>
      <c r="L51" s="6"/>
      <c r="M51" s="12" t="s">
        <v>310</v>
      </c>
      <c r="N51" s="12" t="s">
        <v>288</v>
      </c>
      <c r="O51" s="9" t="s">
        <v>45</v>
      </c>
      <c r="P51" s="18" t="str">
        <f t="shared" si="0"/>
        <v>LUIS ALBERTO    ESPINOZA    MARTINEZ</v>
      </c>
      <c r="Q51" s="12" t="s">
        <v>390</v>
      </c>
      <c r="R51" s="21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269</v>
      </c>
      <c r="D52" s="12">
        <v>10003665</v>
      </c>
      <c r="E52" s="12" t="s">
        <v>488</v>
      </c>
      <c r="F52" s="12" t="s">
        <v>157</v>
      </c>
      <c r="G52" s="12" t="s">
        <v>451</v>
      </c>
      <c r="H52" s="12" t="s">
        <v>489</v>
      </c>
      <c r="I52" s="12">
        <v>30089406</v>
      </c>
      <c r="J52" s="12" t="s">
        <v>490</v>
      </c>
      <c r="K52" s="6"/>
      <c r="L52" s="6"/>
      <c r="M52" s="12" t="s">
        <v>491</v>
      </c>
      <c r="N52" s="12" t="s">
        <v>262</v>
      </c>
      <c r="O52" s="9" t="s">
        <v>45</v>
      </c>
      <c r="P52" s="18" t="str">
        <f t="shared" si="0"/>
        <v>MA GUADALUPE    MEDINA    ZARATE</v>
      </c>
      <c r="Q52" s="12" t="s">
        <v>490</v>
      </c>
      <c r="R52" s="21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255</v>
      </c>
      <c r="D53" s="12">
        <v>10003659</v>
      </c>
      <c r="E53" s="12" t="s">
        <v>492</v>
      </c>
      <c r="F53" s="12" t="s">
        <v>493</v>
      </c>
      <c r="G53" s="12" t="s">
        <v>494</v>
      </c>
      <c r="H53" s="12" t="s">
        <v>495</v>
      </c>
      <c r="I53" s="12">
        <v>30089407</v>
      </c>
      <c r="J53" s="12" t="s">
        <v>496</v>
      </c>
      <c r="K53" s="6"/>
      <c r="L53" s="6"/>
      <c r="M53" s="12" t="s">
        <v>497</v>
      </c>
      <c r="N53" s="12" t="s">
        <v>262</v>
      </c>
      <c r="O53" s="9" t="s">
        <v>45</v>
      </c>
      <c r="P53" s="18" t="str">
        <f t="shared" si="0"/>
        <v>DULCE MARIA TERESITA    CABRERA    SOLANO</v>
      </c>
      <c r="Q53" s="12" t="s">
        <v>496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269</v>
      </c>
      <c r="D54" s="12">
        <v>10003665</v>
      </c>
      <c r="E54" s="12" t="s">
        <v>498</v>
      </c>
      <c r="F54" s="12" t="s">
        <v>499</v>
      </c>
      <c r="G54" s="12" t="s">
        <v>500</v>
      </c>
      <c r="H54" s="12" t="s">
        <v>501</v>
      </c>
      <c r="I54" s="12">
        <v>30089408</v>
      </c>
      <c r="J54" s="12" t="s">
        <v>502</v>
      </c>
      <c r="K54" s="6"/>
      <c r="L54" s="6"/>
      <c r="M54" s="12" t="s">
        <v>491</v>
      </c>
      <c r="N54" s="12" t="s">
        <v>262</v>
      </c>
      <c r="O54" s="9" t="s">
        <v>45</v>
      </c>
      <c r="P54" s="18" t="str">
        <f t="shared" si="0"/>
        <v>MONICA ISABEL    RICO    GAMIÑO</v>
      </c>
      <c r="Q54" s="12" t="s">
        <v>502</v>
      </c>
      <c r="R54" s="21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343</v>
      </c>
      <c r="D55" s="12">
        <v>10003664</v>
      </c>
      <c r="E55" s="12" t="s">
        <v>503</v>
      </c>
      <c r="F55" s="12" t="s">
        <v>54</v>
      </c>
      <c r="G55" s="12" t="s">
        <v>271</v>
      </c>
      <c r="H55" s="12" t="s">
        <v>504</v>
      </c>
      <c r="I55" s="12">
        <v>30089410</v>
      </c>
      <c r="J55" s="12" t="s">
        <v>505</v>
      </c>
      <c r="K55" s="6"/>
      <c r="L55" s="6"/>
      <c r="M55" s="12" t="s">
        <v>491</v>
      </c>
      <c r="N55" s="12" t="s">
        <v>262</v>
      </c>
      <c r="O55" s="9" t="s">
        <v>45</v>
      </c>
      <c r="P55" s="18" t="str">
        <f t="shared" si="0"/>
        <v>GRACIELA    ALVAREZ    GARCIA</v>
      </c>
      <c r="Q55" s="12" t="s">
        <v>505</v>
      </c>
      <c r="R55" s="21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95</v>
      </c>
      <c r="D56" s="12">
        <v>10003656</v>
      </c>
      <c r="E56" s="12" t="s">
        <v>506</v>
      </c>
      <c r="F56" s="12" t="s">
        <v>507</v>
      </c>
      <c r="G56" s="12" t="s">
        <v>508</v>
      </c>
      <c r="H56" s="12" t="s">
        <v>509</v>
      </c>
      <c r="I56" s="12">
        <v>30089411</v>
      </c>
      <c r="J56" s="12" t="s">
        <v>105</v>
      </c>
      <c r="K56" s="6"/>
      <c r="L56" s="6"/>
      <c r="M56" s="12" t="s">
        <v>491</v>
      </c>
      <c r="N56" s="12" t="s">
        <v>288</v>
      </c>
      <c r="O56" s="9" t="s">
        <v>45</v>
      </c>
      <c r="P56" s="18" t="str">
        <f t="shared" si="0"/>
        <v>GESARELA    MARISCAL    CALDERON</v>
      </c>
      <c r="Q56" s="12" t="s">
        <v>105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269</v>
      </c>
      <c r="D57" s="12">
        <v>10003665</v>
      </c>
      <c r="E57" s="12" t="s">
        <v>510</v>
      </c>
      <c r="F57" s="12" t="s">
        <v>511</v>
      </c>
      <c r="G57" s="12" t="s">
        <v>512</v>
      </c>
      <c r="H57" s="12" t="s">
        <v>513</v>
      </c>
      <c r="I57" s="12">
        <v>30089412</v>
      </c>
      <c r="J57" s="12" t="s">
        <v>514</v>
      </c>
      <c r="K57" s="6"/>
      <c r="L57" s="6"/>
      <c r="M57" s="12" t="s">
        <v>497</v>
      </c>
      <c r="N57" s="12" t="s">
        <v>262</v>
      </c>
      <c r="O57" s="9" t="s">
        <v>45</v>
      </c>
      <c r="P57" s="18" t="str">
        <f t="shared" si="0"/>
        <v>ARNULFO    OLVERA    NOVOA</v>
      </c>
      <c r="Q57" s="12" t="s">
        <v>514</v>
      </c>
      <c r="R57" s="21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269</v>
      </c>
      <c r="D58" s="12">
        <v>10003665</v>
      </c>
      <c r="E58" s="12" t="s">
        <v>515</v>
      </c>
      <c r="F58" s="12" t="s">
        <v>516</v>
      </c>
      <c r="G58" s="12" t="s">
        <v>55</v>
      </c>
      <c r="H58" s="12" t="s">
        <v>517</v>
      </c>
      <c r="I58" s="12">
        <v>30089413</v>
      </c>
      <c r="J58" s="12" t="s">
        <v>518</v>
      </c>
      <c r="K58" s="6"/>
      <c r="L58" s="6"/>
      <c r="M58" s="12" t="s">
        <v>497</v>
      </c>
      <c r="N58" s="12" t="s">
        <v>262</v>
      </c>
      <c r="O58" s="9" t="s">
        <v>45</v>
      </c>
      <c r="P58" s="18" t="str">
        <f t="shared" si="0"/>
        <v>JESSICA    AGUILERA    ZAVALA</v>
      </c>
      <c r="Q58" s="12" t="s">
        <v>518</v>
      </c>
      <c r="R58" s="21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269</v>
      </c>
      <c r="D59" s="12">
        <v>10003665</v>
      </c>
      <c r="E59" s="12" t="s">
        <v>519</v>
      </c>
      <c r="F59" s="12" t="s">
        <v>70</v>
      </c>
      <c r="G59" s="12" t="s">
        <v>251</v>
      </c>
      <c r="H59" s="12" t="s">
        <v>520</v>
      </c>
      <c r="I59" s="12">
        <v>30089414</v>
      </c>
      <c r="J59" s="12" t="s">
        <v>521</v>
      </c>
      <c r="K59" s="6"/>
      <c r="L59" s="6"/>
      <c r="M59" s="12" t="s">
        <v>497</v>
      </c>
      <c r="N59" s="12" t="s">
        <v>262</v>
      </c>
      <c r="O59" s="9" t="s">
        <v>45</v>
      </c>
      <c r="P59" s="18" t="str">
        <f t="shared" si="0"/>
        <v>LUZ JOHANA    RODRIGUEZ    GONZALEZ</v>
      </c>
      <c r="Q59" s="12" t="s">
        <v>521</v>
      </c>
      <c r="R59" s="21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269</v>
      </c>
      <c r="D60" s="12">
        <v>10003665</v>
      </c>
      <c r="E60" s="12" t="s">
        <v>522</v>
      </c>
      <c r="F60" s="12" t="s">
        <v>467</v>
      </c>
      <c r="G60" s="12" t="s">
        <v>523</v>
      </c>
      <c r="H60" s="12" t="s">
        <v>524</v>
      </c>
      <c r="I60" s="12">
        <v>30089415</v>
      </c>
      <c r="J60" s="12" t="s">
        <v>525</v>
      </c>
      <c r="K60" s="6"/>
      <c r="L60" s="6"/>
      <c r="M60" s="12" t="s">
        <v>497</v>
      </c>
      <c r="N60" s="12" t="s">
        <v>262</v>
      </c>
      <c r="O60" s="9" t="s">
        <v>45</v>
      </c>
      <c r="P60" s="18" t="str">
        <f t="shared" si="0"/>
        <v>ANA MARIA    RAMOS    CHAVIRA</v>
      </c>
      <c r="Q60" s="12" t="s">
        <v>525</v>
      </c>
      <c r="R60" s="21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269</v>
      </c>
      <c r="D61" s="12">
        <v>10003665</v>
      </c>
      <c r="E61" s="12" t="s">
        <v>526</v>
      </c>
      <c r="F61" s="12" t="s">
        <v>527</v>
      </c>
      <c r="G61" s="12" t="s">
        <v>70</v>
      </c>
      <c r="H61" s="12" t="s">
        <v>528</v>
      </c>
      <c r="I61" s="12">
        <v>30089416</v>
      </c>
      <c r="J61" s="12" t="s">
        <v>529</v>
      </c>
      <c r="K61" s="6"/>
      <c r="L61" s="6"/>
      <c r="M61" s="12" t="s">
        <v>497</v>
      </c>
      <c r="N61" s="12" t="s">
        <v>262</v>
      </c>
      <c r="O61" s="9" t="s">
        <v>45</v>
      </c>
      <c r="P61" s="18" t="str">
        <f t="shared" si="0"/>
        <v>LAURA SAMANTHA    VARELA    RODRIGUEZ</v>
      </c>
      <c r="Q61" s="12" t="s">
        <v>529</v>
      </c>
      <c r="R61" s="21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343</v>
      </c>
      <c r="D62" s="12">
        <v>10003664</v>
      </c>
      <c r="E62" s="12" t="s">
        <v>530</v>
      </c>
      <c r="F62" s="12" t="s">
        <v>281</v>
      </c>
      <c r="G62" s="12" t="s">
        <v>141</v>
      </c>
      <c r="H62" s="12" t="s">
        <v>531</v>
      </c>
      <c r="I62" s="12">
        <v>30089417</v>
      </c>
      <c r="J62" s="12" t="s">
        <v>532</v>
      </c>
      <c r="K62" s="6"/>
      <c r="L62" s="6"/>
      <c r="M62" s="12" t="s">
        <v>533</v>
      </c>
      <c r="N62" s="12" t="s">
        <v>262</v>
      </c>
      <c r="O62" s="9" t="s">
        <v>45</v>
      </c>
      <c r="P62" s="18" t="str">
        <f t="shared" si="0"/>
        <v>CELESTE    MURILLO    CHAVEZ</v>
      </c>
      <c r="Q62" s="12" t="s">
        <v>532</v>
      </c>
      <c r="R62" s="21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255</v>
      </c>
      <c r="D63" s="12">
        <v>10003659</v>
      </c>
      <c r="E63" s="12" t="s">
        <v>534</v>
      </c>
      <c r="F63" s="12" t="s">
        <v>251</v>
      </c>
      <c r="G63" s="12" t="s">
        <v>535</v>
      </c>
      <c r="H63" s="12" t="s">
        <v>536</v>
      </c>
      <c r="I63" s="12">
        <v>30089418</v>
      </c>
      <c r="J63" s="12" t="s">
        <v>537</v>
      </c>
      <c r="K63" s="6"/>
      <c r="L63" s="6"/>
      <c r="M63" s="12" t="s">
        <v>497</v>
      </c>
      <c r="N63" s="12" t="s">
        <v>262</v>
      </c>
      <c r="O63" s="9" t="s">
        <v>45</v>
      </c>
      <c r="P63" s="18" t="str">
        <f t="shared" si="0"/>
        <v>MARIA DEL CARMEN    GONZALEZ    ANDALON</v>
      </c>
      <c r="Q63" s="12" t="s">
        <v>537</v>
      </c>
      <c r="R63" s="21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255</v>
      </c>
      <c r="D64" s="12">
        <v>10003659</v>
      </c>
      <c r="E64" s="12" t="s">
        <v>538</v>
      </c>
      <c r="F64" s="12" t="s">
        <v>539</v>
      </c>
      <c r="G64" s="12" t="s">
        <v>374</v>
      </c>
      <c r="H64" s="12" t="s">
        <v>540</v>
      </c>
      <c r="I64" s="12">
        <v>30089419</v>
      </c>
      <c r="J64" s="12" t="s">
        <v>541</v>
      </c>
      <c r="K64" s="6"/>
      <c r="L64" s="6"/>
      <c r="M64" s="12" t="s">
        <v>497</v>
      </c>
      <c r="N64" s="12" t="s">
        <v>262</v>
      </c>
      <c r="O64" s="9" t="s">
        <v>45</v>
      </c>
      <c r="P64" s="18" t="str">
        <f t="shared" si="0"/>
        <v>DANIELA    TOVAR    SANCHEZ</v>
      </c>
      <c r="Q64" s="12" t="s">
        <v>541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280</v>
      </c>
      <c r="D65" s="12">
        <v>10003652</v>
      </c>
      <c r="E65" s="12" t="s">
        <v>542</v>
      </c>
      <c r="F65" s="12" t="s">
        <v>543</v>
      </c>
      <c r="G65" s="12" t="s">
        <v>70</v>
      </c>
      <c r="H65" s="12" t="s">
        <v>544</v>
      </c>
      <c r="I65" s="12">
        <v>30089421</v>
      </c>
      <c r="J65" s="12" t="s">
        <v>545</v>
      </c>
      <c r="K65" s="6"/>
      <c r="L65" s="6"/>
      <c r="M65" s="12" t="s">
        <v>497</v>
      </c>
      <c r="N65" s="12" t="s">
        <v>283</v>
      </c>
      <c r="O65" s="9" t="s">
        <v>45</v>
      </c>
      <c r="P65" s="18" t="str">
        <f t="shared" si="0"/>
        <v>LAURA    SANTIBAÑEZ    RODRIGUEZ</v>
      </c>
      <c r="Q65" s="12" t="s">
        <v>545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126</v>
      </c>
      <c r="D66" s="12">
        <v>10003660</v>
      </c>
      <c r="E66" s="12" t="s">
        <v>546</v>
      </c>
      <c r="F66" s="12" t="s">
        <v>547</v>
      </c>
      <c r="G66" s="12" t="s">
        <v>123</v>
      </c>
      <c r="H66" s="12" t="s">
        <v>548</v>
      </c>
      <c r="I66" s="12">
        <v>30089422</v>
      </c>
      <c r="J66" s="12" t="s">
        <v>549</v>
      </c>
      <c r="K66" s="6"/>
      <c r="L66" s="6"/>
      <c r="M66" s="12" t="s">
        <v>497</v>
      </c>
      <c r="N66" s="12" t="s">
        <v>299</v>
      </c>
      <c r="O66" s="9" t="s">
        <v>45</v>
      </c>
      <c r="P66" s="18" t="str">
        <f t="shared" si="0"/>
        <v>STEPHANIE LARISA    CEDILLO    OROZCO</v>
      </c>
      <c r="Q66" s="12" t="s">
        <v>549</v>
      </c>
      <c r="R66" s="21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59</v>
      </c>
      <c r="D67" s="12">
        <v>10003662</v>
      </c>
      <c r="E67" s="12" t="s">
        <v>550</v>
      </c>
      <c r="F67" s="12" t="s">
        <v>91</v>
      </c>
      <c r="G67" s="12" t="s">
        <v>551</v>
      </c>
      <c r="H67" s="12" t="s">
        <v>552</v>
      </c>
      <c r="I67" s="12">
        <v>30089423</v>
      </c>
      <c r="J67" s="12" t="s">
        <v>553</v>
      </c>
      <c r="K67" s="6"/>
      <c r="L67" s="6"/>
      <c r="M67" s="12" t="s">
        <v>497</v>
      </c>
      <c r="N67" s="12" t="s">
        <v>299</v>
      </c>
      <c r="O67" s="9" t="s">
        <v>45</v>
      </c>
      <c r="P67" s="18" t="str">
        <f t="shared" ref="P67:P130" si="2">CONCATENATE(E67,"    ",F67,"    ",G67)</f>
        <v>JUAN SALVADOR    RANGEL    COSME</v>
      </c>
      <c r="Q67" s="12" t="s">
        <v>553</v>
      </c>
      <c r="R67" s="21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343</v>
      </c>
      <c r="D68" s="12">
        <v>10003664</v>
      </c>
      <c r="E68" s="12" t="s">
        <v>554</v>
      </c>
      <c r="F68" s="12" t="s">
        <v>555</v>
      </c>
      <c r="G68" s="12" t="s">
        <v>556</v>
      </c>
      <c r="H68" s="12" t="s">
        <v>557</v>
      </c>
      <c r="I68" s="12">
        <v>30089424</v>
      </c>
      <c r="J68" s="12" t="s">
        <v>558</v>
      </c>
      <c r="K68" s="6"/>
      <c r="L68" s="6"/>
      <c r="M68" s="12" t="s">
        <v>268</v>
      </c>
      <c r="N68" s="12" t="s">
        <v>262</v>
      </c>
      <c r="O68" s="9" t="s">
        <v>45</v>
      </c>
      <c r="P68" s="18" t="str">
        <f t="shared" si="2"/>
        <v>JAVIER    PACHECO    CANO</v>
      </c>
      <c r="Q68" s="12" t="s">
        <v>558</v>
      </c>
      <c r="R68" s="21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343</v>
      </c>
      <c r="D69" s="12">
        <v>10003664</v>
      </c>
      <c r="E69" s="12" t="s">
        <v>559</v>
      </c>
      <c r="F69" s="12" t="s">
        <v>213</v>
      </c>
      <c r="G69" s="12" t="s">
        <v>560</v>
      </c>
      <c r="H69" s="12" t="s">
        <v>561</v>
      </c>
      <c r="I69" s="12">
        <v>30089425</v>
      </c>
      <c r="J69" s="12" t="s">
        <v>562</v>
      </c>
      <c r="K69" s="6"/>
      <c r="L69" s="6"/>
      <c r="M69" s="12" t="s">
        <v>268</v>
      </c>
      <c r="N69" s="12" t="s">
        <v>262</v>
      </c>
      <c r="O69" s="9" t="s">
        <v>45</v>
      </c>
      <c r="P69" s="18" t="str">
        <f t="shared" si="2"/>
        <v>AURA FABIOLA    ROMERO    FONSECA</v>
      </c>
      <c r="Q69" s="12" t="s">
        <v>562</v>
      </c>
      <c r="R69" s="21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126</v>
      </c>
      <c r="D70" s="12">
        <v>10003660</v>
      </c>
      <c r="E70" s="12" t="s">
        <v>563</v>
      </c>
      <c r="F70" s="12" t="s">
        <v>54</v>
      </c>
      <c r="G70" s="12" t="s">
        <v>564</v>
      </c>
      <c r="H70" s="12" t="s">
        <v>565</v>
      </c>
      <c r="I70" s="12">
        <v>30089426</v>
      </c>
      <c r="J70" s="12" t="s">
        <v>566</v>
      </c>
      <c r="K70" s="6"/>
      <c r="L70" s="6"/>
      <c r="M70" s="12" t="s">
        <v>533</v>
      </c>
      <c r="N70" s="12" t="s">
        <v>299</v>
      </c>
      <c r="O70" s="9" t="s">
        <v>45</v>
      </c>
      <c r="P70" s="18" t="str">
        <f t="shared" si="2"/>
        <v>MARIA DEL ROSARIO    ALVAREZ    MACIAS</v>
      </c>
      <c r="Q70" s="12" t="s">
        <v>566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95</v>
      </c>
      <c r="D71" s="12">
        <v>10003656</v>
      </c>
      <c r="E71" s="12" t="s">
        <v>567</v>
      </c>
      <c r="F71" s="12" t="s">
        <v>223</v>
      </c>
      <c r="G71" s="12" t="s">
        <v>568</v>
      </c>
      <c r="H71" s="12" t="s">
        <v>569</v>
      </c>
      <c r="I71" s="12">
        <v>30089427</v>
      </c>
      <c r="J71" s="12" t="s">
        <v>570</v>
      </c>
      <c r="K71" s="6"/>
      <c r="L71" s="6"/>
      <c r="M71" s="12" t="s">
        <v>268</v>
      </c>
      <c r="N71" s="12" t="s">
        <v>288</v>
      </c>
      <c r="O71" s="9" t="s">
        <v>45</v>
      </c>
      <c r="P71" s="18" t="str">
        <f t="shared" si="2"/>
        <v>YUNUEN STEPHANIE    JIMENEZ    MEJIA</v>
      </c>
      <c r="Q71" s="12" t="s">
        <v>570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95</v>
      </c>
      <c r="D72" s="12">
        <v>10003656</v>
      </c>
      <c r="E72" s="12" t="s">
        <v>571</v>
      </c>
      <c r="F72" s="12" t="s">
        <v>572</v>
      </c>
      <c r="G72" s="12" t="s">
        <v>573</v>
      </c>
      <c r="H72" s="12" t="s">
        <v>574</v>
      </c>
      <c r="I72" s="12">
        <v>30089428</v>
      </c>
      <c r="J72" s="12" t="s">
        <v>575</v>
      </c>
      <c r="K72" s="6"/>
      <c r="L72" s="6"/>
      <c r="M72" s="12" t="s">
        <v>268</v>
      </c>
      <c r="N72" s="12" t="s">
        <v>288</v>
      </c>
      <c r="O72" s="9" t="s">
        <v>45</v>
      </c>
      <c r="P72" s="18" t="str">
        <f t="shared" si="2"/>
        <v>EDUARDO    ABURTO    GARDUÑO</v>
      </c>
      <c r="Q72" s="12" t="s">
        <v>575</v>
      </c>
      <c r="R72" s="21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255</v>
      </c>
      <c r="D73" s="12">
        <v>10003659</v>
      </c>
      <c r="E73" s="12" t="s">
        <v>576</v>
      </c>
      <c r="F73" s="12" t="s">
        <v>577</v>
      </c>
      <c r="G73" s="12" t="s">
        <v>578</v>
      </c>
      <c r="H73" s="12" t="s">
        <v>579</v>
      </c>
      <c r="I73" s="12">
        <v>30089429</v>
      </c>
      <c r="J73" s="12" t="s">
        <v>580</v>
      </c>
      <c r="K73" s="6"/>
      <c r="L73" s="6"/>
      <c r="M73" s="12" t="s">
        <v>268</v>
      </c>
      <c r="N73" s="12" t="s">
        <v>262</v>
      </c>
      <c r="O73" s="9" t="s">
        <v>45</v>
      </c>
      <c r="P73" s="18" t="str">
        <f t="shared" si="2"/>
        <v>JORGE ARTURO    RINCON    CASIAN</v>
      </c>
      <c r="Q73" s="12" t="s">
        <v>580</v>
      </c>
      <c r="R73" s="21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255</v>
      </c>
      <c r="D74" s="12">
        <v>10003659</v>
      </c>
      <c r="E74" s="12" t="s">
        <v>581</v>
      </c>
      <c r="F74" s="12" t="s">
        <v>582</v>
      </c>
      <c r="G74" s="12" t="s">
        <v>583</v>
      </c>
      <c r="H74" s="12" t="s">
        <v>584</v>
      </c>
      <c r="I74" s="12">
        <v>30089430</v>
      </c>
      <c r="J74" s="12" t="s">
        <v>585</v>
      </c>
      <c r="K74" s="6"/>
      <c r="L74" s="6"/>
      <c r="M74" s="12" t="s">
        <v>497</v>
      </c>
      <c r="N74" s="12" t="s">
        <v>262</v>
      </c>
      <c r="O74" s="9" t="s">
        <v>45</v>
      </c>
      <c r="P74" s="18" t="str">
        <f t="shared" si="2"/>
        <v>ROBERTO    RUIZ DE ESPARZA    VIDAL</v>
      </c>
      <c r="Q74" s="12" t="s">
        <v>585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269</v>
      </c>
      <c r="D75" s="12">
        <v>10003665</v>
      </c>
      <c r="E75" s="12" t="s">
        <v>586</v>
      </c>
      <c r="F75" s="12" t="s">
        <v>468</v>
      </c>
      <c r="G75" s="12" t="s">
        <v>587</v>
      </c>
      <c r="H75" s="12" t="s">
        <v>588</v>
      </c>
      <c r="I75" s="12">
        <v>30089431</v>
      </c>
      <c r="J75" s="12" t="s">
        <v>589</v>
      </c>
      <c r="K75" s="6"/>
      <c r="L75" s="6"/>
      <c r="M75" s="12" t="s">
        <v>298</v>
      </c>
      <c r="N75" s="12" t="s">
        <v>262</v>
      </c>
      <c r="O75" s="9" t="s">
        <v>45</v>
      </c>
      <c r="P75" s="18" t="str">
        <f t="shared" si="2"/>
        <v>CARLOS ROBERTO    VERA    ZUÑIGA</v>
      </c>
      <c r="Q75" s="12" t="s">
        <v>589</v>
      </c>
      <c r="R75" s="21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269</v>
      </c>
      <c r="D76" s="12">
        <v>10003665</v>
      </c>
      <c r="E76" s="12" t="s">
        <v>590</v>
      </c>
      <c r="F76" s="12" t="s">
        <v>75</v>
      </c>
      <c r="G76" s="12" t="s">
        <v>591</v>
      </c>
      <c r="H76" s="12" t="s">
        <v>592</v>
      </c>
      <c r="I76" s="12">
        <v>30089432</v>
      </c>
      <c r="J76" s="12" t="s">
        <v>593</v>
      </c>
      <c r="K76" s="6"/>
      <c r="L76" s="6"/>
      <c r="M76" s="12" t="s">
        <v>377</v>
      </c>
      <c r="N76" s="12" t="s">
        <v>262</v>
      </c>
      <c r="O76" s="9" t="s">
        <v>45</v>
      </c>
      <c r="P76" s="18" t="str">
        <f t="shared" si="2"/>
        <v>KARINA    LOPEZ    ORTEGA</v>
      </c>
      <c r="Q76" s="12" t="s">
        <v>593</v>
      </c>
      <c r="R76" s="21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269</v>
      </c>
      <c r="D77" s="12">
        <v>10003665</v>
      </c>
      <c r="E77" s="12" t="s">
        <v>594</v>
      </c>
      <c r="F77" s="12" t="s">
        <v>251</v>
      </c>
      <c r="G77" s="12" t="s">
        <v>595</v>
      </c>
      <c r="H77" s="12" t="s">
        <v>596</v>
      </c>
      <c r="I77" s="12">
        <v>30089433</v>
      </c>
      <c r="J77" s="12" t="s">
        <v>597</v>
      </c>
      <c r="K77" s="6"/>
      <c r="L77" s="6"/>
      <c r="M77" s="12" t="s">
        <v>377</v>
      </c>
      <c r="N77" s="12" t="s">
        <v>262</v>
      </c>
      <c r="O77" s="9" t="s">
        <v>45</v>
      </c>
      <c r="P77" s="18" t="str">
        <f t="shared" si="2"/>
        <v>CLAUDIA BELEN    GONZALEZ    LANDEROS</v>
      </c>
      <c r="Q77" s="12" t="s">
        <v>597</v>
      </c>
      <c r="R77" s="21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422</v>
      </c>
      <c r="D78" s="12">
        <v>10003657</v>
      </c>
      <c r="E78" s="12" t="s">
        <v>598</v>
      </c>
      <c r="F78" s="12" t="s">
        <v>70</v>
      </c>
      <c r="G78" s="12" t="s">
        <v>70</v>
      </c>
      <c r="H78" s="12" t="s">
        <v>599</v>
      </c>
      <c r="I78" s="12">
        <v>30089434</v>
      </c>
      <c r="J78" s="12" t="s">
        <v>600</v>
      </c>
      <c r="K78" s="6"/>
      <c r="L78" s="6"/>
      <c r="M78" s="12" t="s">
        <v>479</v>
      </c>
      <c r="N78" s="12" t="s">
        <v>288</v>
      </c>
      <c r="O78" s="9" t="s">
        <v>45</v>
      </c>
      <c r="P78" s="18" t="str">
        <f t="shared" si="2"/>
        <v>JOSE LUIS    RODRIGUEZ    RODRIGUEZ</v>
      </c>
      <c r="Q78" s="12" t="s">
        <v>600</v>
      </c>
      <c r="R78" s="21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269</v>
      </c>
      <c r="D79" s="12">
        <v>10003665</v>
      </c>
      <c r="E79" s="12" t="s">
        <v>601</v>
      </c>
      <c r="F79" s="12" t="s">
        <v>208</v>
      </c>
      <c r="G79" s="12" t="s">
        <v>61</v>
      </c>
      <c r="H79" s="12" t="s">
        <v>602</v>
      </c>
      <c r="I79" s="12">
        <v>30090402</v>
      </c>
      <c r="J79" s="12" t="s">
        <v>105</v>
      </c>
      <c r="K79" s="6"/>
      <c r="L79" s="6"/>
      <c r="M79" s="12" t="s">
        <v>603</v>
      </c>
      <c r="N79" s="12" t="s">
        <v>262</v>
      </c>
      <c r="O79" s="9" t="s">
        <v>45</v>
      </c>
      <c r="P79" s="18" t="str">
        <f t="shared" si="2"/>
        <v>ARTURO DE JESUS    MENDOZA    TORRES</v>
      </c>
      <c r="Q79" s="12" t="s">
        <v>105</v>
      </c>
      <c r="R79" s="21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269</v>
      </c>
      <c r="D80" s="12">
        <v>10003665</v>
      </c>
      <c r="E80" s="12" t="s">
        <v>604</v>
      </c>
      <c r="F80" s="12" t="s">
        <v>605</v>
      </c>
      <c r="G80" s="12" t="s">
        <v>511</v>
      </c>
      <c r="H80" s="12" t="s">
        <v>606</v>
      </c>
      <c r="I80" s="12">
        <v>30090403</v>
      </c>
      <c r="J80" s="12" t="s">
        <v>607</v>
      </c>
      <c r="K80" s="6"/>
      <c r="L80" s="6"/>
      <c r="M80" s="12" t="s">
        <v>603</v>
      </c>
      <c r="N80" s="12" t="s">
        <v>262</v>
      </c>
      <c r="O80" s="9" t="s">
        <v>45</v>
      </c>
      <c r="P80" s="18" t="str">
        <f t="shared" si="2"/>
        <v>JOSE OSCAR    ORDAZ    OLVERA</v>
      </c>
      <c r="Q80" s="12" t="s">
        <v>607</v>
      </c>
      <c r="R80" s="21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59</v>
      </c>
      <c r="D81" s="12">
        <v>10003662</v>
      </c>
      <c r="E81" s="12" t="s">
        <v>598</v>
      </c>
      <c r="F81" s="12" t="s">
        <v>123</v>
      </c>
      <c r="G81" s="12" t="s">
        <v>346</v>
      </c>
      <c r="H81" s="12" t="s">
        <v>608</v>
      </c>
      <c r="I81" s="12">
        <v>30095787</v>
      </c>
      <c r="J81" s="12" t="s">
        <v>609</v>
      </c>
      <c r="K81" s="6"/>
      <c r="L81" s="6"/>
      <c r="M81" s="12" t="s">
        <v>610</v>
      </c>
      <c r="N81" s="12" t="s">
        <v>299</v>
      </c>
      <c r="O81" s="9" t="s">
        <v>45</v>
      </c>
      <c r="P81" s="18" t="str">
        <f t="shared" si="2"/>
        <v>JOSE LUIS    OROZCO    CRUZ</v>
      </c>
      <c r="Q81" s="12" t="s">
        <v>609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422</v>
      </c>
      <c r="D82" s="12">
        <v>10003657</v>
      </c>
      <c r="E82" s="12" t="s">
        <v>611</v>
      </c>
      <c r="F82" s="12" t="s">
        <v>612</v>
      </c>
      <c r="G82" s="12" t="s">
        <v>188</v>
      </c>
      <c r="H82" s="12" t="s">
        <v>613</v>
      </c>
      <c r="I82" s="12">
        <v>30106542</v>
      </c>
      <c r="J82" s="12" t="s">
        <v>614</v>
      </c>
      <c r="K82" s="6"/>
      <c r="L82" s="6"/>
      <c r="M82" s="12" t="s">
        <v>385</v>
      </c>
      <c r="N82" s="12" t="s">
        <v>288</v>
      </c>
      <c r="O82" s="9" t="s">
        <v>45</v>
      </c>
      <c r="P82" s="18" t="str">
        <f t="shared" si="2"/>
        <v>FILOMENA    MARGAIZ    RAMIREZ</v>
      </c>
      <c r="Q82" s="12" t="s">
        <v>614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37</v>
      </c>
      <c r="D83" s="14">
        <v>10003663</v>
      </c>
      <c r="E83" s="14" t="s">
        <v>38</v>
      </c>
      <c r="F83" s="14" t="s">
        <v>39</v>
      </c>
      <c r="G83" s="14" t="s">
        <v>40</v>
      </c>
      <c r="H83" s="14" t="s">
        <v>41</v>
      </c>
      <c r="I83" s="14">
        <v>30096889</v>
      </c>
      <c r="J83" s="14" t="s">
        <v>42</v>
      </c>
      <c r="K83" s="13"/>
      <c r="L83" s="13"/>
      <c r="M83" s="15"/>
      <c r="N83" s="15"/>
      <c r="O83" s="16" t="s">
        <v>45</v>
      </c>
      <c r="P83" s="19" t="str">
        <f t="shared" si="2"/>
        <v>MORENA MARIA    CANALES    MARTINEZ</v>
      </c>
      <c r="Q83" s="14" t="s">
        <v>42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37</v>
      </c>
      <c r="D84" s="14">
        <v>10003663</v>
      </c>
      <c r="E84" s="14" t="s">
        <v>47</v>
      </c>
      <c r="F84" s="14" t="s">
        <v>48</v>
      </c>
      <c r="G84" s="14" t="s">
        <v>49</v>
      </c>
      <c r="H84" s="14" t="s">
        <v>50</v>
      </c>
      <c r="I84" s="14">
        <v>30096890</v>
      </c>
      <c r="J84" s="14" t="s">
        <v>51</v>
      </c>
      <c r="K84" s="13"/>
      <c r="L84" s="13"/>
      <c r="M84" s="15"/>
      <c r="N84" s="15"/>
      <c r="O84" s="16" t="s">
        <v>45</v>
      </c>
      <c r="P84" s="19" t="str">
        <f t="shared" si="2"/>
        <v>JUAN PABLO    CASTRO    GOMEZ</v>
      </c>
      <c r="Q84" s="14" t="s">
        <v>51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52</v>
      </c>
      <c r="D85" s="14">
        <v>10003654</v>
      </c>
      <c r="E85" s="14" t="s">
        <v>203</v>
      </c>
      <c r="F85" s="14" t="s">
        <v>204</v>
      </c>
      <c r="G85" s="14" t="s">
        <v>156</v>
      </c>
      <c r="H85" s="14" t="s">
        <v>205</v>
      </c>
      <c r="I85" s="14">
        <v>30096891</v>
      </c>
      <c r="J85" s="14" t="s">
        <v>864</v>
      </c>
      <c r="K85" s="13"/>
      <c r="L85" s="13"/>
      <c r="M85" s="15"/>
      <c r="N85" s="15"/>
      <c r="O85" s="16" t="s">
        <v>45</v>
      </c>
      <c r="P85" s="19" t="str">
        <f t="shared" si="2"/>
        <v>MARIA YOSSELIN    ASCENCIO    VAZQUEZ</v>
      </c>
      <c r="Q85" s="14" t="s">
        <v>864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52</v>
      </c>
      <c r="D86" s="14">
        <v>10003654</v>
      </c>
      <c r="E86" s="14" t="s">
        <v>53</v>
      </c>
      <c r="F86" s="14" t="s">
        <v>54</v>
      </c>
      <c r="G86" s="14" t="s">
        <v>55</v>
      </c>
      <c r="H86" s="14" t="s">
        <v>56</v>
      </c>
      <c r="I86" s="14">
        <v>30096892</v>
      </c>
      <c r="J86" s="14" t="s">
        <v>57</v>
      </c>
      <c r="K86" s="13"/>
      <c r="L86" s="13"/>
      <c r="M86" s="15"/>
      <c r="N86" s="15"/>
      <c r="O86" s="16" t="s">
        <v>45</v>
      </c>
      <c r="P86" s="19" t="str">
        <f t="shared" si="2"/>
        <v>JUAN MANUEL    ALVAREZ    ZAVALA</v>
      </c>
      <c r="Q86" s="14" t="s">
        <v>57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59</v>
      </c>
      <c r="D87" s="14">
        <v>10003662</v>
      </c>
      <c r="E87" s="14" t="s">
        <v>60</v>
      </c>
      <c r="F87" s="14" t="s">
        <v>61</v>
      </c>
      <c r="G87" s="14" t="s">
        <v>61</v>
      </c>
      <c r="H87" s="14" t="s">
        <v>62</v>
      </c>
      <c r="I87" s="14">
        <v>30096893</v>
      </c>
      <c r="J87" s="14" t="s">
        <v>63</v>
      </c>
      <c r="K87" s="13"/>
      <c r="L87" s="13"/>
      <c r="M87" s="15"/>
      <c r="N87" s="15"/>
      <c r="O87" s="16" t="s">
        <v>45</v>
      </c>
      <c r="P87" s="19" t="str">
        <f t="shared" si="2"/>
        <v>MARIANA ZURIZADAI    TORRES    TORRES</v>
      </c>
      <c r="Q87" s="14" t="s">
        <v>63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59</v>
      </c>
      <c r="D88" s="14">
        <v>10003662</v>
      </c>
      <c r="E88" s="14" t="s">
        <v>65</v>
      </c>
      <c r="F88" s="14" t="s">
        <v>66</v>
      </c>
      <c r="G88" s="14" t="s">
        <v>40</v>
      </c>
      <c r="H88" s="14" t="s">
        <v>67</v>
      </c>
      <c r="I88" s="14">
        <v>30096894</v>
      </c>
      <c r="J88" s="14" t="s">
        <v>68</v>
      </c>
      <c r="K88" s="13"/>
      <c r="L88" s="13"/>
      <c r="M88" s="17"/>
      <c r="N88" s="17"/>
      <c r="O88" s="16" t="s">
        <v>45</v>
      </c>
      <c r="P88" s="19" t="str">
        <f t="shared" si="2"/>
        <v>MARTINA    MOCTEZUMA    MARTINEZ</v>
      </c>
      <c r="Q88" s="14" t="s">
        <v>68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59</v>
      </c>
      <c r="D89" s="14">
        <v>10003662</v>
      </c>
      <c r="E89" s="14" t="s">
        <v>69</v>
      </c>
      <c r="F89" s="14" t="s">
        <v>70</v>
      </c>
      <c r="G89" s="14" t="s">
        <v>40</v>
      </c>
      <c r="H89" s="14" t="s">
        <v>71</v>
      </c>
      <c r="I89" s="14">
        <v>30096895</v>
      </c>
      <c r="J89" s="14" t="s">
        <v>72</v>
      </c>
      <c r="K89" s="13"/>
      <c r="L89" s="13"/>
      <c r="M89" s="15"/>
      <c r="N89" s="15"/>
      <c r="O89" s="16" t="s">
        <v>45</v>
      </c>
      <c r="P89" s="19" t="str">
        <f t="shared" si="2"/>
        <v>ROSA CAROLINA    RODRIGUEZ    MARTINEZ</v>
      </c>
      <c r="Q89" s="14" t="s">
        <v>72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73</v>
      </c>
      <c r="D90" s="14">
        <v>10003661</v>
      </c>
      <c r="E90" s="14" t="s">
        <v>74</v>
      </c>
      <c r="F90" s="14" t="s">
        <v>75</v>
      </c>
      <c r="G90" s="14" t="s">
        <v>76</v>
      </c>
      <c r="H90" s="14" t="s">
        <v>77</v>
      </c>
      <c r="I90" s="14">
        <v>30096898</v>
      </c>
      <c r="J90" s="14" t="s">
        <v>78</v>
      </c>
      <c r="K90" s="13"/>
      <c r="L90" s="13"/>
      <c r="M90" s="15"/>
      <c r="N90" s="15"/>
      <c r="O90" s="16" t="s">
        <v>45</v>
      </c>
      <c r="P90" s="19" t="str">
        <f t="shared" si="2"/>
        <v>ADAN    LOPEZ    MONTENEGRO</v>
      </c>
      <c r="Q90" s="14" t="s">
        <v>78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52</v>
      </c>
      <c r="D91" s="14">
        <v>10003654</v>
      </c>
      <c r="E91" s="14" t="s">
        <v>865</v>
      </c>
      <c r="F91" s="14" t="s">
        <v>591</v>
      </c>
      <c r="G91" s="14" t="s">
        <v>108</v>
      </c>
      <c r="H91" s="14" t="s">
        <v>866</v>
      </c>
      <c r="I91" s="14">
        <v>30096900</v>
      </c>
      <c r="J91" s="14" t="s">
        <v>867</v>
      </c>
      <c r="K91" s="13"/>
      <c r="L91" s="13"/>
      <c r="M91" s="15"/>
      <c r="N91" s="15"/>
      <c r="O91" s="16" t="s">
        <v>45</v>
      </c>
      <c r="P91" s="19" t="str">
        <f t="shared" si="2"/>
        <v>PAULINA JAZMIN    ORTEGA    HERNANDEZ</v>
      </c>
      <c r="Q91" s="14" t="s">
        <v>867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80</v>
      </c>
      <c r="D92" s="14">
        <v>10003655</v>
      </c>
      <c r="E92" s="14" t="s">
        <v>81</v>
      </c>
      <c r="F92" s="14" t="s">
        <v>40</v>
      </c>
      <c r="G92" s="14" t="s">
        <v>82</v>
      </c>
      <c r="H92" s="14" t="s">
        <v>83</v>
      </c>
      <c r="I92" s="14">
        <v>30096903</v>
      </c>
      <c r="J92" s="14" t="s">
        <v>84</v>
      </c>
      <c r="K92" s="13"/>
      <c r="L92" s="13"/>
      <c r="M92" s="15"/>
      <c r="N92" s="15"/>
      <c r="O92" s="16" t="s">
        <v>45</v>
      </c>
      <c r="P92" s="19" t="str">
        <f t="shared" si="2"/>
        <v>IVAN    MARTINEZ    CISNEROS</v>
      </c>
      <c r="Q92" s="14" t="s">
        <v>84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80</v>
      </c>
      <c r="D93" s="14">
        <v>10003655</v>
      </c>
      <c r="E93" s="14" t="s">
        <v>85</v>
      </c>
      <c r="F93" s="14" t="s">
        <v>86</v>
      </c>
      <c r="G93" s="14" t="s">
        <v>87</v>
      </c>
      <c r="H93" s="14" t="s">
        <v>88</v>
      </c>
      <c r="I93" s="14">
        <v>30096904</v>
      </c>
      <c r="J93" s="14" t="s">
        <v>89</v>
      </c>
      <c r="K93" s="13"/>
      <c r="L93" s="13"/>
      <c r="M93" s="15"/>
      <c r="N93" s="15"/>
      <c r="O93" s="16" t="s">
        <v>45</v>
      </c>
      <c r="P93" s="19" t="str">
        <f t="shared" si="2"/>
        <v>TULIO GUILLERMO    ALAMO    ARREDONDO</v>
      </c>
      <c r="Q93" s="14" t="s">
        <v>89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80</v>
      </c>
      <c r="D94" s="14">
        <v>10003655</v>
      </c>
      <c r="E94" s="14" t="s">
        <v>90</v>
      </c>
      <c r="F94" s="14" t="s">
        <v>91</v>
      </c>
      <c r="G94" s="14" t="s">
        <v>92</v>
      </c>
      <c r="H94" s="14" t="s">
        <v>93</v>
      </c>
      <c r="I94" s="14">
        <v>30096905</v>
      </c>
      <c r="J94" s="14" t="s">
        <v>94</v>
      </c>
      <c r="K94" s="13"/>
      <c r="L94" s="13"/>
      <c r="M94" s="15"/>
      <c r="N94" s="15"/>
      <c r="O94" s="16" t="s">
        <v>45</v>
      </c>
      <c r="P94" s="19" t="str">
        <f t="shared" si="2"/>
        <v>ASTRID BERENICE    RANGEL    PEREZ</v>
      </c>
      <c r="Q94" s="14" t="s">
        <v>94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95</v>
      </c>
      <c r="D95" s="14">
        <v>10003656</v>
      </c>
      <c r="E95" s="14" t="s">
        <v>96</v>
      </c>
      <c r="F95" s="14" t="s">
        <v>97</v>
      </c>
      <c r="G95" s="14" t="s">
        <v>98</v>
      </c>
      <c r="H95" s="14" t="s">
        <v>99</v>
      </c>
      <c r="I95" s="14">
        <v>30096906</v>
      </c>
      <c r="J95" s="14" t="s">
        <v>100</v>
      </c>
      <c r="K95" s="13"/>
      <c r="L95" s="13"/>
      <c r="M95" s="15"/>
      <c r="N95" s="15"/>
      <c r="O95" s="16" t="s">
        <v>45</v>
      </c>
      <c r="P95" s="19" t="str">
        <f t="shared" si="2"/>
        <v>RODOLFO JONATHAN MARTIN    MORENO    GODINEZ</v>
      </c>
      <c r="Q95" s="14" t="s">
        <v>100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106</v>
      </c>
      <c r="D96" s="14">
        <v>10003653</v>
      </c>
      <c r="E96" s="14" t="s">
        <v>868</v>
      </c>
      <c r="F96" s="14" t="s">
        <v>869</v>
      </c>
      <c r="G96" s="14" t="s">
        <v>870</v>
      </c>
      <c r="H96" s="14" t="s">
        <v>871</v>
      </c>
      <c r="I96" s="14">
        <v>30096908</v>
      </c>
      <c r="J96" s="14" t="s">
        <v>872</v>
      </c>
      <c r="K96" s="13"/>
      <c r="L96" s="13"/>
      <c r="M96" s="15"/>
      <c r="N96" s="15"/>
      <c r="O96" s="16" t="s">
        <v>45</v>
      </c>
      <c r="P96" s="19" t="str">
        <f t="shared" si="2"/>
        <v>LILIA KAREN    MAYORGA    GUADIAN</v>
      </c>
      <c r="Q96" s="14" t="s">
        <v>872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37</v>
      </c>
      <c r="D97" s="14">
        <v>10003663</v>
      </c>
      <c r="E97" s="14" t="s">
        <v>101</v>
      </c>
      <c r="F97" s="14" t="s">
        <v>102</v>
      </c>
      <c r="G97" s="14" t="s">
        <v>103</v>
      </c>
      <c r="H97" s="14" t="s">
        <v>104</v>
      </c>
      <c r="I97" s="14">
        <v>30097416</v>
      </c>
      <c r="J97" s="14" t="s">
        <v>105</v>
      </c>
      <c r="K97" s="13"/>
      <c r="L97" s="13"/>
      <c r="M97" s="15"/>
      <c r="N97" s="15"/>
      <c r="O97" s="16" t="s">
        <v>45</v>
      </c>
      <c r="P97" s="19" t="str">
        <f t="shared" si="2"/>
        <v>PATRICIA    CORTES    VIVANCO</v>
      </c>
      <c r="Q97" s="14" t="s">
        <v>105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106</v>
      </c>
      <c r="D98" s="14">
        <v>10003653</v>
      </c>
      <c r="E98" s="14" t="s">
        <v>107</v>
      </c>
      <c r="F98" s="14" t="s">
        <v>108</v>
      </c>
      <c r="G98" s="14" t="s">
        <v>109</v>
      </c>
      <c r="H98" s="14" t="s">
        <v>110</v>
      </c>
      <c r="I98" s="14">
        <v>30097418</v>
      </c>
      <c r="J98" s="14" t="s">
        <v>111</v>
      </c>
      <c r="K98" s="13"/>
      <c r="L98" s="13"/>
      <c r="M98" s="15"/>
      <c r="N98" s="15"/>
      <c r="O98" s="16" t="s">
        <v>45</v>
      </c>
      <c r="P98" s="19" t="str">
        <f t="shared" si="2"/>
        <v>SOFIA DEL PILAR    HERNANDEZ    HUERTA</v>
      </c>
      <c r="Q98" s="14" t="s">
        <v>111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106</v>
      </c>
      <c r="D99" s="14">
        <v>10003653</v>
      </c>
      <c r="E99" s="14" t="s">
        <v>112</v>
      </c>
      <c r="F99" s="14" t="s">
        <v>75</v>
      </c>
      <c r="G99" s="14" t="s">
        <v>113</v>
      </c>
      <c r="H99" s="14" t="s">
        <v>114</v>
      </c>
      <c r="I99" s="14">
        <v>30097419</v>
      </c>
      <c r="J99" s="14" t="s">
        <v>115</v>
      </c>
      <c r="K99" s="13"/>
      <c r="L99" s="13"/>
      <c r="M99" s="15"/>
      <c r="N99" s="15"/>
      <c r="O99" s="16" t="s">
        <v>45</v>
      </c>
      <c r="P99" s="19" t="str">
        <f t="shared" si="2"/>
        <v>ALEJANDRA    LOPEZ    LADRON DE GUEVARA</v>
      </c>
      <c r="Q99" s="14" t="s">
        <v>115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106</v>
      </c>
      <c r="D100" s="14">
        <v>10003653</v>
      </c>
      <c r="E100" s="14" t="s">
        <v>116</v>
      </c>
      <c r="F100" s="14" t="s">
        <v>117</v>
      </c>
      <c r="G100" s="14" t="s">
        <v>118</v>
      </c>
      <c r="H100" s="14" t="s">
        <v>119</v>
      </c>
      <c r="I100" s="14">
        <v>30097420</v>
      </c>
      <c r="J100" s="14" t="s">
        <v>120</v>
      </c>
      <c r="K100" s="13"/>
      <c r="L100" s="13"/>
      <c r="M100" s="15"/>
      <c r="N100" s="15"/>
      <c r="O100" s="16" t="s">
        <v>45</v>
      </c>
      <c r="P100" s="19" t="str">
        <f t="shared" si="2"/>
        <v>MARTHA ANGELICA    TAVAREZ    CONTRERAS</v>
      </c>
      <c r="Q100" s="14" t="s">
        <v>120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95</v>
      </c>
      <c r="D101" s="14">
        <v>10003656</v>
      </c>
      <c r="E101" s="14" t="s">
        <v>242</v>
      </c>
      <c r="F101" s="14" t="s">
        <v>873</v>
      </c>
      <c r="G101" s="14" t="s">
        <v>874</v>
      </c>
      <c r="H101" s="14" t="s">
        <v>875</v>
      </c>
      <c r="I101" s="14">
        <v>30097421</v>
      </c>
      <c r="J101" s="14" t="s">
        <v>876</v>
      </c>
      <c r="K101" s="13"/>
      <c r="L101" s="13"/>
      <c r="M101" s="15"/>
      <c r="N101" s="15"/>
      <c r="O101" s="16" t="s">
        <v>45</v>
      </c>
      <c r="P101" s="19" t="str">
        <f t="shared" si="2"/>
        <v>JUAN CARLOS    CECILIO    PADILLA</v>
      </c>
      <c r="Q101" s="14" t="s">
        <v>876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95</v>
      </c>
      <c r="D102" s="14">
        <v>10003656</v>
      </c>
      <c r="E102" s="14" t="s">
        <v>121</v>
      </c>
      <c r="F102" s="14" t="s">
        <v>122</v>
      </c>
      <c r="G102" s="14" t="s">
        <v>123</v>
      </c>
      <c r="H102" s="14" t="s">
        <v>124</v>
      </c>
      <c r="I102" s="14">
        <v>30097422</v>
      </c>
      <c r="J102" s="14" t="s">
        <v>125</v>
      </c>
      <c r="K102" s="13"/>
      <c r="L102" s="13"/>
      <c r="M102" s="15"/>
      <c r="N102" s="15"/>
      <c r="O102" s="16" t="s">
        <v>45</v>
      </c>
      <c r="P102" s="19" t="str">
        <f t="shared" si="2"/>
        <v>CARLOS GUSTAVO    SOTO    OROZCO</v>
      </c>
      <c r="Q102" s="14" t="s">
        <v>125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126</v>
      </c>
      <c r="D103" s="14">
        <v>10003660</v>
      </c>
      <c r="E103" s="14" t="s">
        <v>127</v>
      </c>
      <c r="F103" s="14" t="s">
        <v>128</v>
      </c>
      <c r="G103" s="14" t="s">
        <v>129</v>
      </c>
      <c r="H103" s="14" t="s">
        <v>130</v>
      </c>
      <c r="I103" s="14">
        <v>30097423</v>
      </c>
      <c r="J103" s="14" t="s">
        <v>131</v>
      </c>
      <c r="K103" s="13"/>
      <c r="L103" s="13"/>
      <c r="M103" s="15"/>
      <c r="N103" s="15"/>
      <c r="O103" s="16" t="s">
        <v>45</v>
      </c>
      <c r="P103" s="19" t="str">
        <f t="shared" si="2"/>
        <v>FRANCISCO JAVIER    ESPINOZA    ORTIZ</v>
      </c>
      <c r="Q103" s="14" t="s">
        <v>131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126</v>
      </c>
      <c r="D104" s="14">
        <v>10003660</v>
      </c>
      <c r="E104" s="14" t="s">
        <v>132</v>
      </c>
      <c r="F104" s="14" t="s">
        <v>133</v>
      </c>
      <c r="G104" s="14" t="s">
        <v>134</v>
      </c>
      <c r="H104" s="14" t="s">
        <v>135</v>
      </c>
      <c r="I104" s="14">
        <v>30097424</v>
      </c>
      <c r="J104" s="14" t="s">
        <v>877</v>
      </c>
      <c r="K104" s="13"/>
      <c r="L104" s="13"/>
      <c r="M104" s="15"/>
      <c r="N104" s="15"/>
      <c r="O104" s="16" t="s">
        <v>45</v>
      </c>
      <c r="P104" s="19" t="str">
        <f t="shared" si="2"/>
        <v>JORGE ALBERTO    CABALLERO    CORDOVA</v>
      </c>
      <c r="Q104" s="14" t="s">
        <v>877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59</v>
      </c>
      <c r="D105" s="14">
        <v>10003662</v>
      </c>
      <c r="E105" s="14" t="s">
        <v>136</v>
      </c>
      <c r="F105" s="14" t="s">
        <v>137</v>
      </c>
      <c r="G105" s="14" t="s">
        <v>54</v>
      </c>
      <c r="H105" s="14" t="s">
        <v>138</v>
      </c>
      <c r="I105" s="14">
        <v>30097425</v>
      </c>
      <c r="J105" s="14" t="s">
        <v>139</v>
      </c>
      <c r="K105" s="13"/>
      <c r="L105" s="13"/>
      <c r="M105" s="15"/>
      <c r="N105" s="15"/>
      <c r="O105" s="16" t="s">
        <v>45</v>
      </c>
      <c r="P105" s="19" t="str">
        <f t="shared" si="2"/>
        <v>KARLA THALIA    MENDEZ    ALVAREZ</v>
      </c>
      <c r="Q105" s="14" t="s">
        <v>139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73</v>
      </c>
      <c r="D106" s="14">
        <v>10003661</v>
      </c>
      <c r="E106" s="14" t="s">
        <v>140</v>
      </c>
      <c r="F106" s="14" t="s">
        <v>141</v>
      </c>
      <c r="G106" s="14" t="s">
        <v>142</v>
      </c>
      <c r="H106" s="14" t="s">
        <v>143</v>
      </c>
      <c r="I106" s="14">
        <v>30097427</v>
      </c>
      <c r="J106" s="14" t="s">
        <v>144</v>
      </c>
      <c r="K106" s="13"/>
      <c r="L106" s="13"/>
      <c r="M106" s="15"/>
      <c r="N106" s="15"/>
      <c r="O106" s="16" t="s">
        <v>45</v>
      </c>
      <c r="P106" s="19" t="str">
        <f t="shared" si="2"/>
        <v>GUADALUPE DEL SOCORRO    CHAVEZ    ESCOBAR</v>
      </c>
      <c r="Q106" s="14" t="s">
        <v>144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73</v>
      </c>
      <c r="D107" s="14">
        <v>10003661</v>
      </c>
      <c r="E107" s="14" t="s">
        <v>145</v>
      </c>
      <c r="F107" s="14" t="s">
        <v>146</v>
      </c>
      <c r="G107" s="14" t="s">
        <v>147</v>
      </c>
      <c r="H107" s="14" t="s">
        <v>148</v>
      </c>
      <c r="I107" s="14">
        <v>30097430</v>
      </c>
      <c r="J107" s="14" t="s">
        <v>149</v>
      </c>
      <c r="K107" s="13"/>
      <c r="L107" s="13"/>
      <c r="M107" s="15"/>
      <c r="N107" s="15"/>
      <c r="O107" s="16" t="s">
        <v>45</v>
      </c>
      <c r="P107" s="19" t="str">
        <f t="shared" si="2"/>
        <v>CRISTABEL    BORJA    AHEDO</v>
      </c>
      <c r="Q107" s="14" t="s">
        <v>149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73</v>
      </c>
      <c r="D108" s="14">
        <v>10003661</v>
      </c>
      <c r="E108" s="14" t="s">
        <v>150</v>
      </c>
      <c r="F108" s="14" t="s">
        <v>151</v>
      </c>
      <c r="G108" s="14" t="s">
        <v>152</v>
      </c>
      <c r="H108" s="14" t="s">
        <v>153</v>
      </c>
      <c r="I108" s="14">
        <v>30097432</v>
      </c>
      <c r="J108" s="14" t="s">
        <v>154</v>
      </c>
      <c r="K108" s="13"/>
      <c r="L108" s="13"/>
      <c r="M108" s="15"/>
      <c r="N108" s="15"/>
      <c r="O108" s="16" t="s">
        <v>45</v>
      </c>
      <c r="P108" s="19" t="str">
        <f t="shared" si="2"/>
        <v>ANA KARINA    PALMAS    ESPINOSA</v>
      </c>
      <c r="Q108" s="14" t="s">
        <v>154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73</v>
      </c>
      <c r="D109" s="14">
        <v>10003661</v>
      </c>
      <c r="E109" s="14" t="s">
        <v>155</v>
      </c>
      <c r="F109" s="14" t="s">
        <v>156</v>
      </c>
      <c r="G109" s="14" t="s">
        <v>157</v>
      </c>
      <c r="H109" s="14" t="s">
        <v>158</v>
      </c>
      <c r="I109" s="14">
        <v>30097434</v>
      </c>
      <c r="J109" s="14" t="s">
        <v>159</v>
      </c>
      <c r="K109" s="13"/>
      <c r="L109" s="13"/>
      <c r="M109" s="15"/>
      <c r="N109" s="15"/>
      <c r="O109" s="16" t="s">
        <v>45</v>
      </c>
      <c r="P109" s="19" t="str">
        <f t="shared" si="2"/>
        <v>BLANCA YAZMIN    VAZQUEZ    MEDINA</v>
      </c>
      <c r="Q109" s="14" t="s">
        <v>159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73</v>
      </c>
      <c r="D110" s="14">
        <v>10003661</v>
      </c>
      <c r="E110" s="14" t="s">
        <v>160</v>
      </c>
      <c r="F110" s="14" t="s">
        <v>161</v>
      </c>
      <c r="G110" s="14" t="s">
        <v>98</v>
      </c>
      <c r="H110" s="14" t="s">
        <v>162</v>
      </c>
      <c r="I110" s="14">
        <v>30097436</v>
      </c>
      <c r="J110" s="14" t="s">
        <v>163</v>
      </c>
      <c r="K110" s="13"/>
      <c r="L110" s="13"/>
      <c r="M110" s="15"/>
      <c r="N110" s="15"/>
      <c r="O110" s="16" t="s">
        <v>45</v>
      </c>
      <c r="P110" s="19" t="str">
        <f t="shared" si="2"/>
        <v>VALERIA    CECCOPIERI    GODINEZ</v>
      </c>
      <c r="Q110" s="14" t="s">
        <v>163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73</v>
      </c>
      <c r="D111" s="14">
        <v>10003661</v>
      </c>
      <c r="E111" s="14" t="s">
        <v>164</v>
      </c>
      <c r="F111" s="14" t="s">
        <v>165</v>
      </c>
      <c r="G111" s="14" t="s">
        <v>166</v>
      </c>
      <c r="H111" s="14" t="s">
        <v>167</v>
      </c>
      <c r="I111" s="14">
        <v>30097438</v>
      </c>
      <c r="J111" s="14" t="s">
        <v>163</v>
      </c>
      <c r="K111" s="13"/>
      <c r="L111" s="13"/>
      <c r="M111" s="15"/>
      <c r="N111" s="15"/>
      <c r="O111" s="16" t="s">
        <v>45</v>
      </c>
      <c r="P111" s="19" t="str">
        <f t="shared" si="2"/>
        <v>JOSE ANTONIO    JUAREZ    RIVERA</v>
      </c>
      <c r="Q111" s="14" t="s">
        <v>163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106</v>
      </c>
      <c r="D112" s="14">
        <v>10003653</v>
      </c>
      <c r="E112" s="14" t="s">
        <v>168</v>
      </c>
      <c r="F112" s="14" t="s">
        <v>169</v>
      </c>
      <c r="G112" s="14" t="s">
        <v>170</v>
      </c>
      <c r="H112" s="14" t="s">
        <v>171</v>
      </c>
      <c r="I112" s="14">
        <v>30097440</v>
      </c>
      <c r="J112" s="14" t="s">
        <v>172</v>
      </c>
      <c r="K112" s="13"/>
      <c r="L112" s="13"/>
      <c r="M112" s="15"/>
      <c r="N112" s="15"/>
      <c r="O112" s="16" t="s">
        <v>45</v>
      </c>
      <c r="P112" s="19" t="str">
        <f t="shared" si="2"/>
        <v>DANIEL MAXIMINO    CANCHOLA    MURGUIA</v>
      </c>
      <c r="Q112" s="14" t="s">
        <v>172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80</v>
      </c>
      <c r="D113" s="14">
        <v>10003655</v>
      </c>
      <c r="E113" s="14" t="s">
        <v>173</v>
      </c>
      <c r="F113" s="14" t="s">
        <v>123</v>
      </c>
      <c r="G113" s="14" t="s">
        <v>174</v>
      </c>
      <c r="H113" s="14" t="s">
        <v>175</v>
      </c>
      <c r="I113" s="14">
        <v>30097441</v>
      </c>
      <c r="J113" s="14" t="s">
        <v>176</v>
      </c>
      <c r="K113" s="13"/>
      <c r="L113" s="13"/>
      <c r="M113" s="15"/>
      <c r="N113" s="15"/>
      <c r="O113" s="16" t="s">
        <v>45</v>
      </c>
      <c r="P113" s="19" t="str">
        <f t="shared" si="2"/>
        <v>OSCAR LEONARDO    OROZCO    TURRUBIATES</v>
      </c>
      <c r="Q113" s="14" t="s">
        <v>176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59</v>
      </c>
      <c r="D114" s="14">
        <v>10003662</v>
      </c>
      <c r="E114" s="14" t="s">
        <v>878</v>
      </c>
      <c r="F114" s="14" t="s">
        <v>879</v>
      </c>
      <c r="G114" s="14" t="s">
        <v>880</v>
      </c>
      <c r="H114" s="14" t="s">
        <v>881</v>
      </c>
      <c r="I114" s="14">
        <v>30097442</v>
      </c>
      <c r="J114" s="14" t="s">
        <v>105</v>
      </c>
      <c r="K114" s="13"/>
      <c r="L114" s="13"/>
      <c r="M114" s="15"/>
      <c r="N114" s="15"/>
      <c r="O114" s="16" t="s">
        <v>45</v>
      </c>
      <c r="P114" s="19" t="str">
        <f t="shared" si="2"/>
        <v>MARIA GUADALUPE    GUERRERO    ISAIS</v>
      </c>
      <c r="Q114" s="14" t="s">
        <v>105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59</v>
      </c>
      <c r="D115" s="14">
        <v>10003662</v>
      </c>
      <c r="E115" s="14" t="s">
        <v>177</v>
      </c>
      <c r="F115" s="14" t="s">
        <v>178</v>
      </c>
      <c r="G115" s="14" t="s">
        <v>179</v>
      </c>
      <c r="H115" s="14" t="s">
        <v>180</v>
      </c>
      <c r="I115" s="14">
        <v>30097443</v>
      </c>
      <c r="J115" s="14" t="s">
        <v>181</v>
      </c>
      <c r="K115" s="13"/>
      <c r="L115" s="13"/>
      <c r="M115" s="15"/>
      <c r="N115" s="15"/>
      <c r="O115" s="16" t="s">
        <v>45</v>
      </c>
      <c r="P115" s="19" t="str">
        <f t="shared" si="2"/>
        <v>CLAUDIA CRISTINA    SANDI    GARCÍA</v>
      </c>
      <c r="Q115" s="14" t="s">
        <v>181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106</v>
      </c>
      <c r="D116" s="14">
        <v>10003653</v>
      </c>
      <c r="E116" s="14" t="s">
        <v>182</v>
      </c>
      <c r="F116" s="14" t="s">
        <v>183</v>
      </c>
      <c r="G116" s="14" t="s">
        <v>184</v>
      </c>
      <c r="H116" s="14" t="s">
        <v>185</v>
      </c>
      <c r="I116" s="14">
        <v>30097444</v>
      </c>
      <c r="J116" s="14" t="s">
        <v>186</v>
      </c>
      <c r="K116" s="13"/>
      <c r="L116" s="13"/>
      <c r="M116" s="15"/>
      <c r="N116" s="15"/>
      <c r="O116" s="16" t="s">
        <v>45</v>
      </c>
      <c r="P116" s="19" t="str">
        <f t="shared" si="2"/>
        <v>JENIFFER IRAZU    MUÑIZ    ZAMUDIO</v>
      </c>
      <c r="Q116" s="14" t="s">
        <v>186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106</v>
      </c>
      <c r="D117" s="14">
        <v>10003653</v>
      </c>
      <c r="E117" s="14" t="s">
        <v>187</v>
      </c>
      <c r="F117" s="14" t="s">
        <v>188</v>
      </c>
      <c r="G117" s="14" t="s">
        <v>189</v>
      </c>
      <c r="H117" s="14" t="s">
        <v>190</v>
      </c>
      <c r="I117" s="14">
        <v>30097445</v>
      </c>
      <c r="J117" s="14" t="s">
        <v>191</v>
      </c>
      <c r="K117" s="13"/>
      <c r="L117" s="13"/>
      <c r="M117" s="15"/>
      <c r="N117" s="15"/>
      <c r="O117" s="16" t="s">
        <v>45</v>
      </c>
      <c r="P117" s="19" t="str">
        <f t="shared" si="2"/>
        <v>HUGO    RAMIREZ    DUARTE</v>
      </c>
      <c r="Q117" s="14" t="s">
        <v>191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106</v>
      </c>
      <c r="D118" s="14">
        <v>10003653</v>
      </c>
      <c r="E118" s="14" t="s">
        <v>192</v>
      </c>
      <c r="F118" s="14" t="s">
        <v>193</v>
      </c>
      <c r="G118" s="14" t="s">
        <v>194</v>
      </c>
      <c r="H118" s="14" t="s">
        <v>195</v>
      </c>
      <c r="I118" s="14">
        <v>30097446</v>
      </c>
      <c r="J118" s="14" t="s">
        <v>196</v>
      </c>
      <c r="K118" s="13"/>
      <c r="L118" s="13"/>
      <c r="M118" s="15"/>
      <c r="N118" s="15"/>
      <c r="O118" s="16" t="s">
        <v>45</v>
      </c>
      <c r="P118" s="19" t="str">
        <f t="shared" si="2"/>
        <v>MAURICIO ARATT    JACINTO    QUIROZ</v>
      </c>
      <c r="Q118" s="14" t="s">
        <v>196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95</v>
      </c>
      <c r="D119" s="14">
        <v>10003656</v>
      </c>
      <c r="E119" s="14" t="s">
        <v>197</v>
      </c>
      <c r="F119" s="14" t="s">
        <v>198</v>
      </c>
      <c r="G119" s="14" t="s">
        <v>199</v>
      </c>
      <c r="H119" s="14" t="s">
        <v>200</v>
      </c>
      <c r="I119" s="14">
        <v>30098085</v>
      </c>
      <c r="J119" s="14" t="s">
        <v>201</v>
      </c>
      <c r="K119" s="13"/>
      <c r="L119" s="13"/>
      <c r="M119" s="15"/>
      <c r="N119" s="15"/>
      <c r="O119" s="16" t="s">
        <v>45</v>
      </c>
      <c r="P119" s="19" t="str">
        <f t="shared" si="2"/>
        <v>TANIA MARIELA    LUNA    CHAGOYA</v>
      </c>
      <c r="Q119" s="14" t="s">
        <v>201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80</v>
      </c>
      <c r="D120" s="14">
        <v>10003655</v>
      </c>
      <c r="E120" s="14" t="s">
        <v>206</v>
      </c>
      <c r="F120" s="14" t="s">
        <v>207</v>
      </c>
      <c r="G120" s="14" t="s">
        <v>208</v>
      </c>
      <c r="H120" s="14" t="s">
        <v>209</v>
      </c>
      <c r="I120" s="14">
        <v>30098089</v>
      </c>
      <c r="J120" s="14" t="s">
        <v>210</v>
      </c>
      <c r="K120" s="13"/>
      <c r="L120" s="13"/>
      <c r="M120" s="15"/>
      <c r="N120" s="15"/>
      <c r="O120" s="16" t="s">
        <v>45</v>
      </c>
      <c r="P120" s="19" t="str">
        <f t="shared" si="2"/>
        <v>ATENEA    MORALES    MENDOZA</v>
      </c>
      <c r="Q120" s="14" t="s">
        <v>210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80</v>
      </c>
      <c r="D121" s="14">
        <v>10003655</v>
      </c>
      <c r="E121" s="14" t="s">
        <v>882</v>
      </c>
      <c r="F121" s="14" t="s">
        <v>188</v>
      </c>
      <c r="G121" s="14" t="s">
        <v>208</v>
      </c>
      <c r="H121" s="14" t="s">
        <v>883</v>
      </c>
      <c r="I121" s="14">
        <v>30098090</v>
      </c>
      <c r="J121" s="14" t="s">
        <v>884</v>
      </c>
      <c r="K121" s="13"/>
      <c r="L121" s="13"/>
      <c r="M121" s="15"/>
      <c r="N121" s="15"/>
      <c r="O121" s="16" t="s">
        <v>45</v>
      </c>
      <c r="P121" s="19" t="str">
        <f t="shared" si="2"/>
        <v>LESLIE ANDREA    RAMIREZ    MENDOZA</v>
      </c>
      <c r="Q121" s="14" t="s">
        <v>884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73</v>
      </c>
      <c r="D122" s="14">
        <v>10003661</v>
      </c>
      <c r="E122" s="14" t="s">
        <v>211</v>
      </c>
      <c r="F122" s="14" t="s">
        <v>212</v>
      </c>
      <c r="G122" s="14" t="s">
        <v>213</v>
      </c>
      <c r="H122" s="14" t="s">
        <v>214</v>
      </c>
      <c r="I122" s="14">
        <v>30098092</v>
      </c>
      <c r="J122" s="14" t="s">
        <v>215</v>
      </c>
      <c r="K122" s="13"/>
      <c r="L122" s="13"/>
      <c r="M122" s="15"/>
      <c r="N122" s="15"/>
      <c r="O122" s="16" t="s">
        <v>45</v>
      </c>
      <c r="P122" s="19" t="str">
        <f t="shared" si="2"/>
        <v>ANA RUTH    ANGEL    ROMERO</v>
      </c>
      <c r="Q122" s="14" t="s">
        <v>215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255</v>
      </c>
      <c r="D123" s="14">
        <v>10003659</v>
      </c>
      <c r="E123" s="14" t="s">
        <v>885</v>
      </c>
      <c r="F123" s="14" t="s">
        <v>75</v>
      </c>
      <c r="G123" s="14" t="s">
        <v>886</v>
      </c>
      <c r="H123" s="14" t="s">
        <v>887</v>
      </c>
      <c r="I123" s="14">
        <v>30098557</v>
      </c>
      <c r="J123" s="14" t="s">
        <v>888</v>
      </c>
      <c r="K123" s="13"/>
      <c r="L123" s="13"/>
      <c r="M123" s="15"/>
      <c r="N123" s="15"/>
      <c r="O123" s="16" t="s">
        <v>45</v>
      </c>
      <c r="P123" s="19" t="str">
        <f t="shared" si="2"/>
        <v>ESTEFANIA    LOPEZ    ARREOLA</v>
      </c>
      <c r="Q123" s="14" t="s">
        <v>888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95</v>
      </c>
      <c r="D124" s="14">
        <v>10003656</v>
      </c>
      <c r="E124" s="14" t="s">
        <v>889</v>
      </c>
      <c r="F124" s="14" t="s">
        <v>587</v>
      </c>
      <c r="G124" s="14" t="s">
        <v>890</v>
      </c>
      <c r="H124" s="14" t="s">
        <v>891</v>
      </c>
      <c r="I124" s="14">
        <v>30098586</v>
      </c>
      <c r="J124" s="14" t="s">
        <v>201</v>
      </c>
      <c r="K124" s="13"/>
      <c r="L124" s="13"/>
      <c r="M124" s="15"/>
      <c r="N124" s="15"/>
      <c r="O124" s="16" t="s">
        <v>45</v>
      </c>
      <c r="P124" s="19" t="str">
        <f t="shared" si="2"/>
        <v>ANDREA DASHA    ZUÑIGA    EMBRIZ</v>
      </c>
      <c r="Q124" s="14" t="s">
        <v>201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37</v>
      </c>
      <c r="D125" s="14">
        <v>10003663</v>
      </c>
      <c r="E125" s="14" t="s">
        <v>216</v>
      </c>
      <c r="F125" s="14" t="s">
        <v>217</v>
      </c>
      <c r="G125" s="14" t="s">
        <v>218</v>
      </c>
      <c r="H125" s="14" t="s">
        <v>219</v>
      </c>
      <c r="I125" s="14">
        <v>30098841</v>
      </c>
      <c r="J125" s="14" t="s">
        <v>220</v>
      </c>
      <c r="K125" s="13"/>
      <c r="L125" s="13"/>
      <c r="M125" s="15"/>
      <c r="N125" s="15"/>
      <c r="O125" s="16" t="s">
        <v>45</v>
      </c>
      <c r="P125" s="19" t="str">
        <f t="shared" si="2"/>
        <v>CHRISTIAN ANGELICA ADELA    PORRAS    AVILA</v>
      </c>
      <c r="Q125" s="14" t="s">
        <v>220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126</v>
      </c>
      <c r="D126" s="14">
        <v>10003660</v>
      </c>
      <c r="E126" s="14" t="s">
        <v>892</v>
      </c>
      <c r="F126" s="14" t="s">
        <v>207</v>
      </c>
      <c r="G126" s="14" t="s">
        <v>251</v>
      </c>
      <c r="H126" s="14" t="s">
        <v>893</v>
      </c>
      <c r="I126" s="14">
        <v>30101680</v>
      </c>
      <c r="J126" s="14" t="s">
        <v>894</v>
      </c>
      <c r="K126" s="13"/>
      <c r="L126" s="13"/>
      <c r="M126" s="15"/>
      <c r="N126" s="15"/>
      <c r="O126" s="16" t="s">
        <v>45</v>
      </c>
      <c r="P126" s="19" t="str">
        <f t="shared" si="2"/>
        <v>ILEANA    MORALES    GONZALEZ</v>
      </c>
      <c r="Q126" s="14" t="s">
        <v>894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126</v>
      </c>
      <c r="D127" s="14">
        <v>10003660</v>
      </c>
      <c r="E127" s="14" t="s">
        <v>221</v>
      </c>
      <c r="F127" s="14" t="s">
        <v>222</v>
      </c>
      <c r="G127" s="14" t="s">
        <v>223</v>
      </c>
      <c r="H127" s="14" t="s">
        <v>224</v>
      </c>
      <c r="I127" s="14">
        <v>30101681</v>
      </c>
      <c r="J127" s="14" t="s">
        <v>895</v>
      </c>
      <c r="K127" s="13"/>
      <c r="L127" s="13"/>
      <c r="M127" s="15"/>
      <c r="N127" s="15"/>
      <c r="O127" s="16" t="s">
        <v>45</v>
      </c>
      <c r="P127" s="19" t="str">
        <f t="shared" si="2"/>
        <v>JULIO CESAR    AGUILAR    JIMENEZ</v>
      </c>
      <c r="Q127" s="14" t="s">
        <v>895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126</v>
      </c>
      <c r="D128" s="14">
        <v>10003660</v>
      </c>
      <c r="E128" s="14" t="s">
        <v>225</v>
      </c>
      <c r="F128" s="14" t="s">
        <v>226</v>
      </c>
      <c r="G128" s="14" t="s">
        <v>227</v>
      </c>
      <c r="H128" s="14" t="s">
        <v>228</v>
      </c>
      <c r="I128" s="14">
        <v>30101682</v>
      </c>
      <c r="J128" s="14" t="s">
        <v>229</v>
      </c>
      <c r="K128" s="13"/>
      <c r="L128" s="13"/>
      <c r="M128" s="15"/>
      <c r="N128" s="15"/>
      <c r="O128" s="16" t="s">
        <v>45</v>
      </c>
      <c r="P128" s="19" t="str">
        <f t="shared" si="2"/>
        <v>MIGUEL ANGEL    PRO    BUZ</v>
      </c>
      <c r="Q128" s="14" t="s">
        <v>229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126</v>
      </c>
      <c r="D129" s="14">
        <v>10003660</v>
      </c>
      <c r="E129" s="14" t="s">
        <v>230</v>
      </c>
      <c r="F129" s="14" t="s">
        <v>40</v>
      </c>
      <c r="G129" s="14" t="s">
        <v>108</v>
      </c>
      <c r="H129" s="14" t="s">
        <v>231</v>
      </c>
      <c r="I129" s="14">
        <v>30101683</v>
      </c>
      <c r="J129" s="14" t="s">
        <v>232</v>
      </c>
      <c r="K129" s="13"/>
      <c r="L129" s="13"/>
      <c r="M129" s="15"/>
      <c r="N129" s="15"/>
      <c r="O129" s="16" t="s">
        <v>45</v>
      </c>
      <c r="P129" s="19" t="str">
        <f t="shared" si="2"/>
        <v>KAREN SARAHÍ    MARTINEZ    HERNANDEZ</v>
      </c>
      <c r="Q129" s="14" t="s">
        <v>232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422</v>
      </c>
      <c r="D130" s="14">
        <v>10003657</v>
      </c>
      <c r="E130" s="14" t="s">
        <v>233</v>
      </c>
      <c r="F130" s="14" t="s">
        <v>234</v>
      </c>
      <c r="G130" s="14" t="s">
        <v>235</v>
      </c>
      <c r="H130" s="14" t="s">
        <v>236</v>
      </c>
      <c r="I130" s="14">
        <v>30104981</v>
      </c>
      <c r="J130" s="14" t="s">
        <v>237</v>
      </c>
      <c r="K130" s="10"/>
      <c r="L130" s="10"/>
      <c r="M130" s="15"/>
      <c r="N130" s="15"/>
      <c r="O130" s="16" t="s">
        <v>45</v>
      </c>
      <c r="P130" s="19" t="str">
        <f t="shared" si="2"/>
        <v>PAULO    YAÑEZ    QUINTERO</v>
      </c>
      <c r="Q130" s="14" t="s">
        <v>237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106</v>
      </c>
      <c r="D131" s="14">
        <v>10003653</v>
      </c>
      <c r="E131" s="14" t="s">
        <v>238</v>
      </c>
      <c r="F131" s="14" t="s">
        <v>239</v>
      </c>
      <c r="G131" s="14" t="s">
        <v>166</v>
      </c>
      <c r="H131" s="14" t="s">
        <v>240</v>
      </c>
      <c r="I131" s="14">
        <v>30104982</v>
      </c>
      <c r="J131" s="14" t="s">
        <v>241</v>
      </c>
      <c r="K131" s="10"/>
      <c r="L131" s="10"/>
      <c r="M131" s="15"/>
      <c r="N131" s="15"/>
      <c r="O131" s="16" t="s">
        <v>45</v>
      </c>
      <c r="P131" s="19" t="str">
        <f t="shared" ref="P131:P137" si="5">CONCATENATE(E131,"    ",F131,"    ",G131)</f>
        <v>ADRIANA    RUIZ    RIVERA</v>
      </c>
      <c r="Q131" s="14" t="s">
        <v>241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126</v>
      </c>
      <c r="D132" s="14">
        <v>10003660</v>
      </c>
      <c r="E132" s="14" t="s">
        <v>242</v>
      </c>
      <c r="F132" s="14" t="s">
        <v>243</v>
      </c>
      <c r="G132" s="14" t="s">
        <v>244</v>
      </c>
      <c r="H132" s="14" t="s">
        <v>245</v>
      </c>
      <c r="I132" s="14">
        <v>30104983</v>
      </c>
      <c r="J132" s="14" t="s">
        <v>246</v>
      </c>
      <c r="K132" s="10"/>
      <c r="L132" s="10"/>
      <c r="M132" s="15"/>
      <c r="N132" s="10"/>
      <c r="O132" s="16" t="s">
        <v>45</v>
      </c>
      <c r="P132" s="19" t="str">
        <f t="shared" si="5"/>
        <v>JUAN CARLOS    RUIZ SANTOSCOY    ZAMORA</v>
      </c>
      <c r="Q132" s="14" t="s">
        <v>246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255</v>
      </c>
      <c r="D133" s="14">
        <v>10003659</v>
      </c>
      <c r="E133" s="14" t="s">
        <v>896</v>
      </c>
      <c r="F133" s="14" t="s">
        <v>897</v>
      </c>
      <c r="G133" s="14" t="s">
        <v>108</v>
      </c>
      <c r="H133" s="14" t="s">
        <v>898</v>
      </c>
      <c r="I133" s="14">
        <v>30105037</v>
      </c>
      <c r="J133" s="14" t="s">
        <v>899</v>
      </c>
      <c r="K133" s="10"/>
      <c r="L133" s="10"/>
      <c r="M133" s="15"/>
      <c r="N133" s="10"/>
      <c r="O133" s="16" t="s">
        <v>45</v>
      </c>
      <c r="P133" s="19" t="str">
        <f t="shared" si="5"/>
        <v>LORENZO EDSON    BUENO    HERNANDEZ</v>
      </c>
      <c r="Q133" s="14" t="s">
        <v>899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106</v>
      </c>
      <c r="D134" s="14">
        <v>10003653</v>
      </c>
      <c r="E134" s="14" t="s">
        <v>900</v>
      </c>
      <c r="F134" s="14" t="s">
        <v>54</v>
      </c>
      <c r="G134" s="14" t="s">
        <v>271</v>
      </c>
      <c r="H134" s="14" t="s">
        <v>901</v>
      </c>
      <c r="I134" s="14">
        <v>30105116</v>
      </c>
      <c r="J134" s="14" t="s">
        <v>902</v>
      </c>
      <c r="K134" s="10"/>
      <c r="L134" s="10"/>
      <c r="M134" s="15"/>
      <c r="N134" s="10"/>
      <c r="O134" s="16" t="s">
        <v>45</v>
      </c>
      <c r="P134" s="19" t="str">
        <f t="shared" si="5"/>
        <v>ALEJANDRO    ALVAREZ    GARCIA</v>
      </c>
      <c r="Q134" s="14" t="s">
        <v>902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126</v>
      </c>
      <c r="D135" s="14">
        <v>10003660</v>
      </c>
      <c r="E135" s="14" t="s">
        <v>900</v>
      </c>
      <c r="F135" s="14" t="s">
        <v>903</v>
      </c>
      <c r="G135" s="14" t="s">
        <v>904</v>
      </c>
      <c r="H135" s="14" t="s">
        <v>905</v>
      </c>
      <c r="I135" s="14">
        <v>30105117</v>
      </c>
      <c r="J135" s="14" t="s">
        <v>906</v>
      </c>
      <c r="K135" s="10"/>
      <c r="L135" s="10"/>
      <c r="M135" s="15"/>
      <c r="N135" s="10"/>
      <c r="O135" s="16" t="s">
        <v>45</v>
      </c>
      <c r="P135" s="19" t="str">
        <f t="shared" si="5"/>
        <v>ALEJANDRO    AYALA    SERRATO</v>
      </c>
      <c r="Q135" s="14" t="s">
        <v>906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59</v>
      </c>
      <c r="D136" s="14">
        <v>10003662</v>
      </c>
      <c r="E136" s="14" t="s">
        <v>247</v>
      </c>
      <c r="F136" s="14" t="s">
        <v>248</v>
      </c>
      <c r="G136" s="14" t="s">
        <v>108</v>
      </c>
      <c r="H136" s="14" t="s">
        <v>249</v>
      </c>
      <c r="I136" s="14">
        <v>30106227</v>
      </c>
      <c r="J136" s="14" t="s">
        <v>72</v>
      </c>
      <c r="K136" s="10"/>
      <c r="L136" s="10"/>
      <c r="M136" s="15"/>
      <c r="N136" s="10"/>
      <c r="O136" s="16" t="s">
        <v>45</v>
      </c>
      <c r="P136" s="19" t="str">
        <f t="shared" si="5"/>
        <v>MARIA DEL PILAR    CARRILLO    HERNANDEZ</v>
      </c>
      <c r="Q136" s="14" t="s">
        <v>72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80</v>
      </c>
      <c r="D137" s="14">
        <v>10003655</v>
      </c>
      <c r="E137" s="14" t="s">
        <v>250</v>
      </c>
      <c r="F137" s="14" t="s">
        <v>251</v>
      </c>
      <c r="G137" s="14" t="s">
        <v>252</v>
      </c>
      <c r="H137" s="14" t="s">
        <v>253</v>
      </c>
      <c r="I137" s="14">
        <v>30106793</v>
      </c>
      <c r="J137" s="14" t="s">
        <v>254</v>
      </c>
      <c r="K137" s="10"/>
      <c r="L137" s="10"/>
      <c r="M137" s="10"/>
      <c r="N137" s="10"/>
      <c r="O137" s="16" t="s">
        <v>45</v>
      </c>
      <c r="P137" s="19" t="str">
        <f t="shared" si="5"/>
        <v>SUSANA PATRICIA    GONZALEZ    AVIÑA</v>
      </c>
      <c r="Q137" s="14" t="s">
        <v>254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224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10" t="s">
        <v>615</v>
      </c>
      <c r="C1" s="10" t="s">
        <v>616</v>
      </c>
    </row>
    <row r="2" spans="1:3" x14ac:dyDescent="0.25">
      <c r="A2" t="s">
        <v>617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618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18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619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620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622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623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624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627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628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629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630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631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632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633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634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635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636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637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638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639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640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642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643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644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647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648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649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650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651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652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653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654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657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658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659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660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661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662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663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664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665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666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667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668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669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670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671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672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673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674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675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676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678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679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680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681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682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683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684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685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686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687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688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689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690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691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692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693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694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695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696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697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698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699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700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701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702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703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704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705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706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707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708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709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710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711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712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713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714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715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716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717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718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719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720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721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722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723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724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725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726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727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728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729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730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731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732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733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734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735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736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737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738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739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740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741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742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743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744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745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746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747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748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749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750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751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752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753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754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755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756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757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758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759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760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761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762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763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764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765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766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767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768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769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770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771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772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773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774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775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776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777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778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779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780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781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782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783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784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785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786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787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788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789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790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791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792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793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794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795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796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797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798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799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800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801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802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803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804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805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806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807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808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809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810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811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812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813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814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815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816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817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818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819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820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821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822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823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824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825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826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827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828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829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830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831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832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833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834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835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836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837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838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839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840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841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842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843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844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845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846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847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848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849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850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851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852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853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854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855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856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857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858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859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860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861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862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863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46"/>
  <sheetViews>
    <sheetView topLeftCell="A34" workbookViewId="0">
      <selection activeCell="A2" sqref="A2:A46"/>
    </sheetView>
  </sheetViews>
  <sheetFormatPr baseColWidth="10" defaultRowHeight="15" x14ac:dyDescent="0.25"/>
  <cols>
    <col min="1" max="1" width="22.5703125" bestFit="1" customWidth="1"/>
  </cols>
  <sheetData>
    <row r="1" spans="1:3" x14ac:dyDescent="0.25">
      <c r="A1" t="s">
        <v>17</v>
      </c>
    </row>
    <row r="2" spans="1:3" x14ac:dyDescent="0.25">
      <c r="A2" t="s">
        <v>925</v>
      </c>
      <c r="C2" t="s">
        <v>938</v>
      </c>
    </row>
    <row r="3" spans="1:3" x14ac:dyDescent="0.25">
      <c r="A3" t="s">
        <v>923</v>
      </c>
    </row>
    <row r="4" spans="1:3" x14ac:dyDescent="0.25">
      <c r="A4" t="s">
        <v>924</v>
      </c>
    </row>
    <row r="5" spans="1:3" x14ac:dyDescent="0.25">
      <c r="A5" t="s">
        <v>939</v>
      </c>
    </row>
    <row r="6" spans="1:3" x14ac:dyDescent="0.25">
      <c r="A6" t="s">
        <v>940</v>
      </c>
    </row>
    <row r="7" spans="1:3" x14ac:dyDescent="0.25">
      <c r="A7" t="s">
        <v>941</v>
      </c>
    </row>
    <row r="8" spans="1:3" x14ac:dyDescent="0.25">
      <c r="A8" t="s">
        <v>942</v>
      </c>
    </row>
    <row r="9" spans="1:3" x14ac:dyDescent="0.25">
      <c r="A9" t="s">
        <v>943</v>
      </c>
    </row>
    <row r="10" spans="1:3" x14ac:dyDescent="0.25">
      <c r="A10" t="s">
        <v>944</v>
      </c>
    </row>
    <row r="11" spans="1:3" x14ac:dyDescent="0.25">
      <c r="A11" t="s">
        <v>945</v>
      </c>
    </row>
    <row r="12" spans="1:3" x14ac:dyDescent="0.25">
      <c r="A12" t="s">
        <v>946</v>
      </c>
    </row>
    <row r="13" spans="1:3" x14ac:dyDescent="0.25">
      <c r="A13" t="s">
        <v>947</v>
      </c>
    </row>
    <row r="14" spans="1:3" x14ac:dyDescent="0.25">
      <c r="A14" t="s">
        <v>948</v>
      </c>
    </row>
    <row r="15" spans="1:3" x14ac:dyDescent="0.25">
      <c r="A15" t="s">
        <v>949</v>
      </c>
    </row>
    <row r="16" spans="1:3" x14ac:dyDescent="0.25">
      <c r="A16" t="s">
        <v>950</v>
      </c>
    </row>
    <row r="17" spans="1:1" x14ac:dyDescent="0.25">
      <c r="A17" t="s">
        <v>951</v>
      </c>
    </row>
    <row r="18" spans="1:1" x14ac:dyDescent="0.25">
      <c r="A18" t="s">
        <v>952</v>
      </c>
    </row>
    <row r="19" spans="1:1" x14ac:dyDescent="0.25">
      <c r="A19" t="s">
        <v>953</v>
      </c>
    </row>
    <row r="20" spans="1:1" x14ac:dyDescent="0.25">
      <c r="A20" t="s">
        <v>954</v>
      </c>
    </row>
    <row r="21" spans="1:1" x14ac:dyDescent="0.25">
      <c r="A21" t="s">
        <v>955</v>
      </c>
    </row>
    <row r="22" spans="1:1" x14ac:dyDescent="0.25">
      <c r="A22" t="s">
        <v>928</v>
      </c>
    </row>
    <row r="23" spans="1:1" x14ac:dyDescent="0.25">
      <c r="A23" t="s">
        <v>929</v>
      </c>
    </row>
    <row r="24" spans="1:1" x14ac:dyDescent="0.25">
      <c r="A24" t="s">
        <v>930</v>
      </c>
    </row>
    <row r="25" spans="1:1" x14ac:dyDescent="0.25">
      <c r="A25" t="s">
        <v>931</v>
      </c>
    </row>
    <row r="26" spans="1:1" x14ac:dyDescent="0.25">
      <c r="A26" t="s">
        <v>932</v>
      </c>
    </row>
    <row r="27" spans="1:1" x14ac:dyDescent="0.25">
      <c r="A27" t="s">
        <v>926</v>
      </c>
    </row>
    <row r="28" spans="1:1" x14ac:dyDescent="0.25">
      <c r="A28" t="s">
        <v>956</v>
      </c>
    </row>
    <row r="29" spans="1:1" x14ac:dyDescent="0.25">
      <c r="A29" t="s">
        <v>933</v>
      </c>
    </row>
    <row r="30" spans="1:1" x14ac:dyDescent="0.25">
      <c r="A30" t="s">
        <v>934</v>
      </c>
    </row>
    <row r="31" spans="1:1" x14ac:dyDescent="0.25">
      <c r="A31" t="s">
        <v>935</v>
      </c>
    </row>
    <row r="32" spans="1:1" x14ac:dyDescent="0.25">
      <c r="A32" t="s">
        <v>936</v>
      </c>
    </row>
    <row r="33" spans="1:1" x14ac:dyDescent="0.25">
      <c r="A33" t="s">
        <v>937</v>
      </c>
    </row>
    <row r="34" spans="1:1" x14ac:dyDescent="0.25">
      <c r="A34" t="s">
        <v>957</v>
      </c>
    </row>
    <row r="35" spans="1:1" x14ac:dyDescent="0.25">
      <c r="A35" t="s">
        <v>958</v>
      </c>
    </row>
    <row r="36" spans="1:1" x14ac:dyDescent="0.25">
      <c r="A36" t="s">
        <v>959</v>
      </c>
    </row>
    <row r="37" spans="1:1" x14ac:dyDescent="0.25">
      <c r="A37" t="s">
        <v>960</v>
      </c>
    </row>
    <row r="38" spans="1:1" x14ac:dyDescent="0.25">
      <c r="A38" t="s">
        <v>961</v>
      </c>
    </row>
    <row r="39" spans="1:1" x14ac:dyDescent="0.25">
      <c r="A39" t="s">
        <v>962</v>
      </c>
    </row>
    <row r="40" spans="1:1" x14ac:dyDescent="0.25">
      <c r="A40" t="s">
        <v>927</v>
      </c>
    </row>
    <row r="41" spans="1:1" x14ac:dyDescent="0.25">
      <c r="A41" t="s">
        <v>963</v>
      </c>
    </row>
    <row r="42" spans="1:1" x14ac:dyDescent="0.25">
      <c r="A42" t="s">
        <v>964</v>
      </c>
    </row>
    <row r="43" spans="1:1" x14ac:dyDescent="0.25">
      <c r="A43" t="s">
        <v>965</v>
      </c>
    </row>
    <row r="44" spans="1:1" x14ac:dyDescent="0.25">
      <c r="A44" t="s">
        <v>966</v>
      </c>
    </row>
    <row r="45" spans="1:1" x14ac:dyDescent="0.25">
      <c r="A45" t="s">
        <v>967</v>
      </c>
    </row>
    <row r="46" spans="1:1" x14ac:dyDescent="0.25">
      <c r="A46" t="s">
        <v>968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GCR</vt:lpstr>
      <vt:lpstr>Hoja1</vt:lpstr>
      <vt:lpstr>partida</vt:lpstr>
      <vt:lpstr>proyecto</vt:lpstr>
      <vt:lpstr>CONCEPTO</vt:lpstr>
      <vt:lpstr>NOMBRECOMPLETO</vt:lpstr>
      <vt:lpstr>NOMINA</vt:lpstr>
      <vt:lpstr>partida</vt:lpstr>
      <vt:lpstr>PARTIDA2</vt:lpstr>
      <vt:lpstr>PROYECTO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Alí Ortigoza</dc:creator>
  <cp:keywords/>
  <dc:description/>
  <cp:lastModifiedBy>Arturo Mendoza Torres</cp:lastModifiedBy>
  <cp:revision/>
  <cp:lastPrinted>2017-05-30T19:53:20Z</cp:lastPrinted>
  <dcterms:created xsi:type="dcterms:W3CDTF">2016-02-08T15:52:06Z</dcterms:created>
  <dcterms:modified xsi:type="dcterms:W3CDTF">2018-10-19T20:30:18Z</dcterms:modified>
  <cp:category/>
  <cp:contentStatus/>
</cp:coreProperties>
</file>