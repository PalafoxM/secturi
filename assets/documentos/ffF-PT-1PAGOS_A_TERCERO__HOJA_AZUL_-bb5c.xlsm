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RESPALDO ARTURO DE JESUS M 11.04.18\varios\2020\FORMATOS\"/>
    </mc:Choice>
  </mc:AlternateContent>
  <bookViews>
    <workbookView xWindow="0" yWindow="0" windowWidth="28800" windowHeight="10830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8"/>
  <definedNames>
    <definedName name="PROYECTO">PROYECTO!$A$2:$A$34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B250" i="23"/>
  <c r="B258" i="23"/>
  <c r="B266" i="23"/>
  <c r="B274" i="23"/>
  <c r="B282" i="23"/>
  <c r="B290" i="23"/>
  <c r="B298" i="23"/>
  <c r="B306" i="23"/>
  <c r="C255" i="23"/>
  <c r="C283" i="23"/>
  <c r="C305" i="23"/>
  <c r="C256" i="23"/>
  <c r="C264" i="23"/>
  <c r="C272" i="23"/>
  <c r="C280" i="23"/>
  <c r="C288" i="23"/>
  <c r="C296" i="23"/>
  <c r="C304" i="23"/>
  <c r="C275" i="23"/>
  <c r="C299" i="23"/>
  <c r="B255" i="23"/>
  <c r="B263" i="23"/>
  <c r="B271" i="23"/>
  <c r="B279" i="23"/>
  <c r="B287" i="23"/>
  <c r="B295" i="23"/>
  <c r="B303" i="23"/>
  <c r="C259" i="23"/>
  <c r="C271" i="23"/>
  <c r="C297" i="23"/>
  <c r="C269" i="23"/>
  <c r="B269" i="23"/>
  <c r="B293" i="23"/>
  <c r="C257" i="23"/>
  <c r="C291" i="23"/>
  <c r="B252" i="23"/>
  <c r="B260" i="23"/>
  <c r="B268" i="23"/>
  <c r="B276" i="23"/>
  <c r="B284" i="23"/>
  <c r="B292" i="23"/>
  <c r="B300" i="23"/>
  <c r="B308" i="23"/>
  <c r="C265" i="23"/>
  <c r="C289" i="23"/>
  <c r="C250" i="23"/>
  <c r="C258" i="23"/>
  <c r="C266" i="23"/>
  <c r="C274" i="23"/>
  <c r="C282" i="23"/>
  <c r="C290" i="23"/>
  <c r="C298" i="23"/>
  <c r="C308" i="23"/>
  <c r="C281" i="23"/>
  <c r="C307" i="23"/>
  <c r="B257" i="23"/>
  <c r="B265" i="23"/>
  <c r="B273" i="23"/>
  <c r="B281" i="23"/>
  <c r="B289" i="23"/>
  <c r="B297" i="23"/>
  <c r="B305" i="23"/>
  <c r="C261" i="23"/>
  <c r="C277" i="23"/>
  <c r="C303" i="23"/>
  <c r="B254" i="23"/>
  <c r="B262" i="23"/>
  <c r="B270" i="23"/>
  <c r="B278" i="23"/>
  <c r="B286" i="23"/>
  <c r="B294" i="23"/>
  <c r="B302" i="23"/>
  <c r="C306" i="23"/>
  <c r="C273" i="23"/>
  <c r="C295" i="23"/>
  <c r="C252" i="23"/>
  <c r="C260" i="23"/>
  <c r="C268" i="23"/>
  <c r="C276" i="23"/>
  <c r="C284" i="23"/>
  <c r="C292" i="23"/>
  <c r="C300" i="23"/>
  <c r="C251" i="23"/>
  <c r="C287" i="23"/>
  <c r="B251" i="23"/>
  <c r="B259" i="23"/>
  <c r="B267" i="23"/>
  <c r="B275" i="23"/>
  <c r="B283" i="23"/>
  <c r="B291" i="23"/>
  <c r="B299" i="23"/>
  <c r="C253" i="23"/>
  <c r="C263" i="23"/>
  <c r="C285" i="23"/>
  <c r="B256" i="23"/>
  <c r="B264" i="23"/>
  <c r="B272" i="23"/>
  <c r="B280" i="23"/>
  <c r="B288" i="23"/>
  <c r="B296" i="23"/>
  <c r="B304" i="23"/>
  <c r="B307" i="23"/>
  <c r="C279" i="23"/>
  <c r="C301" i="23"/>
  <c r="C254" i="23"/>
  <c r="C262" i="23"/>
  <c r="C270" i="23"/>
  <c r="C278" i="23"/>
  <c r="C286" i="23"/>
  <c r="C294" i="23"/>
  <c r="C302" i="23"/>
  <c r="C293" i="23"/>
  <c r="B253" i="23"/>
  <c r="B261" i="23"/>
  <c r="B277" i="23"/>
  <c r="B285" i="23"/>
  <c r="B301" i="23"/>
  <c r="C267" i="23"/>
  <c r="G40" i="20" l="1"/>
  <c r="D52" i="20" l="1"/>
  <c r="H9" i="20" s="1"/>
  <c r="C103" i="23" l="1"/>
  <c r="C99" i="23"/>
  <c r="C57" i="23"/>
  <c r="B69" i="23"/>
  <c r="B114" i="23"/>
  <c r="C170" i="23"/>
  <c r="B123" i="23"/>
  <c r="C54" i="23"/>
  <c r="C9" i="23"/>
  <c r="B120" i="23"/>
  <c r="C125" i="23"/>
  <c r="C34" i="23"/>
  <c r="B161" i="23"/>
  <c r="B78" i="23"/>
  <c r="B99" i="23"/>
  <c r="B211" i="23"/>
  <c r="C90" i="23"/>
  <c r="B5" i="23"/>
  <c r="C3" i="23"/>
  <c r="B86" i="23"/>
  <c r="B213" i="23"/>
  <c r="B95" i="23"/>
  <c r="B4" i="23"/>
  <c r="C230" i="23"/>
  <c r="B215" i="23"/>
  <c r="B77" i="23"/>
  <c r="C72" i="23"/>
  <c r="B65" i="23"/>
  <c r="C143" i="23"/>
  <c r="B227" i="23"/>
  <c r="C151" i="23"/>
  <c r="C195" i="23"/>
  <c r="C45" i="23"/>
  <c r="C171" i="23"/>
  <c r="B49" i="23"/>
  <c r="B72" i="23"/>
  <c r="C208" i="23"/>
  <c r="C62" i="23"/>
  <c r="C179" i="23"/>
  <c r="C224" i="23"/>
  <c r="C174" i="23"/>
  <c r="B7" i="23"/>
  <c r="B198" i="23"/>
  <c r="C15" i="23"/>
  <c r="C55" i="23"/>
  <c r="C83" i="23"/>
  <c r="C191" i="23"/>
  <c r="B63" i="23"/>
  <c r="B221" i="23"/>
  <c r="C28" i="23"/>
  <c r="C94" i="23"/>
  <c r="C211" i="23"/>
  <c r="C101" i="23"/>
  <c r="C242" i="23"/>
  <c r="B189" i="23"/>
  <c r="C216" i="23"/>
  <c r="B237" i="23"/>
  <c r="C60" i="23"/>
  <c r="C209" i="23"/>
  <c r="B110" i="23"/>
  <c r="B232" i="23"/>
  <c r="C100" i="23"/>
  <c r="B62" i="23"/>
  <c r="B150" i="23"/>
  <c r="C244" i="23"/>
  <c r="B140" i="23"/>
  <c r="B35" i="23"/>
  <c r="B200" i="23"/>
  <c r="C17" i="23"/>
  <c r="C73" i="23"/>
  <c r="B76" i="23"/>
  <c r="B164" i="23"/>
  <c r="C142" i="23"/>
  <c r="C234" i="23"/>
  <c r="C159" i="23"/>
  <c r="B205" i="23"/>
  <c r="B30" i="23"/>
  <c r="B229" i="23"/>
  <c r="C46" i="23"/>
  <c r="C63" i="23"/>
  <c r="C214" i="23"/>
  <c r="B37" i="23"/>
  <c r="B245" i="23"/>
  <c r="B149" i="23"/>
  <c r="B216" i="23"/>
  <c r="C197" i="23"/>
  <c r="C134" i="23"/>
  <c r="B100" i="23"/>
  <c r="C161" i="23"/>
  <c r="C65" i="23"/>
  <c r="C70" i="23"/>
  <c r="C78" i="23"/>
  <c r="B204" i="23"/>
  <c r="C228" i="23"/>
  <c r="C113" i="23"/>
  <c r="B61" i="23"/>
  <c r="C203" i="23"/>
  <c r="B156" i="23"/>
  <c r="C239" i="23"/>
  <c r="C52" i="23"/>
  <c r="B183" i="23"/>
  <c r="B126" i="23"/>
  <c r="C93" i="23"/>
  <c r="C98" i="23"/>
  <c r="C87" i="23"/>
  <c r="C131" i="23"/>
  <c r="B185" i="23"/>
  <c r="B24" i="23"/>
  <c r="B171" i="23"/>
  <c r="C104" i="23"/>
  <c r="C37" i="23"/>
  <c r="B59" i="23"/>
  <c r="C31" i="23"/>
  <c r="C137" i="23"/>
  <c r="B193" i="23"/>
  <c r="B15" i="23"/>
  <c r="B58" i="23"/>
  <c r="C84" i="23"/>
  <c r="C247" i="23"/>
  <c r="B39" i="23"/>
  <c r="B117" i="23"/>
  <c r="C155" i="23"/>
  <c r="B83" i="23"/>
  <c r="C107" i="23"/>
  <c r="B188" i="23"/>
  <c r="B11" i="23"/>
  <c r="F52" i="20"/>
  <c r="B3" i="23"/>
  <c r="C175" i="23"/>
  <c r="B157" i="23"/>
  <c r="C24" i="23"/>
  <c r="C176" i="23"/>
  <c r="B109" i="23"/>
  <c r="C33" i="23"/>
  <c r="C5" i="23"/>
  <c r="C39" i="23"/>
  <c r="B217" i="23"/>
  <c r="B85" i="23"/>
  <c r="B242" i="23"/>
  <c r="B17" i="23"/>
  <c r="C51" i="23"/>
  <c r="C112" i="23"/>
  <c r="B160" i="23"/>
  <c r="B130" i="23"/>
  <c r="C64" i="23"/>
  <c r="C154" i="23"/>
  <c r="C210" i="23"/>
  <c r="B125" i="23"/>
  <c r="C96" i="23"/>
  <c r="C229" i="23"/>
  <c r="C76" i="23"/>
  <c r="C82" i="23"/>
  <c r="B173" i="23"/>
  <c r="B8" i="23"/>
  <c r="B159" i="23"/>
  <c r="B50" i="23"/>
  <c r="C88" i="23"/>
  <c r="B18" i="23"/>
  <c r="C163" i="23"/>
  <c r="C12" i="23"/>
  <c r="B240" i="23"/>
  <c r="B128" i="23"/>
  <c r="C117" i="23"/>
  <c r="B226" i="23"/>
  <c r="B53" i="23"/>
  <c r="B19" i="23"/>
  <c r="B243" i="23"/>
  <c r="C222" i="23"/>
  <c r="B224" i="23"/>
  <c r="C13" i="23"/>
  <c r="B97" i="23"/>
  <c r="B172" i="23"/>
  <c r="C206" i="23"/>
  <c r="B147" i="23"/>
  <c r="C123" i="23"/>
  <c r="B153" i="23"/>
  <c r="B73" i="23"/>
  <c r="B29" i="23"/>
  <c r="B81" i="23"/>
  <c r="C219" i="23"/>
  <c r="B212" i="23"/>
  <c r="C217" i="23"/>
  <c r="C241" i="23"/>
  <c r="C200" i="23"/>
  <c r="B142" i="23"/>
  <c r="C116" i="23"/>
  <c r="B235" i="23"/>
  <c r="B46" i="23"/>
  <c r="C187" i="23"/>
  <c r="C158" i="23"/>
  <c r="B89" i="23"/>
  <c r="C141" i="23"/>
  <c r="C32" i="23"/>
  <c r="B219" i="23"/>
  <c r="B43" i="23"/>
  <c r="C114" i="23"/>
  <c r="C121" i="23"/>
  <c r="B67" i="23"/>
  <c r="B175" i="23"/>
  <c r="B222" i="23"/>
  <c r="B170" i="23"/>
  <c r="C67" i="23"/>
  <c r="C41" i="23"/>
  <c r="B47" i="23"/>
  <c r="C194" i="23"/>
  <c r="C160" i="23"/>
  <c r="B249" i="23"/>
  <c r="C16" i="23"/>
  <c r="B248" i="23"/>
  <c r="B119" i="23"/>
  <c r="C66" i="23"/>
  <c r="C153" i="23"/>
  <c r="C157" i="23"/>
  <c r="C196" i="23"/>
  <c r="C162" i="23"/>
  <c r="C178" i="23"/>
  <c r="B94" i="23"/>
  <c r="B75" i="23"/>
  <c r="B40" i="23"/>
  <c r="C120" i="23"/>
  <c r="B136" i="23"/>
  <c r="C48" i="23"/>
  <c r="C190" i="23"/>
  <c r="C243" i="23"/>
  <c r="C86" i="23"/>
  <c r="C177" i="23"/>
  <c r="B38" i="23"/>
  <c r="C205" i="23"/>
  <c r="B14" i="23"/>
  <c r="B108" i="23"/>
  <c r="C135" i="23"/>
  <c r="C26" i="23"/>
  <c r="C58" i="23"/>
  <c r="C199" i="23"/>
  <c r="B84" i="23"/>
  <c r="B16" i="23"/>
  <c r="C89" i="23"/>
  <c r="B129" i="23"/>
  <c r="B223" i="23"/>
  <c r="C240" i="23"/>
  <c r="C49" i="23"/>
  <c r="B9" i="23"/>
  <c r="B101" i="23"/>
  <c r="B92" i="23"/>
  <c r="C128" i="23"/>
  <c r="B115" i="23"/>
  <c r="B187" i="23"/>
  <c r="B144" i="23"/>
  <c r="C122" i="23"/>
  <c r="C148" i="23"/>
  <c r="C69" i="23"/>
  <c r="C223" i="23"/>
  <c r="C20" i="23"/>
  <c r="B181" i="23"/>
  <c r="B32" i="23"/>
  <c r="C218" i="23"/>
  <c r="C249" i="23"/>
  <c r="C198" i="23"/>
  <c r="C167" i="23"/>
  <c r="C43" i="23"/>
  <c r="B174" i="23"/>
  <c r="C119" i="23"/>
  <c r="B70" i="23"/>
  <c r="C136" i="23"/>
  <c r="B41" i="23"/>
  <c r="C185" i="23"/>
  <c r="B230" i="23"/>
  <c r="C56" i="23"/>
  <c r="C53" i="23"/>
  <c r="C186" i="23"/>
  <c r="B34" i="23"/>
  <c r="C59" i="23"/>
  <c r="C225" i="23"/>
  <c r="C23" i="23"/>
  <c r="B55" i="23"/>
  <c r="C248" i="23"/>
  <c r="B132" i="23"/>
  <c r="B54" i="23"/>
  <c r="C207" i="23"/>
  <c r="C77" i="23"/>
  <c r="B48" i="23"/>
  <c r="C109" i="23"/>
  <c r="C102" i="23"/>
  <c r="B87" i="23"/>
  <c r="C231" i="23"/>
  <c r="B179" i="23"/>
  <c r="B23" i="23"/>
  <c r="B203" i="23"/>
  <c r="B154" i="23"/>
  <c r="C2" i="23"/>
  <c r="C18" i="23"/>
  <c r="B80" i="23"/>
  <c r="B241" i="23"/>
  <c r="C61" i="23"/>
  <c r="B21" i="23"/>
  <c r="B105" i="23"/>
  <c r="C169" i="23"/>
  <c r="B111" i="23"/>
  <c r="B103" i="23"/>
  <c r="B228" i="23"/>
  <c r="C133" i="23"/>
  <c r="B218" i="23"/>
  <c r="C36" i="23"/>
  <c r="B145" i="23"/>
  <c r="B210" i="23"/>
  <c r="C149" i="23"/>
  <c r="B36" i="23"/>
  <c r="C173" i="23"/>
  <c r="C7" i="23"/>
  <c r="B186" i="23"/>
  <c r="B13" i="23"/>
  <c r="B165" i="23"/>
  <c r="B88" i="23"/>
  <c r="B96" i="23"/>
  <c r="B246" i="23"/>
  <c r="B162" i="23"/>
  <c r="B113" i="23"/>
  <c r="C38" i="23"/>
  <c r="B194" i="23"/>
  <c r="B231" i="23"/>
  <c r="C165" i="23"/>
  <c r="C245" i="23"/>
  <c r="C146" i="23"/>
  <c r="C27" i="23"/>
  <c r="B192" i="23"/>
  <c r="B122" i="23"/>
  <c r="C108" i="23"/>
  <c r="C105" i="23"/>
  <c r="C183" i="23"/>
  <c r="C10" i="23"/>
  <c r="B44" i="23"/>
  <c r="B177" i="23"/>
  <c r="C212" i="23"/>
  <c r="B196" i="23"/>
  <c r="C79" i="23"/>
  <c r="C75" i="23"/>
  <c r="C152" i="23"/>
  <c r="C4" i="23"/>
  <c r="B138" i="23"/>
  <c r="C193" i="23"/>
  <c r="C246" i="23"/>
  <c r="C42" i="23"/>
  <c r="B146" i="23"/>
  <c r="B106" i="23"/>
  <c r="B56" i="23"/>
  <c r="B225" i="23"/>
  <c r="B169" i="23"/>
  <c r="B236" i="23"/>
  <c r="C145" i="23"/>
  <c r="B190" i="23"/>
  <c r="C8" i="23"/>
  <c r="B199" i="23"/>
  <c r="B148" i="23"/>
  <c r="B66" i="23"/>
  <c r="C235" i="23"/>
  <c r="C115" i="23"/>
  <c r="B206" i="23"/>
  <c r="B64" i="23"/>
  <c r="B45" i="23"/>
  <c r="B234" i="23"/>
  <c r="C71" i="23"/>
  <c r="C181" i="23"/>
  <c r="C19" i="23"/>
  <c r="B208" i="23"/>
  <c r="B31" i="23"/>
  <c r="C184" i="23"/>
  <c r="B176" i="23"/>
  <c r="B52" i="23"/>
  <c r="C172" i="23"/>
  <c r="B98" i="23"/>
  <c r="B116" i="23"/>
  <c r="B239" i="23"/>
  <c r="C168" i="23"/>
  <c r="B238" i="23"/>
  <c r="C127" i="23"/>
  <c r="B71" i="23"/>
  <c r="B180" i="23"/>
  <c r="B247" i="23"/>
  <c r="C202" i="23"/>
  <c r="C80" i="23"/>
  <c r="C189" i="23"/>
  <c r="B168" i="23"/>
  <c r="C139" i="23"/>
  <c r="C111" i="23"/>
  <c r="C238" i="23"/>
  <c r="B107" i="23"/>
  <c r="B33" i="23"/>
  <c r="C130" i="23"/>
  <c r="B201" i="23"/>
  <c r="B112" i="23"/>
  <c r="B74" i="23"/>
  <c r="B134" i="23"/>
  <c r="B6" i="23"/>
  <c r="C85" i="23"/>
  <c r="B102" i="23"/>
  <c r="C138" i="23"/>
  <c r="C226" i="23"/>
  <c r="C25" i="23"/>
  <c r="B26" i="23"/>
  <c r="C221" i="23"/>
  <c r="B195" i="23"/>
  <c r="B90" i="23"/>
  <c r="C35" i="23"/>
  <c r="C47" i="23"/>
  <c r="B151" i="23"/>
  <c r="C97" i="23"/>
  <c r="C44" i="23"/>
  <c r="C95" i="23"/>
  <c r="C30" i="23"/>
  <c r="B27" i="23"/>
  <c r="B79" i="23"/>
  <c r="C118" i="23"/>
  <c r="B2" i="23"/>
  <c r="B82" i="23"/>
  <c r="B158" i="23"/>
  <c r="C164" i="23"/>
  <c r="C140" i="23"/>
  <c r="B28" i="23"/>
  <c r="B143" i="23"/>
  <c r="B244" i="23"/>
  <c r="B207" i="23"/>
  <c r="B220" i="23"/>
  <c r="C124" i="23"/>
  <c r="C22" i="23"/>
  <c r="C188" i="23"/>
  <c r="C81" i="23"/>
  <c r="B131" i="23"/>
  <c r="C14" i="23"/>
  <c r="B214" i="23"/>
  <c r="B135" i="23"/>
  <c r="C21" i="23"/>
  <c r="B166" i="23"/>
  <c r="C126" i="23"/>
  <c r="C233" i="23"/>
  <c r="C237" i="23"/>
  <c r="B124" i="23"/>
  <c r="B127" i="23"/>
  <c r="B184" i="23"/>
  <c r="B163" i="23"/>
  <c r="C129" i="23"/>
  <c r="C236" i="23"/>
  <c r="B178" i="23"/>
  <c r="B139" i="23"/>
  <c r="B118" i="23"/>
  <c r="C6" i="23"/>
  <c r="C220" i="23"/>
  <c r="C50" i="23"/>
  <c r="B93" i="23"/>
  <c r="C201" i="23"/>
  <c r="B60" i="23"/>
  <c r="B121" i="23"/>
  <c r="C74" i="23"/>
  <c r="B137" i="23"/>
  <c r="B233" i="23"/>
  <c r="B104" i="23"/>
  <c r="C192" i="23"/>
  <c r="C232" i="23"/>
  <c r="B182" i="23"/>
  <c r="B209" i="23"/>
  <c r="C156" i="23"/>
  <c r="C227" i="23"/>
  <c r="C29" i="23"/>
  <c r="C147" i="23"/>
  <c r="B22" i="23"/>
  <c r="B10" i="23"/>
  <c r="C40" i="23"/>
  <c r="B152" i="23"/>
  <c r="C182" i="23"/>
  <c r="B197" i="23"/>
  <c r="B155" i="23"/>
  <c r="C11" i="23"/>
  <c r="C68" i="23"/>
  <c r="C91" i="23"/>
  <c r="C150" i="23"/>
  <c r="C110" i="23"/>
  <c r="C204" i="23"/>
  <c r="B202" i="23"/>
  <c r="B141" i="23"/>
  <c r="B68" i="23"/>
  <c r="B133" i="23"/>
  <c r="B57" i="23"/>
  <c r="C215" i="23"/>
  <c r="C144" i="23"/>
  <c r="B51" i="23"/>
  <c r="C92" i="23"/>
  <c r="C132" i="23"/>
  <c r="B167" i="23"/>
  <c r="B20" i="23"/>
  <c r="C106" i="23"/>
  <c r="C180" i="23"/>
  <c r="B12" i="23"/>
  <c r="B91" i="23"/>
  <c r="B42" i="23"/>
  <c r="C166" i="23"/>
  <c r="C213" i="23"/>
  <c r="B25" i="23"/>
  <c r="B191" i="23"/>
</calcChain>
</file>

<file path=xl/comments1.xml><?xml version="1.0" encoding="utf-8"?>
<comments xmlns="http://schemas.openxmlformats.org/spreadsheetml/2006/main">
  <authors>
    <author>Arturo Mendoza Torres</author>
  </authors>
  <commentList>
    <comment ref="E62" authorId="0" shapeId="0">
      <text>
        <r>
          <rPr>
            <b/>
            <sz val="9"/>
            <color indexed="81"/>
            <rFont val="Tahoma"/>
            <family val="2"/>
          </rPr>
          <t>Arturo Mendoza Torres: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6"/>
            <color indexed="81"/>
            <rFont val="Tahoma"/>
            <family val="2"/>
          </rPr>
          <t>*</t>
        </r>
        <r>
          <rPr>
            <sz val="14"/>
            <color indexed="81"/>
            <rFont val="Tahoma"/>
            <family val="2"/>
          </rPr>
          <t>En caso de firma de la Secretaria, favor de suprimir la información contenida en esta celda.</t>
        </r>
        <r>
          <rPr>
            <b/>
            <sz val="14"/>
            <color indexed="81"/>
            <rFont val="Tahoma"/>
            <family val="2"/>
          </rPr>
          <t xml:space="preserve">
*</t>
        </r>
        <r>
          <rPr>
            <sz val="14"/>
            <color indexed="81"/>
            <rFont val="Tahoma"/>
            <family val="2"/>
          </rPr>
          <t>En caso de firma por delegatorio, actualizar número y fecha del mismo.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<sst xmlns="http://schemas.openxmlformats.org/spreadsheetml/2006/main" count="431" uniqueCount="408">
  <si>
    <t>GOBIERNO DEL ESTADO DE GUANAJUATO</t>
  </si>
  <si>
    <t>FORMATO DE PAGO A TERCEROS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</si>
  <si>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</si>
  <si>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</si>
  <si>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</si>
  <si>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</si>
  <si>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</si>
  <si>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</si>
  <si>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</si>
  <si>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</si>
  <si>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</si>
  <si>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</si>
  <si>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</si>
  <si>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</si>
  <si>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</si>
  <si>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</si>
  <si>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</si>
  <si>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</si>
  <si>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</si>
  <si>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</si>
  <si>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</si>
  <si>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</si>
  <si>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</si>
  <si>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</si>
  <si>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</si>
  <si>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</si>
  <si>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</si>
  <si>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</si>
  <si>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</si>
  <si>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</si>
  <si>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</si>
  <si>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</si>
  <si>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REGISTROS DE CONTROL</t>
  </si>
  <si>
    <t>INGRESO</t>
  </si>
  <si>
    <t>CLAVE PRESUPUESTARIA</t>
  </si>
  <si>
    <t>NOMBRE DE RESPONSABLE DE ENLACE</t>
  </si>
  <si>
    <t>Lic. Betzahira Sarai Mendoza Montoya</t>
  </si>
  <si>
    <t xml:space="preserve">Lic. Monica Rico Gamiño </t>
  </si>
  <si>
    <t>Lic. Stephanie Yunuen Jimenez Mejía</t>
  </si>
  <si>
    <t>C.P. Karina Lopez Ortega</t>
  </si>
  <si>
    <t>Lic. Zurizadai Mariana Torres Torrres</t>
  </si>
  <si>
    <t>Lic. Luz Margarita Robledo Olivares</t>
  </si>
  <si>
    <t>Lic. Jorge Alberto Caballero Cordova</t>
  </si>
  <si>
    <t>Lic. Ana Karina Palmas Espinosa</t>
  </si>
  <si>
    <t>Lic. Paulo Yañez Quintero</t>
  </si>
  <si>
    <t>C.P. Ma. Consuelo Hernández Pérez</t>
  </si>
  <si>
    <t>Lic. Doris Lorena Alba Gonzalez</t>
  </si>
  <si>
    <t>Lic. Astrid Berenice Rangel Perez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</si>
  <si>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</si>
  <si>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</si>
  <si>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</si>
  <si>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</si>
  <si>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</si>
  <si>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</si>
  <si>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</si>
  <si>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</si>
  <si>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</si>
  <si>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</si>
  <si>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</si>
  <si>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</si>
  <si>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</si>
  <si>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</si>
  <si>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</si>
  <si>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</si>
  <si>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</si>
  <si>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</si>
  <si>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</si>
  <si>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</si>
  <si>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</si>
  <si>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</si>
  <si>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</si>
  <si>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</si>
  <si>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</si>
  <si>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</si>
  <si>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</si>
  <si>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</si>
  <si>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</si>
  <si>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</si>
  <si>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</si>
  <si>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</si>
  <si>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</si>
  <si>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</si>
  <si>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</si>
  <si>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</si>
  <si>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</si>
  <si>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</si>
  <si>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</si>
  <si>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</si>
  <si>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</si>
  <si>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</si>
  <si>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</si>
  <si>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</si>
  <si>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</si>
  <si>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</si>
  <si>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</si>
  <si>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</si>
  <si>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</si>
  <si>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</si>
  <si>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</si>
  <si>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</si>
  <si>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</si>
  <si>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</si>
  <si>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</si>
  <si>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</si>
  <si>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</si>
  <si>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</si>
  <si>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</si>
  <si>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</si>
  <si>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</si>
  <si>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</si>
  <si>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</si>
  <si>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</si>
  <si>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</si>
  <si>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</si>
  <si>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</si>
  <si>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</si>
  <si>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</si>
  <si>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</si>
  <si>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</si>
  <si>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</si>
  <si>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</si>
  <si>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</si>
  <si>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</si>
  <si>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</si>
  <si>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</si>
  <si>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</si>
  <si>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</si>
  <si>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</si>
  <si>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</si>
  <si>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</si>
  <si>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</si>
  <si>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</si>
  <si>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</si>
  <si>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</si>
  <si>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</si>
  <si>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</si>
  <si>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</si>
  <si>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</si>
  <si>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</si>
  <si>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</si>
  <si>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</si>
  <si>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</si>
  <si>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</si>
  <si>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</si>
  <si>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</si>
  <si>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</si>
  <si>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</si>
  <si>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</si>
  <si>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</si>
  <si>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</si>
  <si>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</si>
  <si>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</si>
  <si>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</si>
  <si>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</si>
  <si>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</si>
  <si>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</si>
  <si>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</si>
  <si>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</si>
  <si>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</si>
  <si>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</si>
  <si>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</si>
  <si>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</si>
  <si>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</si>
  <si>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</si>
  <si>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</si>
  <si>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</si>
  <si>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</si>
  <si>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</si>
  <si>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</si>
  <si>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</si>
  <si>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</si>
  <si>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</si>
  <si>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</si>
  <si>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</si>
  <si>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</si>
  <si>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</si>
  <si>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</si>
  <si>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</si>
  <si>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</si>
  <si>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</si>
  <si>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</si>
  <si>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</si>
  <si>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</si>
  <si>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</si>
  <si>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</si>
  <si>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</si>
  <si>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</si>
  <si>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</si>
  <si>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</si>
  <si>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</si>
  <si>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</si>
  <si>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</si>
  <si>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</si>
  <si>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</si>
  <si>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</si>
  <si>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</si>
  <si>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</si>
  <si>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</si>
  <si>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</si>
  <si>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</si>
  <si>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</si>
  <si>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</si>
  <si>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</si>
  <si>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</si>
  <si>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</si>
  <si>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</si>
  <si>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</si>
  <si>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</si>
  <si>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</si>
  <si>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</si>
  <si>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</si>
  <si>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</si>
  <si>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</si>
  <si>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</si>
  <si>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</si>
  <si>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</si>
  <si>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</si>
  <si>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</si>
  <si>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</si>
  <si>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</si>
  <si>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</si>
  <si>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</si>
  <si>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</si>
  <si>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</si>
  <si>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</si>
  <si>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</si>
  <si>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</si>
  <si>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</si>
  <si>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</si>
  <si>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</si>
  <si>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</si>
  <si>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</si>
  <si>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</si>
  <si>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</si>
  <si>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</si>
  <si>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</si>
  <si>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</si>
  <si>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</si>
  <si>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</si>
  <si>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</si>
  <si>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</si>
  <si>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</si>
  <si>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</si>
  <si>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</si>
  <si>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</si>
  <si>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</si>
  <si>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</si>
  <si>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</si>
  <si>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</si>
  <si>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</si>
  <si>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</si>
  <si>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</si>
  <si>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</si>
  <si>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</si>
  <si>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</si>
  <si>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</si>
  <si>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</si>
  <si>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</si>
  <si>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</si>
  <si>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</si>
  <si>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</si>
  <si>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</si>
  <si>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</si>
  <si>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</si>
  <si>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</si>
  <si>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</si>
  <si>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</si>
  <si>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</si>
  <si>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</si>
  <si>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</si>
  <si>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</si>
  <si>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</si>
  <si>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</si>
  <si>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</si>
  <si>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</si>
  <si>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</si>
  <si>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</si>
  <si>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</si>
  <si>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</si>
  <si>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</si>
  <si>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</si>
  <si>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</si>
  <si>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</si>
  <si>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</si>
  <si>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</si>
  <si>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</si>
  <si>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</si>
  <si>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</si>
  <si>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</si>
  <si>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</si>
  <si>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</si>
  <si>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</si>
  <si>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</si>
  <si>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</si>
  <si>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</si>
  <si>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</si>
  <si>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</si>
  <si>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</si>
  <si>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</si>
  <si>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</si>
  <si>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REFERENCIA ALFANUMERICA O NUMERICA</t>
  </si>
  <si>
    <t xml:space="preserve">TITULAR DE LA DEPENDENCIA 
LIC. MARÍA TERESA MATAMOROS MONTES
SECRETARIA DE TURISMO </t>
  </si>
  <si>
    <t>POR ACUERDO SECRETARIAL 001/2019
LIC. MARCO ANTONIO TRIANA GONZÁLEZ
DIRECTOR DE ASUNTOS JURIDICOS</t>
  </si>
  <si>
    <t>Reserva:</t>
  </si>
  <si>
    <t xml:space="preserve">No. Contrato / Convenio </t>
  </si>
  <si>
    <t>DIRECTORA ADMINISTRATIVA</t>
  </si>
  <si>
    <t>LIC. MIGUEL AUGUSTO GUTIÉRREZ HERNÁNDEZ
SUBSECRETARIO DE PROMOCIÓN TURÍSTICA
(De conformidad con el artículo 4 y 35 del Reglamento Interior de la Secretaría de Turismo, firma en suplencia por ausencia del Titular de la Secretaría de Turismo, el Subsecretario de Promoción Turística, Lic. Miguel Augusto Gutiérrez Hernández.</t>
  </si>
  <si>
    <t>LIC. ROBERTO W. CÁRDENAS HERNÁNDEZ
DIRECTOR GENERAL DE PLANEACIÓN 
(De conformidad con el artículo 4 y 35 del Reglamento Interior de la Secretaría de Turismo, firma en suplencia por ausencia del Titular de la Secretaría de Turismo, el Director General de Planeación, Lic. Roberto W. Cárdenas Hernández.</t>
  </si>
  <si>
    <t>LIC. ILAYALI PIMENTEL REDONDO</t>
  </si>
  <si>
    <t>5000 BIENES MUEBLES, INMUEBLES E INTANGIBLES</t>
  </si>
  <si>
    <t>5100 MOBILIARIO Y EQUIPO DE ADMINISTRACIÓN</t>
  </si>
  <si>
    <t>5110 Muebles de oficina y estantería</t>
  </si>
  <si>
    <t>5120 Muebles, excepto de oficina y estantería</t>
  </si>
  <si>
    <t>5130 Bienes artísticos, culturales y científicos</t>
  </si>
  <si>
    <t>5140 Objetos de valor</t>
  </si>
  <si>
    <t>5150 Equipo de cómputo y de tecnologías de la información</t>
  </si>
  <si>
    <t>5190 Otros mobiliarios y equipos de administración</t>
  </si>
  <si>
    <t>5200 MOBILIARIO YEQUIPO EDUCACIONAL Y RECREATIVO</t>
  </si>
  <si>
    <t>5210 Equipos y aparatos audiovisuales</t>
  </si>
  <si>
    <t>5220 Aparatos deportivos</t>
  </si>
  <si>
    <t>5230 Cámaras fotográficas y de video</t>
  </si>
  <si>
    <t>5290 Otro mobiliario y equipo educacional y recreativo</t>
  </si>
  <si>
    <t>5300 EQUIPO E INSTRUMENTAL MÉDICO Y DE LABORATORIO</t>
  </si>
  <si>
    <t>5310 Equipo médico y de laboratorio</t>
  </si>
  <si>
    <t>5320 Instrumental médico y de laboratorio</t>
  </si>
  <si>
    <t>5400 VEHÍCULOS Y EQUIPO DE TRANSPORTE</t>
  </si>
  <si>
    <t>5410 Automóviles y camiones</t>
  </si>
  <si>
    <t>5420 Carrocerías y remolques</t>
  </si>
  <si>
    <t>5430 Equipo aeroespacial</t>
  </si>
  <si>
    <t>5440 Equipo ferroviario</t>
  </si>
  <si>
    <t>5450 Embarcaciones</t>
  </si>
  <si>
    <t>5490 Otros equipos de transporte</t>
  </si>
  <si>
    <t>5500 EQUIPO DE DEFENSA Y SEGURIDAD</t>
  </si>
  <si>
    <t>5510 Equipo de defensa y seguridad</t>
  </si>
  <si>
    <t>5600 MAQUINARIA, OTROS EQUIPOS Y HERRAMIENTAS</t>
  </si>
  <si>
    <t>5610 Maquinaria y equipo agropecuario</t>
  </si>
  <si>
    <t>5620 Maquinaria y equipo industrial</t>
  </si>
  <si>
    <t>5630 Maquinaria y equipo de construcción</t>
  </si>
  <si>
    <t>5640 Sistemas de aire acondicionado, calefacción y de refrigeración industrial y</t>
  </si>
  <si>
    <t>5650 Equipo de comunicación y telecomunicación</t>
  </si>
  <si>
    <t>5660 Equipos de generación eléctrica, aparatos y accesorios eléctricos</t>
  </si>
  <si>
    <t>5670 Herramientas y máquinas - herramienta</t>
  </si>
  <si>
    <t>5690 Otros equipos</t>
  </si>
  <si>
    <t>5700 ACTIVOS BIOLÓGICOS</t>
  </si>
  <si>
    <t>5710 Bovinos</t>
  </si>
  <si>
    <t>5720 Porcinos</t>
  </si>
  <si>
    <t>5730 Aves</t>
  </si>
  <si>
    <t>5740 Ovinos y caprinos</t>
  </si>
  <si>
    <t>5750 Peces y acuicultura</t>
  </si>
  <si>
    <t>5760 Equinos</t>
  </si>
  <si>
    <t>5770 Especies menores y de zoológico</t>
  </si>
  <si>
    <t>5780 Árboles y plantas</t>
  </si>
  <si>
    <t>5790 Otros activos biológicos</t>
  </si>
  <si>
    <t>5800 BIENES INMUEBLES</t>
  </si>
  <si>
    <t>5810 Terrenos</t>
  </si>
  <si>
    <t>5820 Viviendas</t>
  </si>
  <si>
    <t>5830 Edificios no residenciales</t>
  </si>
  <si>
    <t>5890 Otros bienes inmuebles</t>
  </si>
  <si>
    <t>5900 ACTIVOS INTANGIBLES</t>
  </si>
  <si>
    <t>5910 Software</t>
  </si>
  <si>
    <t>5920 Patentes</t>
  </si>
  <si>
    <t>5930 Marcas</t>
  </si>
  <si>
    <t>5940 Derechos</t>
  </si>
  <si>
    <t>5950 Concesiones</t>
  </si>
  <si>
    <t>5960 Franquicias</t>
  </si>
  <si>
    <t>5970 Licencias informáticas e intelectuales</t>
  </si>
  <si>
    <t>5980 Licencias industriales, comerciales y otras</t>
  </si>
  <si>
    <t>5990 Otros activos intangibles</t>
  </si>
  <si>
    <t>Y20.GG.G1074</t>
  </si>
  <si>
    <t>Y20.GG.G2061</t>
  </si>
  <si>
    <t>Y20.GG.G1286</t>
  </si>
  <si>
    <t>Y20.GG.P0292</t>
  </si>
  <si>
    <t>Y20.GG.P0293</t>
  </si>
  <si>
    <t>Y20.GG.Q0340</t>
  </si>
  <si>
    <t>Y20.GG.Q0341</t>
  </si>
  <si>
    <t>Y20.GG.Q0342</t>
  </si>
  <si>
    <t>Y20.GG.Q0343</t>
  </si>
  <si>
    <t>Y20.GG.Q0344</t>
  </si>
  <si>
    <t>Y20.GG.Q0345</t>
  </si>
  <si>
    <t>Y20.GG.Q0346</t>
  </si>
  <si>
    <t>Y20.GG.Q0348</t>
  </si>
  <si>
    <t>Y20.GG.Q0355</t>
  </si>
  <si>
    <t>Y20.GG.Q0358</t>
  </si>
  <si>
    <t>Y20.GG.Q0360</t>
  </si>
  <si>
    <t>Y20.GG.Q0363</t>
  </si>
  <si>
    <t>Y20.GG.Q0368</t>
  </si>
  <si>
    <t>Y20.GG.Q0373</t>
  </si>
  <si>
    <t>Y20.GG.Q0374</t>
  </si>
  <si>
    <t>Y20.GG.Q0375</t>
  </si>
  <si>
    <t>Y20.GG.Q0376</t>
  </si>
  <si>
    <t>Y20.GG.Q0377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</si>
  <si>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</si>
  <si>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</si>
  <si>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</si>
  <si>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</si>
  <si>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</si>
  <si>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</si>
  <si>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</si>
  <si>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</si>
  <si>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</si>
  <si>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</si>
  <si>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</si>
  <si>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</si>
  <si>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Y20.GG.Q3214</t>
  </si>
  <si>
    <t>Previa designación hecha mediante oficio delegatorio No. SECTUR/xxx/19 de fecha xx de xxx de 2020.</t>
  </si>
  <si>
    <t>FORMATO PT - 1 20</t>
  </si>
  <si>
    <t>PT SECTUR/SSPT/DPD/       /2020</t>
  </si>
  <si>
    <t>LIC. MARCO ANTONIO TRIANA GONZÁLEZ
DIRECTOR DE ASUNTOS JURÍDICOS
POR ACUERDO SECRETARIAL 001/2020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</si>
</sst>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color indexed="81"/>
      <name val="Tahoma"/>
      <family val="2"/>
    </font>
    <font>
      <b/>
      <sz val="12"/>
      <name val="Arial"/>
      <family val="2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6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center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3" fillId="0" borderId="24" xfId="0" applyFont="1" applyFill="1" applyBorder="1" applyAlignment="1" applyProtection="1">
      <alignment horizontal="center" wrapText="1"/>
      <protection locked="0"/>
    </xf>
    <xf numFmtId="0" fontId="2" fillId="0" borderId="25" xfId="0" applyFont="1" applyFill="1" applyBorder="1" applyAlignment="1" applyProtection="1"/>
    <xf numFmtId="0" fontId="2" fillId="0" borderId="25" xfId="0" applyFont="1" applyFill="1" applyBorder="1" applyAlignment="1" applyProtection="1">
      <alignment horizontal="left"/>
    </xf>
    <xf numFmtId="0" fontId="3" fillId="0" borderId="16" xfId="0" applyFont="1" applyFill="1" applyBorder="1" applyAlignment="1" applyProtection="1">
      <alignment horizontal="center" wrapText="1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5" fillId="0" borderId="28" xfId="0" applyFont="1" applyFill="1" applyBorder="1" applyProtection="1"/>
    <xf numFmtId="0" fontId="5" fillId="0" borderId="6" xfId="0" applyFont="1" applyFill="1" applyBorder="1" applyProtection="1"/>
    <xf numFmtId="0" fontId="3" fillId="0" borderId="39" xfId="0" applyFont="1" applyFill="1" applyBorder="1" applyProtection="1"/>
    <xf numFmtId="0" fontId="3" fillId="0" borderId="35" xfId="0" applyFont="1" applyFill="1" applyBorder="1" applyProtection="1"/>
    <xf numFmtId="0" fontId="3" fillId="0" borderId="34" xfId="0" applyFont="1" applyFill="1" applyBorder="1" applyProtection="1"/>
    <xf numFmtId="0" fontId="3" fillId="0" borderId="36" xfId="0" applyFont="1" applyFill="1" applyBorder="1" applyProtection="1"/>
    <xf numFmtId="0" fontId="8" fillId="0" borderId="6" xfId="0" applyFont="1" applyFill="1" applyBorder="1" applyAlignment="1" applyProtection="1">
      <alignment horizontal="center"/>
    </xf>
    <xf numFmtId="0" fontId="9" fillId="0" borderId="0" xfId="0" applyFont="1" applyFill="1" applyBorder="1" applyProtection="1"/>
    <xf numFmtId="0" fontId="3" fillId="0" borderId="25" xfId="0" applyFont="1" applyFill="1" applyBorder="1" applyAlignment="1" applyProtection="1">
      <protection locked="0"/>
    </xf>
    <xf numFmtId="0" fontId="3" fillId="0" borderId="0" xfId="0" applyFont="1" applyFill="1" applyBorder="1" applyAlignment="1" applyProtection="1">
      <protection locked="0"/>
    </xf>
    <xf numFmtId="0" fontId="3" fillId="0" borderId="27" xfId="0" applyFont="1" applyFill="1" applyBorder="1" applyAlignment="1" applyProtection="1">
      <protection locked="0"/>
    </xf>
    <xf numFmtId="0" fontId="3" fillId="0" borderId="30" xfId="0" applyFont="1" applyFill="1" applyBorder="1" applyAlignment="1" applyProtection="1">
      <protection locked="0"/>
    </xf>
    <xf numFmtId="0" fontId="3" fillId="0" borderId="6" xfId="0" applyFont="1" applyFill="1" applyBorder="1" applyAlignment="1" applyProtection="1">
      <protection locked="0"/>
    </xf>
    <xf numFmtId="0" fontId="3" fillId="0" borderId="29" xfId="0" applyFont="1" applyFill="1" applyBorder="1" applyAlignment="1" applyProtection="1">
      <protection locked="0"/>
    </xf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44" xfId="0" applyFont="1" applyFill="1" applyBorder="1" applyAlignment="1" applyProtection="1">
      <alignment vertical="center"/>
      <protection locked="0"/>
    </xf>
    <xf numFmtId="0" fontId="2" fillId="0" borderId="43" xfId="0" applyFont="1" applyFill="1" applyBorder="1" applyAlignment="1" applyProtection="1">
      <alignment vertical="center" wrapText="1"/>
      <protection locked="0"/>
    </xf>
    <xf numFmtId="0" fontId="5" fillId="0" borderId="46" xfId="0" applyFont="1" applyFill="1" applyBorder="1" applyProtection="1"/>
    <xf numFmtId="0" fontId="5" fillId="0" borderId="47" xfId="0" applyFont="1" applyFill="1" applyBorder="1" applyProtection="1"/>
    <xf numFmtId="0" fontId="5" fillId="0" borderId="45" xfId="0" applyFont="1" applyFill="1" applyBorder="1" applyProtection="1"/>
    <xf numFmtId="0" fontId="2" fillId="0" borderId="34" xfId="0" applyFont="1" applyFill="1" applyBorder="1" applyAlignment="1" applyProtection="1"/>
    <xf numFmtId="0" fontId="5" fillId="0" borderId="34" xfId="0" applyFont="1" applyFill="1" applyBorder="1" applyProtection="1"/>
    <xf numFmtId="0" fontId="3" fillId="0" borderId="45" xfId="0" applyFont="1" applyFill="1" applyBorder="1" applyProtection="1"/>
    <xf numFmtId="165" fontId="3" fillId="0" borderId="34" xfId="0" applyNumberFormat="1" applyFont="1" applyFill="1" applyBorder="1" applyAlignment="1" applyProtection="1">
      <alignment horizontal="center" vertical="center"/>
    </xf>
    <xf numFmtId="0" fontId="3" fillId="0" borderId="65" xfId="0" applyFont="1" applyFill="1" applyBorder="1" applyProtection="1"/>
    <xf numFmtId="0" fontId="5" fillId="0" borderId="49" xfId="0" applyFont="1" applyFill="1" applyBorder="1" applyProtection="1"/>
    <xf numFmtId="0" fontId="5" fillId="0" borderId="67" xfId="0" applyFont="1" applyFill="1" applyBorder="1" applyProtection="1"/>
    <xf numFmtId="0" fontId="5" fillId="0" borderId="35" xfId="0" applyFont="1" applyFill="1" applyBorder="1" applyProtection="1"/>
    <xf numFmtId="0" fontId="5" fillId="0" borderId="36" xfId="0" applyFont="1" applyFill="1" applyBorder="1" applyProtection="1"/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3" fillId="0" borderId="23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17" fillId="0" borderId="0" xfId="0" applyFont="1"/>
    <xf numFmtId="0" fontId="3" fillId="0" borderId="62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50" xfId="0" applyFont="1" applyFill="1" applyBorder="1" applyAlignment="1" applyProtection="1">
      <alignment horizontal="center" vertical="center"/>
    </xf>
    <xf numFmtId="0" fontId="2" fillId="0" borderId="61" xfId="0" applyFont="1" applyFill="1" applyBorder="1" applyAlignment="1" applyProtection="1">
      <alignment horizontal="left"/>
      <protection locked="0"/>
    </xf>
    <xf numFmtId="0" fontId="2" fillId="0" borderId="16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44" fontId="3" fillId="0" borderId="25" xfId="1" applyFont="1" applyBorder="1" applyAlignment="1" applyProtection="1">
      <alignment horizontal="left"/>
      <protection locked="0"/>
    </xf>
    <xf numFmtId="44" fontId="3" fillId="0" borderId="27" xfId="1" applyFont="1" applyBorder="1" applyAlignment="1" applyProtection="1">
      <alignment horizontal="left"/>
      <protection locked="0"/>
    </xf>
    <xf numFmtId="0" fontId="2" fillId="0" borderId="60" xfId="0" applyFont="1" applyFill="1" applyBorder="1" applyAlignment="1" applyProtection="1">
      <alignment horizontal="left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3" fillId="0" borderId="62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3" fillId="0" borderId="63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</xf>
    <xf numFmtId="0" fontId="3" fillId="0" borderId="42" xfId="0" applyFont="1" applyFill="1" applyBorder="1" applyAlignment="1" applyProtection="1">
      <alignment horizontal="center"/>
    </xf>
    <xf numFmtId="0" fontId="3" fillId="0" borderId="45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65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  <protection locked="0"/>
    </xf>
    <xf numFmtId="0" fontId="3" fillId="0" borderId="41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40" xfId="0" applyFont="1" applyFill="1" applyBorder="1" applyAlignment="1" applyProtection="1">
      <alignment horizontal="center"/>
    </xf>
    <xf numFmtId="0" fontId="3" fillId="0" borderId="64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32" xfId="0" applyFont="1" applyFill="1" applyBorder="1" applyAlignment="1" applyProtection="1">
      <alignment horizontal="center" vertical="center"/>
    </xf>
    <xf numFmtId="0" fontId="16" fillId="0" borderId="66" xfId="0" applyFont="1" applyFill="1" applyBorder="1" applyAlignment="1" applyProtection="1">
      <alignment horizontal="center" vertical="center" wrapText="1"/>
    </xf>
    <xf numFmtId="0" fontId="16" fillId="0" borderId="2" xfId="0" applyFont="1" applyFill="1" applyBorder="1" applyAlignment="1" applyProtection="1">
      <alignment horizontal="center" vertical="center" wrapText="1"/>
    </xf>
    <xf numFmtId="0" fontId="16" fillId="0" borderId="3" xfId="0" applyFont="1" applyFill="1" applyBorder="1" applyAlignment="1" applyProtection="1">
      <alignment horizontal="center" vertical="center" wrapText="1"/>
    </xf>
    <xf numFmtId="0" fontId="16" fillId="0" borderId="65" xfId="0" applyFont="1" applyFill="1" applyBorder="1" applyAlignment="1" applyProtection="1">
      <alignment horizontal="center" vertical="center" wrapText="1"/>
    </xf>
    <xf numFmtId="0" fontId="16" fillId="0" borderId="6" xfId="0" applyFont="1" applyFill="1" applyBorder="1" applyAlignment="1" applyProtection="1">
      <alignment horizontal="center" vertical="center" wrapText="1"/>
    </xf>
    <xf numFmtId="0" fontId="16" fillId="0" borderId="7" xfId="0" applyFont="1" applyFill="1" applyBorder="1" applyAlignment="1" applyProtection="1">
      <alignment horizontal="center" vertical="center" wrapText="1"/>
    </xf>
    <xf numFmtId="0" fontId="10" fillId="0" borderId="9" xfId="0" applyFont="1" applyFill="1" applyBorder="1" applyAlignment="1" applyProtection="1">
      <alignment horizontal="center" vertical="center" wrapText="1"/>
      <protection locked="0"/>
    </xf>
    <xf numFmtId="0" fontId="10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8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62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66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6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1" xfId="0" applyFont="1" applyFill="1" applyBorder="1" applyAlignment="1" applyProtection="1">
      <alignment horizontal="center" vertical="center" wrapText="1"/>
    </xf>
    <xf numFmtId="0" fontId="3" fillId="0" borderId="28" xfId="0" applyFont="1" applyFill="1" applyBorder="1" applyAlignment="1" applyProtection="1">
      <alignment horizontal="center" vertical="center" wrapText="1"/>
    </xf>
    <xf numFmtId="0" fontId="3" fillId="0" borderId="49" xfId="0" applyFont="1" applyFill="1" applyBorder="1" applyAlignment="1" applyProtection="1">
      <alignment horizontal="center" vertical="center" wrapText="1"/>
    </xf>
    <xf numFmtId="0" fontId="3" fillId="0" borderId="66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34" xfId="0" applyFont="1" applyFill="1" applyBorder="1" applyAlignment="1" applyProtection="1">
      <alignment horizontal="left"/>
      <protection locked="0"/>
    </xf>
    <xf numFmtId="0" fontId="2" fillId="0" borderId="2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44" fontId="3" fillId="0" borderId="30" xfId="1" applyFont="1" applyBorder="1" applyAlignment="1" applyProtection="1">
      <alignment horizontal="left"/>
      <protection locked="0"/>
    </xf>
    <xf numFmtId="44" fontId="3" fillId="0" borderId="29" xfId="1" applyFont="1" applyBorder="1" applyAlignment="1" applyProtection="1">
      <alignment horizontal="left"/>
      <protection locked="0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left" vertical="center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34" xfId="0" applyFont="1" applyFill="1" applyBorder="1" applyAlignment="1" applyProtection="1">
      <alignment horizontal="left" vertical="center"/>
      <protection locked="0"/>
    </xf>
    <xf numFmtId="0" fontId="3" fillId="0" borderId="45" xfId="0" applyFont="1" applyFill="1" applyBorder="1" applyAlignment="1" applyProtection="1">
      <alignment horizontal="left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2" fillId="0" borderId="45" xfId="0" applyFont="1" applyFill="1" applyBorder="1" applyAlignment="1" applyProtection="1">
      <alignment horizontal="left"/>
      <protection locked="0"/>
    </xf>
    <xf numFmtId="0" fontId="2" fillId="0" borderId="27" xfId="0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Border="1" applyAlignment="1" applyProtection="1">
      <alignment horizontal="left"/>
      <protection locked="0"/>
    </xf>
    <xf numFmtId="49" fontId="2" fillId="0" borderId="34" xfId="0" applyNumberFormat="1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34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34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34" xfId="0" applyFont="1" applyFill="1" applyBorder="1" applyAlignment="1" applyProtection="1">
      <alignment horizontal="center"/>
      <protection locked="0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9" xfId="0" applyFont="1" applyFill="1" applyBorder="1" applyAlignment="1" applyProtection="1">
      <alignment horizontal="center" vertical="center"/>
    </xf>
    <xf numFmtId="0" fontId="2" fillId="0" borderId="60" xfId="0" applyFont="1" applyFill="1" applyBorder="1" applyAlignment="1" applyProtection="1">
      <alignment horizontal="left"/>
    </xf>
    <xf numFmtId="0" fontId="2" fillId="0" borderId="24" xfId="0" applyFont="1" applyFill="1" applyBorder="1" applyAlignment="1" applyProtection="1">
      <alignment horizontal="left"/>
    </xf>
    <xf numFmtId="0" fontId="2" fillId="0" borderId="45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2" xfId="0" applyNumberFormat="1" applyFont="1" applyFill="1" applyBorder="1" applyAlignment="1" applyProtection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6" fillId="0" borderId="47" xfId="0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49" xfId="0" applyNumberFormat="1" applyFont="1" applyFill="1" applyBorder="1" applyAlignment="1" applyProtection="1">
      <alignment horizont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6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center"/>
      <protection locked="0"/>
    </xf>
    <xf numFmtId="0" fontId="2" fillId="0" borderId="43" xfId="0" applyFont="1" applyFill="1" applyBorder="1" applyAlignment="1" applyProtection="1">
      <alignment horizontal="center" vertical="center" wrapText="1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44" xfId="0" applyFont="1" applyFill="1" applyBorder="1" applyAlignment="1" applyProtection="1">
      <alignment horizontal="center" vertical="center"/>
      <protection locked="0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571499</xdr:colOff>
      <xdr:row>6</xdr:row>
      <xdr:rowOff>71437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58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J75"/>
  <sheetViews>
    <sheetView showZeros="0" tabSelected="1" topLeftCell="A37" zoomScale="80" zoomScaleNormal="80" workbookViewId="0">
      <selection activeCell="H21" sqref="H21"/>
    </sheetView>
  </sheetViews>
  <sheetFormatPr baseColWidth="10" defaultColWidth="11.42578125" defaultRowHeight="18.75" x14ac:dyDescent="0.3"/>
  <cols>
    <col min="1" max="1" width="20.7109375" style="8" customWidth="1"/>
    <col min="2" max="2" width="11.42578125" style="8"/>
    <col min="3" max="3" width="20.7109375" style="8" customWidth="1"/>
    <col min="4" max="4" width="11.42578125" style="8"/>
    <col min="5" max="5" width="23.28515625" style="8" bestFit="1" customWidth="1"/>
    <col min="6" max="6" width="33.28515625" style="8" customWidth="1"/>
    <col min="7" max="7" width="20.5703125" style="8" customWidth="1"/>
    <col min="8" max="8" width="13.5703125" style="8" customWidth="1"/>
    <col min="9" max="9" width="40.28515625" style="8" customWidth="1"/>
    <col min="10" max="16384" width="11.42578125" style="8"/>
  </cols>
  <sheetData>
    <row r="1" spans="1:9" x14ac:dyDescent="0.3">
      <c r="A1" s="48"/>
      <c r="B1" s="49"/>
      <c r="C1" s="49"/>
      <c r="D1" s="49"/>
      <c r="E1" s="49"/>
      <c r="F1" s="49"/>
      <c r="G1" s="49"/>
      <c r="H1" s="173" t="s">
        <v>405</v>
      </c>
      <c r="I1" s="174"/>
    </row>
    <row r="2" spans="1:9" ht="26.25" customHeight="1" x14ac:dyDescent="0.3">
      <c r="A2" s="50"/>
      <c r="B2" s="9"/>
      <c r="C2" s="133" t="s">
        <v>0</v>
      </c>
      <c r="D2" s="133"/>
      <c r="E2" s="133"/>
      <c r="F2" s="133"/>
      <c r="G2" s="133"/>
      <c r="H2" s="133"/>
      <c r="I2" s="134"/>
    </row>
    <row r="3" spans="1:9" ht="26.25" customHeight="1" x14ac:dyDescent="0.3">
      <c r="A3" s="50"/>
      <c r="B3" s="9"/>
      <c r="C3" s="133" t="s">
        <v>1</v>
      </c>
      <c r="D3" s="133"/>
      <c r="E3" s="133"/>
      <c r="F3" s="133"/>
      <c r="G3" s="133"/>
      <c r="H3" s="133"/>
      <c r="I3" s="134"/>
    </row>
    <row r="4" spans="1:9" ht="15.75" customHeight="1" x14ac:dyDescent="0.3">
      <c r="A4" s="175"/>
      <c r="B4" s="176"/>
      <c r="C4" s="176"/>
      <c r="D4" s="176"/>
      <c r="E4" s="176"/>
      <c r="F4" s="10"/>
      <c r="G4" s="10"/>
      <c r="H4" s="10"/>
      <c r="I4" s="51"/>
    </row>
    <row r="5" spans="1:9" x14ac:dyDescent="0.3">
      <c r="A5" s="50"/>
      <c r="B5" s="9"/>
      <c r="C5" s="9"/>
      <c r="D5" s="9"/>
      <c r="E5" s="9"/>
      <c r="F5" s="9"/>
      <c r="G5" s="9"/>
      <c r="H5" s="9"/>
      <c r="I5" s="52"/>
    </row>
    <row r="6" spans="1:9" x14ac:dyDescent="0.3">
      <c r="A6" s="164"/>
      <c r="B6" s="133"/>
      <c r="C6" s="133"/>
      <c r="D6" s="133"/>
      <c r="E6" s="133"/>
      <c r="F6" s="133"/>
      <c r="G6" s="133"/>
      <c r="H6" s="133"/>
      <c r="I6" s="134"/>
    </row>
    <row r="7" spans="1:9" x14ac:dyDescent="0.3">
      <c r="A7" s="50"/>
      <c r="B7" s="9"/>
      <c r="C7" s="9"/>
      <c r="D7" s="11"/>
      <c r="E7" s="11"/>
      <c r="F7" s="11"/>
      <c r="G7" s="11"/>
      <c r="H7" s="9"/>
      <c r="I7" s="52"/>
    </row>
    <row r="8" spans="1:9" ht="12.75" customHeight="1" x14ac:dyDescent="0.3">
      <c r="A8" s="50"/>
      <c r="B8" s="9"/>
      <c r="C8" s="9"/>
      <c r="D8" s="9"/>
      <c r="E8" s="9"/>
      <c r="F8" s="9"/>
      <c r="G8" s="9"/>
      <c r="H8" s="9"/>
      <c r="I8" s="52"/>
    </row>
    <row r="9" spans="1:9" ht="17.25" customHeight="1" x14ac:dyDescent="0.3">
      <c r="A9" s="50"/>
      <c r="B9" s="197" t="s">
        <v>2</v>
      </c>
      <c r="C9" s="197"/>
      <c r="D9" s="37">
        <f>COUNTA(A27:B31)</f>
        <v>0</v>
      </c>
      <c r="E9" s="177" t="s">
        <v>3</v>
      </c>
      <c r="F9" s="177"/>
      <c r="G9" s="177"/>
      <c r="H9" s="178">
        <f>D52</f>
        <v>0</v>
      </c>
      <c r="I9" s="179"/>
    </row>
    <row r="10" spans="1:9" ht="17.25" customHeight="1" x14ac:dyDescent="0.35">
      <c r="A10" s="50"/>
      <c r="B10" s="38"/>
      <c r="C10" s="177" t="s">
        <v>4</v>
      </c>
      <c r="D10" s="177"/>
      <c r="E10" s="177"/>
      <c r="F10" s="177"/>
      <c r="G10" s="177"/>
      <c r="H10" s="9"/>
      <c r="I10" s="52"/>
    </row>
    <row r="11" spans="1:9" x14ac:dyDescent="0.3">
      <c r="A11" s="50"/>
      <c r="B11" s="9"/>
      <c r="C11" s="9"/>
      <c r="D11" s="9"/>
      <c r="E11" s="9"/>
      <c r="F11" s="9"/>
      <c r="G11" s="9"/>
      <c r="H11" s="9"/>
      <c r="I11" s="52"/>
    </row>
    <row r="12" spans="1:9" x14ac:dyDescent="0.3">
      <c r="A12" s="164"/>
      <c r="B12" s="133"/>
      <c r="C12" s="133"/>
      <c r="D12" s="9"/>
      <c r="E12" s="110" t="s">
        <v>5</v>
      </c>
      <c r="F12" s="79"/>
      <c r="G12" s="79"/>
      <c r="H12" s="79"/>
      <c r="I12" s="111"/>
    </row>
    <row r="13" spans="1:9" ht="7.9" customHeight="1" x14ac:dyDescent="0.3">
      <c r="A13" s="50"/>
      <c r="B13" s="9"/>
      <c r="C13" s="9"/>
      <c r="D13" s="9"/>
      <c r="E13" s="165" t="s">
        <v>6</v>
      </c>
      <c r="F13" s="166"/>
      <c r="G13" s="166"/>
      <c r="H13" s="166"/>
      <c r="I13" s="167"/>
    </row>
    <row r="14" spans="1:9" ht="19.5" thickBot="1" x14ac:dyDescent="0.35">
      <c r="A14" s="53"/>
      <c r="B14" s="9"/>
      <c r="C14" s="9"/>
      <c r="D14" s="9"/>
      <c r="E14" s="168"/>
      <c r="F14" s="169"/>
      <c r="G14" s="169"/>
      <c r="H14" s="169"/>
      <c r="I14" s="170"/>
    </row>
    <row r="15" spans="1:9" ht="19.5" thickTop="1" x14ac:dyDescent="0.3">
      <c r="A15" s="164"/>
      <c r="B15" s="133"/>
      <c r="C15" s="133"/>
      <c r="D15" s="133"/>
      <c r="E15" s="14" t="s">
        <v>7</v>
      </c>
      <c r="F15" s="15" t="s">
        <v>8</v>
      </c>
      <c r="G15" s="171" t="s">
        <v>9</v>
      </c>
      <c r="H15" s="171" t="s">
        <v>10</v>
      </c>
      <c r="I15" s="198"/>
    </row>
    <row r="16" spans="1:9" ht="36" x14ac:dyDescent="0.3">
      <c r="A16" s="50"/>
      <c r="B16" s="9"/>
      <c r="C16" s="9"/>
      <c r="D16" s="9"/>
      <c r="E16" s="16" t="s">
        <v>11</v>
      </c>
      <c r="F16" s="17" t="s">
        <v>12</v>
      </c>
      <c r="G16" s="172"/>
      <c r="H16" s="172"/>
      <c r="I16" s="199"/>
    </row>
    <row r="17" spans="1:9" s="18" customFormat="1" ht="12.75" customHeight="1" x14ac:dyDescent="0.25">
      <c r="A17" s="53"/>
      <c r="B17" s="12"/>
      <c r="C17" s="12"/>
      <c r="D17" s="12"/>
      <c r="E17" s="180" t="s">
        <v>13</v>
      </c>
      <c r="F17" s="193"/>
      <c r="G17" s="183"/>
      <c r="H17" s="186" t="s">
        <v>406</v>
      </c>
      <c r="I17" s="187"/>
    </row>
    <row r="18" spans="1:9" s="18" customFormat="1" ht="12.75" customHeight="1" x14ac:dyDescent="0.25">
      <c r="A18" s="53"/>
      <c r="B18" s="12"/>
      <c r="C18" s="12"/>
      <c r="D18" s="12"/>
      <c r="E18" s="181"/>
      <c r="F18" s="194"/>
      <c r="G18" s="184"/>
      <c r="H18" s="188"/>
      <c r="I18" s="189"/>
    </row>
    <row r="19" spans="1:9" s="18" customFormat="1" ht="12.75" customHeight="1" x14ac:dyDescent="0.25">
      <c r="A19" s="53"/>
      <c r="B19" s="12"/>
      <c r="C19" s="12"/>
      <c r="D19" s="12"/>
      <c r="E19" s="181"/>
      <c r="F19" s="195"/>
      <c r="G19" s="184"/>
      <c r="H19" s="188"/>
      <c r="I19" s="189"/>
    </row>
    <row r="20" spans="1:9" s="18" customFormat="1" ht="12.75" customHeight="1" thickBot="1" x14ac:dyDescent="0.3">
      <c r="A20" s="53"/>
      <c r="B20" s="192"/>
      <c r="C20" s="192"/>
      <c r="D20" s="192"/>
      <c r="E20" s="182"/>
      <c r="F20" s="196"/>
      <c r="G20" s="185"/>
      <c r="H20" s="190"/>
      <c r="I20" s="191"/>
    </row>
    <row r="21" spans="1:9" s="18" customFormat="1" thickTop="1" x14ac:dyDescent="0.25">
      <c r="A21" s="53"/>
      <c r="B21" s="19"/>
      <c r="C21" s="65"/>
      <c r="D21" s="20"/>
      <c r="E21" s="21"/>
      <c r="F21" s="21"/>
      <c r="G21" s="22"/>
      <c r="H21" s="1"/>
      <c r="I21" s="54"/>
    </row>
    <row r="22" spans="1:9" s="18" customFormat="1" ht="16.5" customHeight="1" x14ac:dyDescent="0.25">
      <c r="A22" s="156" t="s">
        <v>14</v>
      </c>
      <c r="B22" s="157"/>
      <c r="C22" s="157"/>
      <c r="D22" s="157"/>
      <c r="E22" s="157"/>
      <c r="F22" s="157"/>
      <c r="G22" s="157"/>
      <c r="H22" s="157"/>
      <c r="I22" s="158"/>
    </row>
    <row r="23" spans="1:9" s="18" customFormat="1" ht="17.25" customHeight="1" x14ac:dyDescent="0.25">
      <c r="A23" s="156" t="s">
        <v>15</v>
      </c>
      <c r="B23" s="157"/>
      <c r="C23" s="157"/>
      <c r="D23" s="157"/>
      <c r="E23" s="157"/>
      <c r="F23" s="157"/>
      <c r="G23" s="157"/>
      <c r="H23" s="157"/>
      <c r="I23" s="158"/>
    </row>
    <row r="24" spans="1:9" s="18" customFormat="1" ht="7.5" customHeight="1" x14ac:dyDescent="0.25">
      <c r="A24" s="53"/>
      <c r="B24" s="12"/>
      <c r="C24" s="12"/>
      <c r="D24" s="12"/>
      <c r="E24" s="12"/>
      <c r="F24" s="12"/>
      <c r="G24" s="12"/>
      <c r="H24" s="12"/>
      <c r="I24" s="35"/>
    </row>
    <row r="25" spans="1:9" s="18" customFormat="1" ht="15" customHeight="1" x14ac:dyDescent="0.25">
      <c r="A25" s="159" t="s">
        <v>16</v>
      </c>
      <c r="B25" s="160"/>
      <c r="C25" s="62" t="s">
        <v>17</v>
      </c>
      <c r="D25" s="160" t="s">
        <v>18</v>
      </c>
      <c r="E25" s="160"/>
      <c r="F25" s="160" t="s">
        <v>19</v>
      </c>
      <c r="G25" s="160"/>
      <c r="H25" s="160"/>
      <c r="I25" s="161"/>
    </row>
    <row r="26" spans="1:9" s="18" customFormat="1" ht="7.5" customHeight="1" x14ac:dyDescent="0.25">
      <c r="A26" s="162"/>
      <c r="B26" s="163"/>
      <c r="C26" s="23"/>
      <c r="D26" s="24"/>
      <c r="E26" s="25"/>
      <c r="F26" s="20"/>
      <c r="G26" s="12"/>
      <c r="H26" s="12"/>
      <c r="I26" s="64"/>
    </row>
    <row r="27" spans="1:9" s="18" customFormat="1" ht="24" customHeight="1" x14ac:dyDescent="0.25">
      <c r="A27" s="76"/>
      <c r="B27" s="77"/>
      <c r="C27" s="26"/>
      <c r="D27" s="74"/>
      <c r="E27" s="75"/>
      <c r="F27" s="139" t="s">
        <v>20</v>
      </c>
      <c r="G27" s="150"/>
      <c r="H27" s="150"/>
      <c r="I27" s="151"/>
    </row>
    <row r="28" spans="1:9" s="18" customFormat="1" ht="16.5" customHeight="1" x14ac:dyDescent="0.25">
      <c r="A28" s="76"/>
      <c r="B28" s="77"/>
      <c r="C28" s="26"/>
      <c r="D28" s="74"/>
      <c r="E28" s="75"/>
      <c r="F28" s="139"/>
      <c r="G28" s="150"/>
      <c r="H28" s="150"/>
      <c r="I28" s="151"/>
    </row>
    <row r="29" spans="1:9" s="18" customFormat="1" ht="16.5" customHeight="1" x14ac:dyDescent="0.25">
      <c r="A29" s="76"/>
      <c r="B29" s="77"/>
      <c r="C29" s="26"/>
      <c r="D29" s="74"/>
      <c r="E29" s="75"/>
      <c r="F29" s="27" t="s">
        <v>21</v>
      </c>
      <c r="G29" s="152"/>
      <c r="H29" s="152"/>
      <c r="I29" s="153"/>
    </row>
    <row r="30" spans="1:9" s="18" customFormat="1" ht="16.5" customHeight="1" x14ac:dyDescent="0.25">
      <c r="A30" s="76"/>
      <c r="B30" s="77"/>
      <c r="C30" s="26"/>
      <c r="D30" s="74"/>
      <c r="E30" s="75"/>
      <c r="F30" s="27" t="s">
        <v>22</v>
      </c>
      <c r="G30" s="154"/>
      <c r="H30" s="154"/>
      <c r="I30" s="155"/>
    </row>
    <row r="31" spans="1:9" s="18" customFormat="1" ht="16.5" customHeight="1" x14ac:dyDescent="0.25">
      <c r="A31" s="144"/>
      <c r="B31" s="145"/>
      <c r="C31" s="26"/>
      <c r="D31" s="74"/>
      <c r="E31" s="75"/>
      <c r="F31" s="27"/>
      <c r="G31" s="60"/>
      <c r="H31" s="60"/>
      <c r="I31" s="61"/>
    </row>
    <row r="32" spans="1:9" s="18" customFormat="1" ht="16.5" customHeight="1" x14ac:dyDescent="0.25">
      <c r="A32" s="142" t="s">
        <v>304</v>
      </c>
      <c r="B32" s="143"/>
      <c r="C32" s="26"/>
      <c r="D32" s="74"/>
      <c r="E32" s="75"/>
      <c r="F32" s="27"/>
      <c r="G32" s="60"/>
      <c r="H32" s="60"/>
      <c r="I32" s="61"/>
    </row>
    <row r="33" spans="1:9" s="18" customFormat="1" ht="16.5" customHeight="1" x14ac:dyDescent="0.25">
      <c r="A33" s="144"/>
      <c r="B33" s="145"/>
      <c r="C33" s="26"/>
      <c r="D33" s="74"/>
      <c r="E33" s="75"/>
      <c r="F33" s="27"/>
      <c r="G33" s="60"/>
      <c r="H33" s="60"/>
      <c r="I33" s="61"/>
    </row>
    <row r="34" spans="1:9" s="18" customFormat="1" ht="16.5" customHeight="1" x14ac:dyDescent="0.25">
      <c r="A34" s="144"/>
      <c r="B34" s="145"/>
      <c r="C34" s="26"/>
      <c r="D34" s="74"/>
      <c r="E34" s="75"/>
      <c r="F34" s="27"/>
      <c r="G34" s="60"/>
      <c r="H34" s="60"/>
      <c r="I34" s="61"/>
    </row>
    <row r="35" spans="1:9" s="18" customFormat="1" ht="16.5" customHeight="1" x14ac:dyDescent="0.25">
      <c r="A35" s="76"/>
      <c r="B35" s="77"/>
      <c r="C35" s="26"/>
      <c r="D35" s="74"/>
      <c r="E35" s="75"/>
      <c r="F35" s="28"/>
      <c r="G35" s="63"/>
      <c r="H35" s="63"/>
      <c r="I35" s="64"/>
    </row>
    <row r="36" spans="1:9" s="18" customFormat="1" ht="16.5" customHeight="1" x14ac:dyDescent="0.25">
      <c r="A36" s="76"/>
      <c r="B36" s="77"/>
      <c r="C36" s="26"/>
      <c r="D36" s="74"/>
      <c r="E36" s="75"/>
      <c r="F36" s="28"/>
      <c r="G36" s="63"/>
      <c r="H36" s="63"/>
      <c r="I36" s="64"/>
    </row>
    <row r="37" spans="1:9" s="18" customFormat="1" ht="16.5" customHeight="1" x14ac:dyDescent="0.25">
      <c r="A37" s="76"/>
      <c r="B37" s="77"/>
      <c r="C37" s="26"/>
      <c r="D37" s="74"/>
      <c r="E37" s="75"/>
      <c r="F37" s="28"/>
      <c r="G37" s="63"/>
      <c r="H37" s="63"/>
      <c r="I37" s="64"/>
    </row>
    <row r="38" spans="1:9" s="18" customFormat="1" ht="16.5" customHeight="1" x14ac:dyDescent="0.25">
      <c r="A38" s="76"/>
      <c r="B38" s="77"/>
      <c r="C38" s="26"/>
      <c r="D38" s="74"/>
      <c r="E38" s="75"/>
      <c r="F38" s="28"/>
      <c r="G38" s="63"/>
      <c r="H38" s="63"/>
      <c r="I38" s="64"/>
    </row>
    <row r="39" spans="1:9" s="18" customFormat="1" ht="16.5" customHeight="1" x14ac:dyDescent="0.25">
      <c r="A39" s="76"/>
      <c r="B39" s="77"/>
      <c r="C39" s="26"/>
      <c r="D39" s="74"/>
      <c r="E39" s="75"/>
      <c r="F39" s="132" t="s">
        <v>23</v>
      </c>
      <c r="G39" s="133"/>
      <c r="H39" s="133"/>
      <c r="I39" s="134"/>
    </row>
    <row r="40" spans="1:9" s="18" customFormat="1" ht="16.5" customHeight="1" x14ac:dyDescent="0.25">
      <c r="A40" s="76"/>
      <c r="B40" s="77"/>
      <c r="C40" s="26"/>
      <c r="D40" s="74"/>
      <c r="E40" s="75"/>
      <c r="F40" s="20" t="s">
        <v>24</v>
      </c>
      <c r="G40" s="148">
        <f>G27</f>
        <v>0</v>
      </c>
      <c r="H40" s="148"/>
      <c r="I40" s="149"/>
    </row>
    <row r="41" spans="1:9" s="18" customFormat="1" ht="16.5" customHeight="1" x14ac:dyDescent="0.25">
      <c r="A41" s="76"/>
      <c r="B41" s="77"/>
      <c r="C41" s="26"/>
      <c r="D41" s="74"/>
      <c r="E41" s="75"/>
      <c r="F41" s="20" t="s">
        <v>25</v>
      </c>
      <c r="G41" s="130"/>
      <c r="H41" s="130"/>
      <c r="I41" s="131"/>
    </row>
    <row r="42" spans="1:9" s="18" customFormat="1" ht="16.5" customHeight="1" x14ac:dyDescent="0.25">
      <c r="A42" s="76"/>
      <c r="B42" s="77"/>
      <c r="C42" s="26"/>
      <c r="D42" s="74"/>
      <c r="E42" s="75"/>
      <c r="F42" s="20" t="s">
        <v>26</v>
      </c>
      <c r="G42" s="146"/>
      <c r="H42" s="146"/>
      <c r="I42" s="147"/>
    </row>
    <row r="43" spans="1:9" s="18" customFormat="1" ht="16.5" customHeight="1" x14ac:dyDescent="0.25">
      <c r="A43" s="76"/>
      <c r="B43" s="77"/>
      <c r="C43" s="26"/>
      <c r="D43" s="74"/>
      <c r="E43" s="75"/>
      <c r="F43" s="20" t="s">
        <v>27</v>
      </c>
      <c r="G43" s="130"/>
      <c r="H43" s="130"/>
      <c r="I43" s="131"/>
    </row>
    <row r="44" spans="1:9" s="18" customFormat="1" ht="16.5" customHeight="1" x14ac:dyDescent="0.25">
      <c r="A44" s="76"/>
      <c r="B44" s="77"/>
      <c r="C44" s="26"/>
      <c r="D44" s="74"/>
      <c r="E44" s="75"/>
      <c r="F44" s="20" t="s">
        <v>28</v>
      </c>
      <c r="G44" s="130"/>
      <c r="H44" s="130"/>
      <c r="I44" s="131"/>
    </row>
    <row r="45" spans="1:9" s="18" customFormat="1" ht="18.600000000000001" customHeight="1" x14ac:dyDescent="0.25">
      <c r="A45" s="76"/>
      <c r="B45" s="77"/>
      <c r="C45" s="26"/>
      <c r="D45" s="74"/>
      <c r="E45" s="75"/>
      <c r="F45" s="20" t="s">
        <v>29</v>
      </c>
      <c r="G45" s="130"/>
      <c r="H45" s="130"/>
      <c r="I45" s="131"/>
    </row>
    <row r="46" spans="1:9" s="18" customFormat="1" ht="26.45" customHeight="1" x14ac:dyDescent="0.25">
      <c r="A46" s="76"/>
      <c r="B46" s="77"/>
      <c r="C46" s="26"/>
      <c r="D46" s="74"/>
      <c r="E46" s="75"/>
      <c r="F46" s="139" t="s">
        <v>300</v>
      </c>
      <c r="G46" s="140"/>
      <c r="H46" s="140"/>
      <c r="I46" s="141"/>
    </row>
    <row r="47" spans="1:9" s="18" customFormat="1" ht="25.15" customHeight="1" x14ac:dyDescent="0.25">
      <c r="A47" s="76" t="s">
        <v>303</v>
      </c>
      <c r="B47" s="77"/>
      <c r="C47" s="26"/>
      <c r="D47" s="74"/>
      <c r="E47" s="75"/>
      <c r="F47" s="139"/>
      <c r="G47" s="140"/>
      <c r="H47" s="140"/>
      <c r="I47" s="141"/>
    </row>
    <row r="48" spans="1:9" s="18" customFormat="1" ht="16.5" customHeight="1" x14ac:dyDescent="0.25">
      <c r="A48" s="76"/>
      <c r="B48" s="77"/>
      <c r="C48" s="26"/>
      <c r="D48" s="74"/>
      <c r="E48" s="75"/>
      <c r="F48" s="139"/>
      <c r="G48" s="140"/>
      <c r="H48" s="140"/>
      <c r="I48" s="141"/>
    </row>
    <row r="49" spans="1:10" s="18" customFormat="1" ht="16.5" customHeight="1" x14ac:dyDescent="0.25">
      <c r="A49" s="76"/>
      <c r="B49" s="77"/>
      <c r="C49" s="26"/>
      <c r="D49" s="74"/>
      <c r="E49" s="75"/>
      <c r="F49" s="12"/>
      <c r="G49" s="12"/>
      <c r="H49" s="12"/>
      <c r="I49" s="35"/>
    </row>
    <row r="50" spans="1:10" s="18" customFormat="1" ht="24" customHeight="1" thickBot="1" x14ac:dyDescent="0.3">
      <c r="A50" s="70"/>
      <c r="B50" s="71"/>
      <c r="C50" s="29"/>
      <c r="D50" s="135"/>
      <c r="E50" s="136"/>
      <c r="F50" s="33"/>
      <c r="G50" s="34"/>
      <c r="H50" s="34"/>
      <c r="I50" s="36"/>
    </row>
    <row r="51" spans="1:10" s="18" customFormat="1" ht="6" customHeight="1" thickBot="1" x14ac:dyDescent="0.3">
      <c r="A51" s="72"/>
      <c r="B51" s="73"/>
      <c r="C51" s="12"/>
      <c r="D51" s="12"/>
      <c r="E51" s="12"/>
      <c r="F51" s="12"/>
      <c r="G51" s="12"/>
      <c r="H51" s="12"/>
      <c r="I51" s="35"/>
    </row>
    <row r="52" spans="1:10" s="18" customFormat="1" ht="33" customHeight="1" thickTop="1" x14ac:dyDescent="0.25">
      <c r="A52" s="78"/>
      <c r="B52" s="79"/>
      <c r="C52" s="80"/>
      <c r="D52" s="137">
        <f>SUM(D27:E50)</f>
        <v>0</v>
      </c>
      <c r="E52" s="138"/>
      <c r="F52" s="101" t="str">
        <f>PesosMN(D52)</f>
        <v xml:space="preserve"> ( PESO 00/100 M.N.)</v>
      </c>
      <c r="G52" s="68"/>
      <c r="H52" s="68"/>
      <c r="I52" s="69"/>
    </row>
    <row r="53" spans="1:10" s="18" customFormat="1" ht="5.45" customHeight="1" thickBot="1" x14ac:dyDescent="0.3">
      <c r="A53" s="53"/>
      <c r="B53" s="12"/>
      <c r="C53" s="12"/>
      <c r="D53" s="12"/>
      <c r="E53" s="12"/>
      <c r="F53" s="12"/>
      <c r="G53" s="12"/>
      <c r="H53" s="12"/>
      <c r="I53" s="35"/>
    </row>
    <row r="54" spans="1:10" s="18" customFormat="1" ht="21" customHeight="1" thickTop="1" x14ac:dyDescent="0.25">
      <c r="A54" s="81" t="s">
        <v>30</v>
      </c>
      <c r="B54" s="82"/>
      <c r="C54" s="82"/>
      <c r="D54" s="83"/>
      <c r="E54" s="90" t="s">
        <v>31</v>
      </c>
      <c r="F54" s="91"/>
      <c r="G54" s="92"/>
      <c r="H54" s="97"/>
      <c r="I54" s="98"/>
    </row>
    <row r="55" spans="1:10" s="18" customFormat="1" ht="21" customHeight="1" x14ac:dyDescent="0.25">
      <c r="A55" s="84" t="s">
        <v>305</v>
      </c>
      <c r="B55" s="85"/>
      <c r="C55" s="85"/>
      <c r="D55" s="85"/>
      <c r="E55" s="93"/>
      <c r="F55" s="94"/>
      <c r="G55" s="95"/>
      <c r="H55" s="99"/>
      <c r="I55" s="100"/>
    </row>
    <row r="56" spans="1:10" s="18" customFormat="1" ht="30" customHeight="1" x14ac:dyDescent="0.25">
      <c r="A56" s="84"/>
      <c r="B56" s="85"/>
      <c r="C56" s="85"/>
      <c r="D56" s="86"/>
      <c r="E56" s="39"/>
      <c r="F56" s="40"/>
      <c r="G56" s="41"/>
      <c r="H56" s="99"/>
      <c r="I56" s="100"/>
      <c r="J56" s="12"/>
    </row>
    <row r="57" spans="1:10" s="18" customFormat="1" ht="15" customHeight="1" x14ac:dyDescent="0.25">
      <c r="A57" s="84"/>
      <c r="B57" s="85"/>
      <c r="C57" s="85"/>
      <c r="D57" s="86"/>
      <c r="E57" s="39"/>
      <c r="F57" s="40"/>
      <c r="G57" s="41"/>
      <c r="H57" s="99"/>
      <c r="I57" s="100"/>
      <c r="J57" s="12"/>
    </row>
    <row r="58" spans="1:10" s="18" customFormat="1" ht="15" customHeight="1" x14ac:dyDescent="0.25">
      <c r="A58" s="84"/>
      <c r="B58" s="85"/>
      <c r="C58" s="85"/>
      <c r="D58" s="86"/>
      <c r="E58" s="39"/>
      <c r="F58" s="40"/>
      <c r="G58" s="41"/>
      <c r="H58" s="99"/>
      <c r="I58" s="100"/>
      <c r="J58" s="12"/>
    </row>
    <row r="59" spans="1:10" s="18" customFormat="1" ht="15" customHeight="1" x14ac:dyDescent="0.25">
      <c r="A59" s="84"/>
      <c r="B59" s="85"/>
      <c r="C59" s="85"/>
      <c r="D59" s="86"/>
      <c r="E59" s="39"/>
      <c r="F59" s="40"/>
      <c r="G59" s="41"/>
      <c r="H59" s="99"/>
      <c r="I59" s="100"/>
      <c r="J59" s="12"/>
    </row>
    <row r="60" spans="1:10" s="18" customFormat="1" ht="86.25" customHeight="1" x14ac:dyDescent="0.25">
      <c r="A60" s="87"/>
      <c r="B60" s="88"/>
      <c r="C60" s="88"/>
      <c r="D60" s="89"/>
      <c r="E60" s="42"/>
      <c r="F60" s="43"/>
      <c r="G60" s="44"/>
      <c r="H60" s="99"/>
      <c r="I60" s="100"/>
      <c r="J60" s="12"/>
    </row>
    <row r="61" spans="1:10" s="18" customFormat="1" ht="96" customHeight="1" x14ac:dyDescent="0.25">
      <c r="A61" s="102" t="s">
        <v>308</v>
      </c>
      <c r="B61" s="103"/>
      <c r="C61" s="103"/>
      <c r="D61" s="104"/>
      <c r="E61" s="96" t="s">
        <v>301</v>
      </c>
      <c r="F61" s="96"/>
      <c r="G61" s="96"/>
      <c r="H61" s="99"/>
      <c r="I61" s="100"/>
    </row>
    <row r="62" spans="1:10" s="18" customFormat="1" ht="69" customHeight="1" x14ac:dyDescent="0.25">
      <c r="A62" s="105"/>
      <c r="B62" s="106"/>
      <c r="C62" s="106"/>
      <c r="D62" s="107"/>
      <c r="E62" s="108" t="s">
        <v>404</v>
      </c>
      <c r="F62" s="108"/>
      <c r="G62" s="109"/>
      <c r="H62" s="110"/>
      <c r="I62" s="111"/>
    </row>
    <row r="63" spans="1:10" s="18" customFormat="1" ht="6.75" customHeight="1" x14ac:dyDescent="0.25">
      <c r="A63" s="53"/>
      <c r="B63" s="12"/>
      <c r="C63" s="12"/>
      <c r="D63" s="12"/>
      <c r="E63" s="12"/>
      <c r="F63" s="12"/>
      <c r="G63" s="12"/>
      <c r="H63" s="12"/>
      <c r="I63" s="35"/>
    </row>
    <row r="64" spans="1:10" s="18" customFormat="1" ht="31.5" customHeight="1" x14ac:dyDescent="0.25">
      <c r="A64" s="67" t="s">
        <v>32</v>
      </c>
      <c r="B64" s="68"/>
      <c r="C64" s="68"/>
      <c r="D64" s="68"/>
      <c r="E64" s="68"/>
      <c r="F64" s="68"/>
      <c r="G64" s="68"/>
      <c r="H64" s="68"/>
      <c r="I64" s="69"/>
    </row>
    <row r="65" spans="1:9" s="18" customFormat="1" ht="5.45" customHeight="1" x14ac:dyDescent="0.25">
      <c r="A65" s="53"/>
      <c r="B65" s="12"/>
      <c r="C65" s="12"/>
      <c r="D65" s="65"/>
      <c r="E65" s="65"/>
      <c r="F65" s="65"/>
      <c r="G65" s="65"/>
      <c r="H65" s="12"/>
      <c r="I65" s="35"/>
    </row>
    <row r="66" spans="1:9" s="18" customFormat="1" ht="15" customHeight="1" x14ac:dyDescent="0.25">
      <c r="A66" s="117" t="s">
        <v>298</v>
      </c>
      <c r="B66" s="118"/>
      <c r="C66" s="118"/>
      <c r="D66" s="119"/>
      <c r="E66" s="123" t="s">
        <v>299</v>
      </c>
      <c r="F66" s="118"/>
      <c r="G66" s="118"/>
      <c r="H66" s="118"/>
      <c r="I66" s="124"/>
    </row>
    <row r="67" spans="1:9" s="18" customFormat="1" ht="42" customHeight="1" x14ac:dyDescent="0.25">
      <c r="A67" s="120"/>
      <c r="B67" s="121"/>
      <c r="C67" s="121"/>
      <c r="D67" s="122"/>
      <c r="E67" s="125"/>
      <c r="F67" s="121"/>
      <c r="G67" s="121"/>
      <c r="H67" s="121"/>
      <c r="I67" s="126"/>
    </row>
    <row r="68" spans="1:9" s="18" customFormat="1" ht="27" customHeight="1" x14ac:dyDescent="0.25">
      <c r="A68" s="114" t="s">
        <v>33</v>
      </c>
      <c r="B68" s="115"/>
      <c r="C68" s="115"/>
      <c r="D68" s="116"/>
      <c r="E68" s="13"/>
      <c r="F68" s="12"/>
      <c r="G68" s="12"/>
      <c r="H68" s="12"/>
      <c r="I68" s="35"/>
    </row>
    <row r="69" spans="1:9" s="18" customFormat="1" ht="23.25" customHeight="1" x14ac:dyDescent="0.25">
      <c r="A69" s="127"/>
      <c r="B69" s="128"/>
      <c r="C69" s="128"/>
      <c r="D69" s="129"/>
      <c r="E69" s="30"/>
      <c r="F69" s="22"/>
      <c r="G69" s="22"/>
      <c r="H69" s="12"/>
      <c r="I69" s="35"/>
    </row>
    <row r="70" spans="1:9" s="18" customFormat="1" ht="23.25" customHeight="1" x14ac:dyDescent="0.25">
      <c r="A70" s="84"/>
      <c r="B70" s="85"/>
      <c r="C70" s="85"/>
      <c r="D70" s="113"/>
      <c r="E70" s="30"/>
      <c r="F70" s="22"/>
      <c r="G70" s="22"/>
      <c r="H70" s="12"/>
      <c r="I70" s="35"/>
    </row>
    <row r="71" spans="1:9" s="18" customFormat="1" ht="23.25" customHeight="1" x14ac:dyDescent="0.25">
      <c r="A71" s="84"/>
      <c r="B71" s="85"/>
      <c r="C71" s="85"/>
      <c r="D71" s="113"/>
      <c r="E71" s="30"/>
      <c r="F71" s="22"/>
      <c r="G71" s="22"/>
      <c r="H71" s="12"/>
      <c r="I71" s="35"/>
    </row>
    <row r="72" spans="1:9" s="18" customFormat="1" ht="23.25" customHeight="1" x14ac:dyDescent="0.25">
      <c r="A72" s="53"/>
      <c r="B72" s="85"/>
      <c r="C72" s="85"/>
      <c r="D72" s="113"/>
      <c r="E72" s="30"/>
      <c r="F72" s="22"/>
      <c r="G72" s="22"/>
      <c r="H72" s="12"/>
      <c r="I72" s="35"/>
    </row>
    <row r="73" spans="1:9" ht="23.25" customHeight="1" x14ac:dyDescent="0.3">
      <c r="A73" s="55"/>
      <c r="B73" s="88"/>
      <c r="C73" s="88"/>
      <c r="D73" s="112"/>
      <c r="E73" s="31"/>
      <c r="F73" s="32"/>
      <c r="G73" s="32"/>
      <c r="H73" s="32"/>
      <c r="I73" s="56"/>
    </row>
    <row r="74" spans="1:9" ht="19.5" thickBot="1" x14ac:dyDescent="0.35">
      <c r="A74" s="57"/>
      <c r="B74" s="34"/>
      <c r="C74" s="58"/>
      <c r="D74" s="58"/>
      <c r="E74" s="58"/>
      <c r="F74" s="58"/>
      <c r="G74" s="58"/>
      <c r="H74" s="58"/>
      <c r="I74" s="59"/>
    </row>
    <row r="75" spans="1:9" x14ac:dyDescent="0.3">
      <c r="A75" s="9"/>
      <c r="B75" s="9"/>
      <c r="C75" s="9"/>
      <c r="D75" s="9"/>
      <c r="E75" s="9"/>
      <c r="F75" s="9"/>
      <c r="G75" s="9"/>
      <c r="H75" s="9"/>
      <c r="I75" s="9"/>
    </row>
  </sheetData>
  <sheetProtection algorithmName="SHA-512" hashValue="bmW+C4BDwYJe6m+6Rz1cbDsGtof5sUrqWPCOwU1zt1lI4Jb0lcCQrAewJqbZ/2gXaaLXr82iagFOYLm4ESIyeg==" saltValue="+pbtGtYSV7mTcfEb4r2LKQ==" spinCount="100000" sheet="1" formatCells="0" formatColumns="0" formatRows="0" insertColumns="0" insertRows="0" deleteColumns="0" deleteRows="0" sort="0" autoFilter="0" pivotTables="0"/>
  <mergeCells count="110"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C10:G10"/>
    <mergeCell ref="B9:C9"/>
    <mergeCell ref="H15:I16"/>
    <mergeCell ref="D30:E30"/>
    <mergeCell ref="D35:E35"/>
    <mergeCell ref="A28:B28"/>
    <mergeCell ref="F27:F28"/>
    <mergeCell ref="G27:I28"/>
    <mergeCell ref="G29:I29"/>
    <mergeCell ref="G30:I30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A30:B30"/>
    <mergeCell ref="A35:B35"/>
    <mergeCell ref="D31:E31"/>
    <mergeCell ref="D32:E32"/>
    <mergeCell ref="D33:E33"/>
    <mergeCell ref="D34:E34"/>
    <mergeCell ref="A31:B31"/>
    <mergeCell ref="A32:B32"/>
    <mergeCell ref="A33:B33"/>
    <mergeCell ref="A34:B34"/>
    <mergeCell ref="D49:E49"/>
    <mergeCell ref="A44:B44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G41:I41"/>
    <mergeCell ref="G40:I40"/>
    <mergeCell ref="B73:D73"/>
    <mergeCell ref="A70:D71"/>
    <mergeCell ref="D39:E39"/>
    <mergeCell ref="D40:E40"/>
    <mergeCell ref="A39:B39"/>
    <mergeCell ref="A40:B40"/>
    <mergeCell ref="A45:B45"/>
    <mergeCell ref="A46:B46"/>
    <mergeCell ref="A68:D68"/>
    <mergeCell ref="A66:D67"/>
    <mergeCell ref="A43:B43"/>
    <mergeCell ref="A48:B48"/>
    <mergeCell ref="D47:E47"/>
    <mergeCell ref="D48:E48"/>
    <mergeCell ref="E66:I67"/>
    <mergeCell ref="A69:D69"/>
    <mergeCell ref="B72:D72"/>
    <mergeCell ref="G45:I45"/>
    <mergeCell ref="F39:I39"/>
    <mergeCell ref="D50:E50"/>
    <mergeCell ref="D52:E52"/>
    <mergeCell ref="A47:B47"/>
    <mergeCell ref="F46:F48"/>
    <mergeCell ref="G46:I48"/>
    <mergeCell ref="A64:I64"/>
    <mergeCell ref="A50:B50"/>
    <mergeCell ref="A51:B51"/>
    <mergeCell ref="D41:E41"/>
    <mergeCell ref="D42:E42"/>
    <mergeCell ref="D43:E43"/>
    <mergeCell ref="D44:E44"/>
    <mergeCell ref="D45:E45"/>
    <mergeCell ref="A49:B49"/>
    <mergeCell ref="D46:E46"/>
    <mergeCell ref="A52:C52"/>
    <mergeCell ref="A54:D54"/>
    <mergeCell ref="A55:D55"/>
    <mergeCell ref="A56:D60"/>
    <mergeCell ref="E54:G54"/>
    <mergeCell ref="E55:G55"/>
    <mergeCell ref="E61:G61"/>
    <mergeCell ref="H54:I61"/>
    <mergeCell ref="F52:I52"/>
    <mergeCell ref="A61:D62"/>
    <mergeCell ref="E62:G62"/>
    <mergeCell ref="H62:I62"/>
  </mergeCells>
  <conditionalFormatting sqref="B72:D73">
    <cfRule type="containsErrors" dxfId="0" priority="1">
      <formula>ISERROR(B72)</formula>
    </cfRule>
  </conditionalFormatting>
  <pageMargins left="0.7" right="0.7" top="0.75" bottom="0.75" header="0.3" footer="0.3"/>
  <pageSetup scale="45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ERROR DE DATOS" error="FAVOR DE SELECCIONAR LA PARTIDA">
          <x14:formula1>
            <xm:f>PARTIDA!$B$2:$B$249</xm:f>
          </x14:formula1>
          <xm:sqref>C28:C50</xm:sqref>
        </x14:dataValidation>
        <x14:dataValidation type="list" showInputMessage="1" showErrorMessage="1" errorTitle="ERROR DE DATOS" error="FAVOR DE SELECCIONAR LA PARTIDA CORRECTAMENTE">
          <x14:formula1>
            <xm:f>PROYECTO!$A$2:$A$37</xm:f>
          </x14:formula1>
          <xm:sqref>F17:F20</xm:sqref>
        </x14:dataValidation>
        <x14:dataValidation type="list" showInputMessage="1" showErrorMessage="1" errorTitle="ERROR DE DATOS" error="FAVOR DE SELECCIONAR LA PARTIDA">
          <x14:formula1>
            <xm:f>PARTIDA!$B$2:$B$358</xm:f>
          </x14:formula1>
          <xm:sqref>C27</xm:sqref>
        </x14:dataValidation>
        <x14:dataValidation type="list" showInputMessage="1" showErrorMessage="1">
          <x14:formula1>
            <xm:f>Hoja1!A1:A4</xm:f>
          </x14:formula1>
          <xm:sqref>E61:G61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"/>
  <sheetViews>
    <sheetView workbookViewId="0">
      <selection activeCell="A3" sqref="A3"/>
    </sheetView>
  </sheetViews>
  <sheetFormatPr baseColWidth="10" defaultRowHeight="15" x14ac:dyDescent="0.25"/>
  <cols>
    <col min="1" max="1" width="33.5703125" bestFit="1" customWidth="1"/>
    <col min="7" max="7" width="13.7109375" customWidth="1"/>
    <col min="8" max="8" width="42.42578125" customWidth="1"/>
  </cols>
  <sheetData>
    <row r="1" spans="1:8" ht="130.5" customHeight="1" thickBot="1" x14ac:dyDescent="0.3">
      <c r="A1" s="47" t="s">
        <v>301</v>
      </c>
      <c r="B1" s="45"/>
      <c r="C1" s="46"/>
    </row>
    <row r="2" spans="1:8" ht="117" customHeight="1" thickTop="1" thickBot="1" x14ac:dyDescent="0.3">
      <c r="A2" s="47" t="s">
        <v>407</v>
      </c>
      <c r="B2" s="45"/>
      <c r="C2" s="46"/>
      <c r="F2" s="90" t="s">
        <v>31</v>
      </c>
      <c r="G2" s="91"/>
      <c r="H2" s="92"/>
    </row>
    <row r="3" spans="1:8" ht="117" customHeight="1" thickTop="1" thickBot="1" x14ac:dyDescent="0.3">
      <c r="A3" s="47" t="s">
        <v>306</v>
      </c>
      <c r="F3" s="93"/>
      <c r="G3" s="94"/>
      <c r="H3" s="95"/>
    </row>
    <row r="4" spans="1:8" ht="307.5" thickTop="1" thickBot="1" x14ac:dyDescent="0.3">
      <c r="A4" s="47" t="s">
        <v>307</v>
      </c>
      <c r="F4" s="93"/>
      <c r="G4" s="94"/>
      <c r="H4" s="95"/>
    </row>
    <row r="5" spans="1:8" ht="15.75" thickTop="1" x14ac:dyDescent="0.25">
      <c r="F5" s="93"/>
      <c r="G5" s="94"/>
      <c r="H5" s="95"/>
    </row>
    <row r="6" spans="1:8" x14ac:dyDescent="0.25">
      <c r="F6" s="93"/>
      <c r="G6" s="94"/>
      <c r="H6" s="95"/>
    </row>
    <row r="7" spans="1:8" x14ac:dyDescent="0.25">
      <c r="F7" s="200"/>
      <c r="G7" s="201"/>
      <c r="H7" s="202"/>
    </row>
    <row r="8" spans="1:8" ht="59.25" customHeight="1" thickBot="1" x14ac:dyDescent="0.3">
      <c r="F8" s="203" t="s">
        <v>301</v>
      </c>
      <c r="G8" s="204"/>
      <c r="H8" s="205"/>
    </row>
    <row r="9" spans="1:8" ht="16.5" thickTop="1" thickBot="1" x14ac:dyDescent="0.3"/>
    <row r="10" spans="1:8" ht="18.75" thickTop="1" x14ac:dyDescent="0.25">
      <c r="F10" s="90" t="s">
        <v>31</v>
      </c>
      <c r="G10" s="91"/>
      <c r="H10" s="92"/>
    </row>
    <row r="11" spans="1:8" x14ac:dyDescent="0.25">
      <c r="F11" s="93"/>
      <c r="G11" s="94"/>
      <c r="H11" s="95"/>
    </row>
    <row r="12" spans="1:8" x14ac:dyDescent="0.25">
      <c r="F12" s="93"/>
      <c r="G12" s="94"/>
      <c r="H12" s="95"/>
    </row>
    <row r="13" spans="1:8" x14ac:dyDescent="0.25">
      <c r="F13" s="93"/>
      <c r="G13" s="94"/>
      <c r="H13" s="95"/>
    </row>
    <row r="14" spans="1:8" x14ac:dyDescent="0.25">
      <c r="F14" s="93"/>
      <c r="G14" s="94"/>
      <c r="H14" s="95"/>
    </row>
    <row r="15" spans="1:8" x14ac:dyDescent="0.25">
      <c r="F15" s="200"/>
      <c r="G15" s="201"/>
      <c r="H15" s="202"/>
    </row>
    <row r="16" spans="1:8" ht="68.25" customHeight="1" thickBot="1" x14ac:dyDescent="0.3">
      <c r="F16" s="203" t="s">
        <v>302</v>
      </c>
      <c r="G16" s="204"/>
      <c r="H16" s="205"/>
    </row>
    <row r="17" ht="48" customHeight="1" thickTop="1" x14ac:dyDescent="0.25"/>
  </sheetData>
  <mergeCells count="6">
    <mergeCell ref="F11:H15"/>
    <mergeCell ref="F16:H16"/>
    <mergeCell ref="F2:H2"/>
    <mergeCell ref="F3:H7"/>
    <mergeCell ref="F8:H8"/>
    <mergeCell ref="F10:H10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308"/>
  <sheetViews>
    <sheetView topLeftCell="A2" workbookViewId="0">
      <selection activeCell="B249" sqref="B249:C308"/>
    </sheetView>
  </sheetViews>
  <sheetFormatPr baseColWidth="10" defaultColWidth="11.42578125" defaultRowHeight="26.25" x14ac:dyDescent="0.4"/>
  <cols>
    <col min="1" max="1" width="75.7109375" style="66" customWidth="1"/>
    <col min="2" max="2" width="8.85546875" bestFit="1" customWidth="1"/>
    <col min="3" max="3" width="128.140625" bestFit="1" customWidth="1"/>
  </cols>
  <sheetData>
    <row r="1" spans="1:3" x14ac:dyDescent="0.4">
      <c r="B1" s="7" t="s">
        <v>48</v>
      </c>
      <c r="C1" s="7" t="s">
        <v>49</v>
      </c>
    </row>
    <row r="2" spans="1:3" x14ac:dyDescent="0.4">
      <c r="A2" s="66" t="s">
        <v>50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4">
      <c r="A3" s="66" t="s">
        <v>51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4">
      <c r="A4" s="66" t="s">
        <v>52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4">
      <c r="A5" s="66" t="s">
        <v>53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4">
      <c r="A6" s="66" t="s">
        <v>54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4">
      <c r="A7" s="66" t="s">
        <v>55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4">
      <c r="A8" s="66" t="s">
        <v>56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4">
      <c r="A9" s="66" t="s">
        <v>57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4">
      <c r="A10" s="66" t="s">
        <v>58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4">
      <c r="A11" s="66" t="s">
        <v>59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4">
      <c r="A12" s="66" t="s">
        <v>60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4">
      <c r="A13" s="66" t="s">
        <v>61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4">
      <c r="A14" s="66" t="s">
        <v>62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4">
      <c r="A15" s="66" t="s">
        <v>63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4">
      <c r="A16" s="66" t="s">
        <v>64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4">
      <c r="A17" s="66" t="s">
        <v>65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4">
      <c r="A18" s="66" t="s">
        <v>66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4">
      <c r="A19" s="66" t="s">
        <v>67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4">
      <c r="A20" s="66" t="s">
        <v>68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4">
      <c r="A21" s="66" t="s">
        <v>69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4">
      <c r="A22" s="66" t="s">
        <v>70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4">
      <c r="A23" s="66" t="s">
        <v>71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4">
      <c r="A24" s="66" t="s">
        <v>72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4">
      <c r="A25" s="66" t="s">
        <v>73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4">
      <c r="A26" s="66" t="s">
        <v>74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4">
      <c r="A27" s="66" t="s">
        <v>75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4">
      <c r="A28" s="66" t="s">
        <v>76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4">
      <c r="A29" s="66" t="s">
        <v>77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4">
      <c r="A30" s="66" t="s">
        <v>78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4">
      <c r="A31" s="66" t="s">
        <v>79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4">
      <c r="A32" s="66" t="s">
        <v>80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4">
      <c r="A33" s="66" t="s">
        <v>81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4">
      <c r="A34" s="66" t="s">
        <v>82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4">
      <c r="A35" s="66" t="s">
        <v>83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4">
      <c r="A36" s="66" t="s">
        <v>84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4">
      <c r="A37" s="66" t="s">
        <v>85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4">
      <c r="A38" s="66" t="s">
        <v>86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4">
      <c r="A39" s="66" t="s">
        <v>87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4">
      <c r="A40" s="66" t="s">
        <v>88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4">
      <c r="A41" s="66" t="s">
        <v>89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4">
      <c r="A42" s="66" t="s">
        <v>90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4">
      <c r="A43" s="66" t="s">
        <v>91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4">
      <c r="A44" s="66" t="s">
        <v>92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4">
      <c r="A45" s="66" t="s">
        <v>93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4">
      <c r="A46" s="66" t="s">
        <v>94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4">
      <c r="A47" s="66" t="s">
        <v>95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4">
      <c r="A48" s="66" t="s">
        <v>96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4">
      <c r="A49" s="66" t="s">
        <v>97</v>
      </c>
      <c r="B49">
        <f t="shared" si="2"/>
        <v>2740</v>
      </c>
      <c r="C49" t="str">
        <f t="shared" si="3"/>
        <v xml:space="preserve"> Productos textiles</v>
      </c>
    </row>
    <row r="50" spans="1:3" x14ac:dyDescent="0.4">
      <c r="A50" s="66" t="s">
        <v>98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4">
      <c r="A51" s="66" t="s">
        <v>99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4">
      <c r="A52" s="66" t="s">
        <v>100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4">
      <c r="A53" s="66" t="s">
        <v>101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4">
      <c r="A54" s="66" t="s">
        <v>102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4">
      <c r="A55" s="66" t="s">
        <v>103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4">
      <c r="A56" s="66" t="s">
        <v>104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4">
      <c r="A57" s="66" t="s">
        <v>105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4">
      <c r="A58" s="66" t="s">
        <v>106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4">
      <c r="A59" s="66" t="s">
        <v>107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4">
      <c r="A60" s="66" t="s">
        <v>108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4">
      <c r="A61" s="66" t="s">
        <v>109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4">
      <c r="A62" s="66" t="s">
        <v>110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4">
      <c r="A63" s="66" t="s">
        <v>111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4">
      <c r="A64" s="66" t="s">
        <v>112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4">
      <c r="A65" s="66" t="s">
        <v>113</v>
      </c>
      <c r="B65">
        <f t="shared" si="4"/>
        <v>3000</v>
      </c>
      <c r="C65" t="str">
        <f t="shared" si="5"/>
        <v xml:space="preserve"> SERVICIOS GENERALES</v>
      </c>
    </row>
    <row r="66" spans="1:3" x14ac:dyDescent="0.4">
      <c r="A66" s="66" t="s">
        <v>114</v>
      </c>
      <c r="B66">
        <f t="shared" si="4"/>
        <v>3100</v>
      </c>
      <c r="C66" t="str">
        <f t="shared" si="5"/>
        <v xml:space="preserve"> SERVICIOS BÁSICOS</v>
      </c>
    </row>
    <row r="67" spans="1:3" x14ac:dyDescent="0.4">
      <c r="A67" s="66" t="s">
        <v>115</v>
      </c>
      <c r="B67">
        <f t="shared" si="4"/>
        <v>3110</v>
      </c>
      <c r="C67" t="str">
        <f t="shared" si="5"/>
        <v xml:space="preserve"> Energía eléctrica</v>
      </c>
    </row>
    <row r="68" spans="1:3" x14ac:dyDescent="0.4">
      <c r="A68" s="66" t="s">
        <v>116</v>
      </c>
      <c r="B68">
        <f t="shared" si="4"/>
        <v>3120</v>
      </c>
      <c r="C68" t="str">
        <f t="shared" si="5"/>
        <v xml:space="preserve"> Gas</v>
      </c>
    </row>
    <row r="69" spans="1:3" x14ac:dyDescent="0.4">
      <c r="A69" s="66" t="s">
        <v>117</v>
      </c>
      <c r="B69">
        <f t="shared" si="4"/>
        <v>3130</v>
      </c>
      <c r="C69" t="str">
        <f t="shared" si="5"/>
        <v xml:space="preserve"> Agua</v>
      </c>
    </row>
    <row r="70" spans="1:3" x14ac:dyDescent="0.4">
      <c r="A70" s="66" t="s">
        <v>118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4">
      <c r="A71" s="66" t="s">
        <v>119</v>
      </c>
      <c r="B71">
        <f t="shared" si="4"/>
        <v>3150</v>
      </c>
      <c r="C71" t="str">
        <f t="shared" si="5"/>
        <v xml:space="preserve"> Telefonía celular</v>
      </c>
    </row>
    <row r="72" spans="1:3" x14ac:dyDescent="0.4">
      <c r="A72" s="66" t="s">
        <v>120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4">
      <c r="A73" s="66" t="s">
        <v>121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4">
      <c r="A74" s="66" t="s">
        <v>122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4">
      <c r="A75" s="66" t="s">
        <v>123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4">
      <c r="A76" s="66" t="s">
        <v>124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4">
      <c r="A77" s="66" t="s">
        <v>125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4">
      <c r="A78" s="66" t="s">
        <v>126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4">
      <c r="A79" s="66" t="s">
        <v>127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4">
      <c r="A80" s="66" t="s">
        <v>128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4">
      <c r="A81" s="66" t="s">
        <v>129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4">
      <c r="A82" s="66" t="s">
        <v>130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4">
      <c r="A83" s="66" t="s">
        <v>131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4">
      <c r="A84" s="66" t="s">
        <v>132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4">
      <c r="A85" s="66" t="s">
        <v>133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4">
      <c r="A86" s="66" t="s">
        <v>134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4">
      <c r="A87" s="66" t="s">
        <v>135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4">
      <c r="A88" s="66" t="s">
        <v>136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4">
      <c r="A89" s="66" t="s">
        <v>137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4">
      <c r="A90" s="66" t="s">
        <v>138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4">
      <c r="A91" s="66" t="s">
        <v>139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4">
      <c r="A92" s="66" t="s">
        <v>140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4">
      <c r="A93" s="66" t="s">
        <v>141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4">
      <c r="A94" s="66" t="s">
        <v>142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4">
      <c r="A95" s="66" t="s">
        <v>143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4">
      <c r="A96" s="66" t="s">
        <v>144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4">
      <c r="A97" s="66" t="s">
        <v>145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4">
      <c r="A98" s="66" t="s">
        <v>146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4">
      <c r="A99" s="66" t="s">
        <v>147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4">
      <c r="A100" s="66" t="s">
        <v>148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4">
      <c r="A101" s="66" t="s">
        <v>149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4">
      <c r="A102" s="66" t="s">
        <v>150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4">
      <c r="A103" s="66" t="s">
        <v>151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4">
      <c r="A104" s="66" t="s">
        <v>152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4">
      <c r="A105" s="66" t="s">
        <v>153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4">
      <c r="A106" s="66" t="s">
        <v>154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4">
      <c r="A107" s="66" t="s">
        <v>155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4">
      <c r="A108" s="66" t="s">
        <v>156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4">
      <c r="A109" s="66" t="s">
        <v>157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4">
      <c r="A110" s="66" t="s">
        <v>158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4">
      <c r="A111" s="66" t="s">
        <v>159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4">
      <c r="A112" s="66" t="s">
        <v>160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4">
      <c r="A113" s="66" t="s">
        <v>161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4">
      <c r="A114" s="66" t="s">
        <v>162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4">
      <c r="A115" s="66" t="s">
        <v>163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4">
      <c r="A116" s="66" t="s">
        <v>164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4">
      <c r="A117" s="66" t="s">
        <v>165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4">
      <c r="A118" s="66" t="s">
        <v>166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4">
      <c r="A119" s="66" t="s">
        <v>167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4">
      <c r="A120" s="66" t="s">
        <v>168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4">
      <c r="A121" s="66" t="s">
        <v>169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4">
      <c r="A122" s="66" t="s">
        <v>170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4">
      <c r="A123" s="66" t="s">
        <v>171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4">
      <c r="A124" s="66" t="s">
        <v>172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4">
      <c r="A125" s="66" t="s">
        <v>173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4">
      <c r="A126" s="66" t="s">
        <v>174</v>
      </c>
      <c r="B126">
        <f t="shared" si="6"/>
        <v>3710</v>
      </c>
      <c r="C126" t="str">
        <f t="shared" si="7"/>
        <v xml:space="preserve"> Pasajes aéreos</v>
      </c>
    </row>
    <row r="127" spans="1:3" x14ac:dyDescent="0.4">
      <c r="A127" s="66" t="s">
        <v>175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4">
      <c r="A128" s="66" t="s">
        <v>176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4">
      <c r="A129" s="66" t="s">
        <v>177</v>
      </c>
      <c r="B129">
        <f t="shared" si="6"/>
        <v>3740</v>
      </c>
      <c r="C129" t="str">
        <f t="shared" si="7"/>
        <v xml:space="preserve"> Autotransporte</v>
      </c>
    </row>
    <row r="130" spans="1:3" x14ac:dyDescent="0.4">
      <c r="A130" s="66" t="s">
        <v>178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4">
      <c r="A131" s="66" t="s">
        <v>179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4">
      <c r="A132" s="66" t="s">
        <v>180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4">
      <c r="A133" s="66" t="s">
        <v>181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4">
      <c r="A134" s="66" t="s">
        <v>182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4">
      <c r="A135" s="66" t="s">
        <v>183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4">
      <c r="A136" s="66" t="s">
        <v>184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4">
      <c r="A137" s="66" t="s">
        <v>185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4">
      <c r="A138" s="66" t="s">
        <v>186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4">
      <c r="A139" s="66" t="s">
        <v>187</v>
      </c>
      <c r="B139">
        <f t="shared" si="6"/>
        <v>3840</v>
      </c>
      <c r="C139" t="str">
        <f t="shared" si="7"/>
        <v xml:space="preserve"> Exposiciones</v>
      </c>
    </row>
    <row r="140" spans="1:3" x14ac:dyDescent="0.4">
      <c r="A140" s="66" t="s">
        <v>188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4">
      <c r="A141" s="66" t="s">
        <v>189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4">
      <c r="A142" s="66" t="s">
        <v>190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4">
      <c r="A143" s="66" t="s">
        <v>191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4">
      <c r="A144" s="66" t="s">
        <v>192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4">
      <c r="A145" s="66" t="s">
        <v>193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4">
      <c r="A146" s="66" t="s">
        <v>194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4">
      <c r="A147" s="66" t="s">
        <v>195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4">
      <c r="A148" s="66" t="s">
        <v>196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4">
      <c r="A149" s="66" t="s">
        <v>197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4">
      <c r="A150" s="66" t="s">
        <v>198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4">
      <c r="A151" s="66" t="s">
        <v>199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4">
      <c r="A152" s="66" t="s">
        <v>200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4">
      <c r="A153" s="66" t="s">
        <v>201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4">
      <c r="A154" s="66" t="s">
        <v>202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4">
      <c r="A155" s="66" t="s">
        <v>203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4">
      <c r="A156" s="66" t="s">
        <v>204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4">
      <c r="A157" s="66" t="s">
        <v>205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4">
      <c r="A158" s="66" t="s">
        <v>206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4">
      <c r="A159" s="66" t="s">
        <v>207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4">
      <c r="A160" s="66" t="s">
        <v>208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4">
      <c r="A161" s="66" t="s">
        <v>209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4">
      <c r="A162" s="66" t="s">
        <v>210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4">
      <c r="A163" s="66" t="s">
        <v>211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4">
      <c r="A164" s="66" t="s">
        <v>212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4">
      <c r="A165" s="66" t="s">
        <v>213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4">
      <c r="A166" s="66" t="s">
        <v>214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4">
      <c r="A167" s="66" t="s">
        <v>215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4">
      <c r="A168" s="66" t="s">
        <v>216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4">
      <c r="A169" s="66" t="s">
        <v>217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4">
      <c r="A170" s="66" t="s">
        <v>218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4">
      <c r="A171" s="66" t="s">
        <v>219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4">
      <c r="A172" s="66" t="s">
        <v>220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4">
      <c r="A173" s="66" t="s">
        <v>221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4">
      <c r="A174" s="66" t="s">
        <v>222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4">
      <c r="A175" s="66" t="s">
        <v>223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4">
      <c r="A176" s="66" t="s">
        <v>224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4">
      <c r="A177" s="66" t="s">
        <v>225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4">
      <c r="A178" s="66" t="s">
        <v>226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4">
      <c r="A179" s="66" t="s">
        <v>227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4">
      <c r="A180" s="66" t="s">
        <v>228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4">
      <c r="A181" s="66" t="s">
        <v>229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4">
      <c r="A182" s="66" t="s">
        <v>230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4">
      <c r="A183" s="66" t="s">
        <v>231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4">
      <c r="A184" s="66" t="s">
        <v>232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4">
      <c r="A185" s="66" t="s">
        <v>233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4">
      <c r="A186" s="66" t="s">
        <v>234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4">
      <c r="A187" s="66" t="s">
        <v>235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4">
      <c r="A188" s="66" t="s">
        <v>236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4">
      <c r="A189" s="66" t="s">
        <v>237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4">
      <c r="A190" s="66" t="s">
        <v>238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4">
      <c r="A191" s="66" t="s">
        <v>239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4">
      <c r="A192" s="66" t="s">
        <v>240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4">
      <c r="A193" s="66" t="s">
        <v>241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4">
      <c r="A194" s="66" t="s">
        <v>242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4">
      <c r="A195" s="66" t="s">
        <v>243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4">
      <c r="A196" s="66" t="s">
        <v>244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4">
      <c r="A197" s="66" t="s">
        <v>245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4">
      <c r="A198" s="66" t="s">
        <v>246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4">
      <c r="A199" s="66" t="s">
        <v>247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4">
      <c r="A200" s="66" t="s">
        <v>248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4">
      <c r="A201" s="66" t="s">
        <v>249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4">
      <c r="A202" s="66" t="s">
        <v>250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4">
      <c r="A203" s="66" t="s">
        <v>251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4">
      <c r="A204" s="66" t="s">
        <v>252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4">
      <c r="A205" s="66" t="s">
        <v>253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4">
      <c r="A206" s="66" t="s">
        <v>254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4">
      <c r="A207" s="66" t="s">
        <v>255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4">
      <c r="A208" s="66" t="s">
        <v>256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4">
      <c r="A209" s="66" t="s">
        <v>257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4">
      <c r="A210" s="66" t="s">
        <v>258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4">
      <c r="A211" s="66" t="s">
        <v>259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4">
      <c r="A212" s="66" t="s">
        <v>260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4">
      <c r="A213" s="66" t="s">
        <v>261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4">
      <c r="A214" s="66" t="s">
        <v>262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4">
      <c r="A215" s="66" t="s">
        <v>263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4">
      <c r="A216" s="66" t="s">
        <v>264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4">
      <c r="A217" s="66" t="s">
        <v>265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4">
      <c r="A218" s="66" t="s">
        <v>266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4">
      <c r="A219" s="66" t="s">
        <v>267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4">
      <c r="A220" s="66" t="s">
        <v>268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4">
      <c r="A221" s="66" t="s">
        <v>269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4">
      <c r="A222" s="66" t="s">
        <v>270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4">
      <c r="A223" s="66" t="s">
        <v>271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4">
      <c r="A224" s="66" t="s">
        <v>272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4">
      <c r="A225" s="66" t="s">
        <v>273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4">
      <c r="A226" s="66" t="s">
        <v>274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4">
      <c r="A227" s="66" t="s">
        <v>275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4">
      <c r="A228" s="66" t="s">
        <v>276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4">
      <c r="A229" s="66" t="s">
        <v>277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4">
      <c r="A230" s="66" t="s">
        <v>278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4">
      <c r="A231" s="66" t="s">
        <v>279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4">
      <c r="A232" s="66" t="s">
        <v>280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4">
      <c r="A233" s="66" t="s">
        <v>281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4">
      <c r="A234" s="66" t="s">
        <v>282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4">
      <c r="A235" s="66" t="s">
        <v>283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4">
      <c r="A236" s="66" t="s">
        <v>284</v>
      </c>
      <c r="B236">
        <f t="shared" si="10"/>
        <v>4510</v>
      </c>
      <c r="C236" t="str">
        <f t="shared" si="11"/>
        <v xml:space="preserve"> Pensiones</v>
      </c>
    </row>
    <row r="237" spans="1:3" x14ac:dyDescent="0.4">
      <c r="A237" s="66" t="s">
        <v>285</v>
      </c>
      <c r="B237">
        <f t="shared" si="10"/>
        <v>4520</v>
      </c>
      <c r="C237" t="str">
        <f t="shared" si="11"/>
        <v xml:space="preserve"> Jubilaciones</v>
      </c>
    </row>
    <row r="238" spans="1:3" x14ac:dyDescent="0.4">
      <c r="A238" s="66" t="s">
        <v>286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4">
      <c r="A239" s="66" t="s">
        <v>287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4">
      <c r="A240" s="66" t="s">
        <v>288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4">
      <c r="A241" s="66" t="s">
        <v>289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4">
      <c r="A242" s="66" t="s">
        <v>290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4">
      <c r="A243" s="66" t="s">
        <v>291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4">
      <c r="A244" s="66" t="s">
        <v>292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4">
      <c r="A245" s="66" t="s">
        <v>293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4">
      <c r="A246" s="66" t="s">
        <v>294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4">
      <c r="A247" s="66" t="s">
        <v>295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4">
      <c r="A248" s="66" t="s">
        <v>296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4">
      <c r="A249" s="66" t="s">
        <v>297</v>
      </c>
      <c r="B249">
        <f t="shared" si="10"/>
        <v>4930</v>
      </c>
      <c r="C249" t="str">
        <f t="shared" si="11"/>
        <v xml:space="preserve"> Transferencias para el sector privado externo</v>
      </c>
    </row>
    <row r="250" spans="1:3" x14ac:dyDescent="0.4">
      <c r="A250" s="66" t="s">
        <v>309</v>
      </c>
      <c r="B250">
        <f t="shared" ref="B250:B308" si="12">Limpia(A250,1)</f>
        <v>5000</v>
      </c>
      <c r="C250" t="str">
        <f t="shared" ref="C250:C308" si="13">Limpia(A250,2)</f>
        <v xml:space="preserve"> BIENES MUEBLES, INMUEBLES E INTANGIBLES</v>
      </c>
    </row>
    <row r="251" spans="1:3" x14ac:dyDescent="0.4">
      <c r="A251" s="66" t="s">
        <v>310</v>
      </c>
      <c r="B251">
        <f t="shared" si="12"/>
        <v>5100</v>
      </c>
      <c r="C251" t="str">
        <f t="shared" si="13"/>
        <v xml:space="preserve"> MOBILIARIO Y EQUIPO DE ADMINISTRACIÓN</v>
      </c>
    </row>
    <row r="252" spans="1:3" x14ac:dyDescent="0.4">
      <c r="A252" s="66" t="s">
        <v>311</v>
      </c>
      <c r="B252">
        <f t="shared" si="12"/>
        <v>5110</v>
      </c>
      <c r="C252" t="str">
        <f t="shared" si="13"/>
        <v xml:space="preserve"> Muebles de oficina y estantería</v>
      </c>
    </row>
    <row r="253" spans="1:3" x14ac:dyDescent="0.4">
      <c r="A253" s="66" t="s">
        <v>312</v>
      </c>
      <c r="B253">
        <f t="shared" si="12"/>
        <v>5120</v>
      </c>
      <c r="C253" t="str">
        <f t="shared" si="13"/>
        <v xml:space="preserve"> Muebles, excepto de oficina y estantería</v>
      </c>
    </row>
    <row r="254" spans="1:3" x14ac:dyDescent="0.4">
      <c r="A254" s="66" t="s">
        <v>313</v>
      </c>
      <c r="B254">
        <f t="shared" si="12"/>
        <v>5130</v>
      </c>
      <c r="C254" t="str">
        <f t="shared" si="13"/>
        <v xml:space="preserve"> Bienes artísticos, culturales y científicos</v>
      </c>
    </row>
    <row r="255" spans="1:3" x14ac:dyDescent="0.4">
      <c r="A255" s="66" t="s">
        <v>314</v>
      </c>
      <c r="B255">
        <f t="shared" si="12"/>
        <v>5140</v>
      </c>
      <c r="C255" t="str">
        <f t="shared" si="13"/>
        <v xml:space="preserve"> Objetos de valor</v>
      </c>
    </row>
    <row r="256" spans="1:3" x14ac:dyDescent="0.4">
      <c r="A256" s="66" t="s">
        <v>315</v>
      </c>
      <c r="B256">
        <f t="shared" si="12"/>
        <v>5150</v>
      </c>
      <c r="C256" t="str">
        <f t="shared" si="13"/>
        <v xml:space="preserve"> Equipo de cómputo y de tecnologías de la información</v>
      </c>
    </row>
    <row r="257" spans="1:3" x14ac:dyDescent="0.4">
      <c r="A257" s="66" t="s">
        <v>316</v>
      </c>
      <c r="B257">
        <f t="shared" si="12"/>
        <v>5190</v>
      </c>
      <c r="C257" t="str">
        <f t="shared" si="13"/>
        <v xml:space="preserve"> Otros mobiliarios y equipos de administración</v>
      </c>
    </row>
    <row r="258" spans="1:3" x14ac:dyDescent="0.4">
      <c r="A258" s="66" t="s">
        <v>317</v>
      </c>
      <c r="B258">
        <f t="shared" si="12"/>
        <v>5200</v>
      </c>
      <c r="C258" t="str">
        <f t="shared" si="13"/>
        <v xml:space="preserve"> MOBILIARIO YEQUIPO EDUCACIONAL Y RECREATIVO</v>
      </c>
    </row>
    <row r="259" spans="1:3" x14ac:dyDescent="0.4">
      <c r="A259" s="66" t="s">
        <v>318</v>
      </c>
      <c r="B259">
        <f t="shared" si="12"/>
        <v>5210</v>
      </c>
      <c r="C259" t="str">
        <f t="shared" si="13"/>
        <v xml:space="preserve"> Equipos y aparatos audiovisuales</v>
      </c>
    </row>
    <row r="260" spans="1:3" x14ac:dyDescent="0.4">
      <c r="A260" s="66" t="s">
        <v>319</v>
      </c>
      <c r="B260">
        <f t="shared" si="12"/>
        <v>5220</v>
      </c>
      <c r="C260" t="str">
        <f t="shared" si="13"/>
        <v xml:space="preserve"> Aparatos deportivos</v>
      </c>
    </row>
    <row r="261" spans="1:3" x14ac:dyDescent="0.4">
      <c r="A261" s="66" t="s">
        <v>320</v>
      </c>
      <c r="B261">
        <f t="shared" si="12"/>
        <v>5230</v>
      </c>
      <c r="C261" t="str">
        <f t="shared" si="13"/>
        <v xml:space="preserve"> Cámaras fotográficas y de video</v>
      </c>
    </row>
    <row r="262" spans="1:3" x14ac:dyDescent="0.4">
      <c r="A262" s="66" t="s">
        <v>321</v>
      </c>
      <c r="B262">
        <f t="shared" si="12"/>
        <v>5290</v>
      </c>
      <c r="C262" t="str">
        <f t="shared" si="13"/>
        <v xml:space="preserve"> Otro mobiliario y equipo educacional y recreativo</v>
      </c>
    </row>
    <row r="263" spans="1:3" x14ac:dyDescent="0.4">
      <c r="A263" s="66" t="s">
        <v>322</v>
      </c>
      <c r="B263">
        <f t="shared" si="12"/>
        <v>5300</v>
      </c>
      <c r="C263" t="str">
        <f t="shared" si="13"/>
        <v xml:space="preserve"> EQUIPO E INSTRUMENTAL MÉDICO Y DE LABORATORIO</v>
      </c>
    </row>
    <row r="264" spans="1:3" x14ac:dyDescent="0.4">
      <c r="A264" s="66" t="s">
        <v>323</v>
      </c>
      <c r="B264">
        <f t="shared" si="12"/>
        <v>5310</v>
      </c>
      <c r="C264" t="str">
        <f t="shared" si="13"/>
        <v xml:space="preserve"> Equipo médico y de laboratorio</v>
      </c>
    </row>
    <row r="265" spans="1:3" x14ac:dyDescent="0.4">
      <c r="A265" s="66" t="s">
        <v>324</v>
      </c>
      <c r="B265">
        <f t="shared" si="12"/>
        <v>5320</v>
      </c>
      <c r="C265" t="str">
        <f t="shared" si="13"/>
        <v xml:space="preserve"> Instrumental médico y de laboratorio</v>
      </c>
    </row>
    <row r="266" spans="1:3" x14ac:dyDescent="0.4">
      <c r="A266" s="66" t="s">
        <v>325</v>
      </c>
      <c r="B266">
        <f t="shared" si="12"/>
        <v>5400</v>
      </c>
      <c r="C266" t="str">
        <f t="shared" si="13"/>
        <v xml:space="preserve"> VEHÍCULOS Y EQUIPO DE TRANSPORTE</v>
      </c>
    </row>
    <row r="267" spans="1:3" x14ac:dyDescent="0.4">
      <c r="A267" s="66" t="s">
        <v>326</v>
      </c>
      <c r="B267">
        <f t="shared" si="12"/>
        <v>5410</v>
      </c>
      <c r="C267" t="str">
        <f t="shared" si="13"/>
        <v xml:space="preserve"> Automóviles y camiones</v>
      </c>
    </row>
    <row r="268" spans="1:3" x14ac:dyDescent="0.4">
      <c r="A268" s="66" t="s">
        <v>327</v>
      </c>
      <c r="B268">
        <f t="shared" si="12"/>
        <v>5420</v>
      </c>
      <c r="C268" t="str">
        <f t="shared" si="13"/>
        <v xml:space="preserve"> Carrocerías y remolques</v>
      </c>
    </row>
    <row r="269" spans="1:3" x14ac:dyDescent="0.4">
      <c r="A269" s="66" t="s">
        <v>328</v>
      </c>
      <c r="B269">
        <f t="shared" si="12"/>
        <v>5430</v>
      </c>
      <c r="C269" t="str">
        <f t="shared" si="13"/>
        <v xml:space="preserve"> Equipo aeroespacial</v>
      </c>
    </row>
    <row r="270" spans="1:3" x14ac:dyDescent="0.4">
      <c r="A270" s="66" t="s">
        <v>329</v>
      </c>
      <c r="B270">
        <f t="shared" si="12"/>
        <v>5440</v>
      </c>
      <c r="C270" t="str">
        <f t="shared" si="13"/>
        <v xml:space="preserve"> Equipo ferroviario</v>
      </c>
    </row>
    <row r="271" spans="1:3" x14ac:dyDescent="0.4">
      <c r="A271" s="66" t="s">
        <v>330</v>
      </c>
      <c r="B271">
        <f t="shared" si="12"/>
        <v>5450</v>
      </c>
      <c r="C271" t="str">
        <f t="shared" si="13"/>
        <v xml:space="preserve"> Embarcaciones</v>
      </c>
    </row>
    <row r="272" spans="1:3" x14ac:dyDescent="0.4">
      <c r="A272" s="66" t="s">
        <v>331</v>
      </c>
      <c r="B272">
        <f t="shared" si="12"/>
        <v>5490</v>
      </c>
      <c r="C272" t="str">
        <f t="shared" si="13"/>
        <v xml:space="preserve"> Otros equipos de transporte</v>
      </c>
    </row>
    <row r="273" spans="1:3" x14ac:dyDescent="0.4">
      <c r="A273" s="66" t="s">
        <v>332</v>
      </c>
      <c r="B273">
        <f t="shared" si="12"/>
        <v>5500</v>
      </c>
      <c r="C273" t="str">
        <f t="shared" si="13"/>
        <v xml:space="preserve"> EQUIPO DE DEFENSA Y SEGURIDAD</v>
      </c>
    </row>
    <row r="274" spans="1:3" x14ac:dyDescent="0.4">
      <c r="A274" s="66" t="s">
        <v>333</v>
      </c>
      <c r="B274">
        <f t="shared" si="12"/>
        <v>5510</v>
      </c>
      <c r="C274" t="str">
        <f t="shared" si="13"/>
        <v xml:space="preserve"> Equipo de defensa y seguridad</v>
      </c>
    </row>
    <row r="275" spans="1:3" x14ac:dyDescent="0.4">
      <c r="A275" s="66" t="s">
        <v>334</v>
      </c>
      <c r="B275">
        <f t="shared" si="12"/>
        <v>5600</v>
      </c>
      <c r="C275" t="str">
        <f t="shared" si="13"/>
        <v xml:space="preserve"> MAQUINARIA, OTROS EQUIPOS Y HERRAMIENTAS</v>
      </c>
    </row>
    <row r="276" spans="1:3" x14ac:dyDescent="0.4">
      <c r="A276" s="66" t="s">
        <v>335</v>
      </c>
      <c r="B276">
        <f t="shared" si="12"/>
        <v>5610</v>
      </c>
      <c r="C276" t="str">
        <f t="shared" si="13"/>
        <v xml:space="preserve"> Maquinaria y equipo agropecuario</v>
      </c>
    </row>
    <row r="277" spans="1:3" x14ac:dyDescent="0.4">
      <c r="A277" s="66" t="s">
        <v>336</v>
      </c>
      <c r="B277">
        <f t="shared" si="12"/>
        <v>5620</v>
      </c>
      <c r="C277" t="str">
        <f t="shared" si="13"/>
        <v xml:space="preserve"> Maquinaria y equipo industrial</v>
      </c>
    </row>
    <row r="278" spans="1:3" x14ac:dyDescent="0.4">
      <c r="A278" s="66" t="s">
        <v>337</v>
      </c>
      <c r="B278">
        <f t="shared" si="12"/>
        <v>5630</v>
      </c>
      <c r="C278" t="str">
        <f t="shared" si="13"/>
        <v xml:space="preserve"> Maquinaria y equipo de construcción</v>
      </c>
    </row>
    <row r="279" spans="1:3" x14ac:dyDescent="0.4">
      <c r="A279" s="66" t="s">
        <v>338</v>
      </c>
      <c r="B279">
        <f t="shared" si="12"/>
        <v>5640</v>
      </c>
      <c r="C279" t="str">
        <f t="shared" si="13"/>
        <v xml:space="preserve"> Sistemas de aire acondicionado, calefacción y de refrigeración industrial y</v>
      </c>
    </row>
    <row r="280" spans="1:3" x14ac:dyDescent="0.4">
      <c r="A280" s="66" t="s">
        <v>339</v>
      </c>
      <c r="B280">
        <f t="shared" si="12"/>
        <v>5650</v>
      </c>
      <c r="C280" t="str">
        <f t="shared" si="13"/>
        <v xml:space="preserve"> Equipo de comunicación y telecomunicación</v>
      </c>
    </row>
    <row r="281" spans="1:3" x14ac:dyDescent="0.4">
      <c r="A281" s="66" t="s">
        <v>340</v>
      </c>
      <c r="B281">
        <f t="shared" si="12"/>
        <v>5660</v>
      </c>
      <c r="C281" t="str">
        <f t="shared" si="13"/>
        <v xml:space="preserve"> Equipos de generación eléctrica, aparatos y accesorios eléctricos</v>
      </c>
    </row>
    <row r="282" spans="1:3" x14ac:dyDescent="0.4">
      <c r="A282" s="66" t="s">
        <v>341</v>
      </c>
      <c r="B282">
        <f t="shared" si="12"/>
        <v>5670</v>
      </c>
      <c r="C282" t="str">
        <f t="shared" si="13"/>
        <v xml:space="preserve"> Herramientas y máquinas - herramienta</v>
      </c>
    </row>
    <row r="283" spans="1:3" x14ac:dyDescent="0.4">
      <c r="A283" s="66" t="s">
        <v>342</v>
      </c>
      <c r="B283">
        <f t="shared" si="12"/>
        <v>5690</v>
      </c>
      <c r="C283" t="str">
        <f t="shared" si="13"/>
        <v xml:space="preserve"> Otros equipos</v>
      </c>
    </row>
    <row r="284" spans="1:3" x14ac:dyDescent="0.4">
      <c r="A284" s="66" t="s">
        <v>343</v>
      </c>
      <c r="B284">
        <f t="shared" si="12"/>
        <v>5700</v>
      </c>
      <c r="C284" t="str">
        <f t="shared" si="13"/>
        <v xml:space="preserve"> ACTIVOS BIOLÓGICOS</v>
      </c>
    </row>
    <row r="285" spans="1:3" x14ac:dyDescent="0.4">
      <c r="A285" s="66" t="s">
        <v>344</v>
      </c>
      <c r="B285">
        <f t="shared" si="12"/>
        <v>5710</v>
      </c>
      <c r="C285" t="str">
        <f t="shared" si="13"/>
        <v xml:space="preserve"> Bovinos</v>
      </c>
    </row>
    <row r="286" spans="1:3" x14ac:dyDescent="0.4">
      <c r="A286" s="66" t="s">
        <v>345</v>
      </c>
      <c r="B286">
        <f t="shared" si="12"/>
        <v>5720</v>
      </c>
      <c r="C286" t="str">
        <f t="shared" si="13"/>
        <v xml:space="preserve"> Porcinos</v>
      </c>
    </row>
    <row r="287" spans="1:3" x14ac:dyDescent="0.4">
      <c r="A287" s="66" t="s">
        <v>346</v>
      </c>
      <c r="B287">
        <f t="shared" si="12"/>
        <v>5730</v>
      </c>
      <c r="C287" t="str">
        <f t="shared" si="13"/>
        <v xml:space="preserve"> Aves</v>
      </c>
    </row>
    <row r="288" spans="1:3" x14ac:dyDescent="0.4">
      <c r="A288" s="66" t="s">
        <v>347</v>
      </c>
      <c r="B288">
        <f t="shared" si="12"/>
        <v>5740</v>
      </c>
      <c r="C288" t="str">
        <f t="shared" si="13"/>
        <v xml:space="preserve"> Ovinos y caprinos</v>
      </c>
    </row>
    <row r="289" spans="1:3" x14ac:dyDescent="0.4">
      <c r="A289" s="66" t="s">
        <v>348</v>
      </c>
      <c r="B289">
        <f t="shared" si="12"/>
        <v>5750</v>
      </c>
      <c r="C289" t="str">
        <f t="shared" si="13"/>
        <v xml:space="preserve"> Peces y acuicultura</v>
      </c>
    </row>
    <row r="290" spans="1:3" x14ac:dyDescent="0.4">
      <c r="A290" s="66" t="s">
        <v>349</v>
      </c>
      <c r="B290">
        <f t="shared" si="12"/>
        <v>5760</v>
      </c>
      <c r="C290" t="str">
        <f t="shared" si="13"/>
        <v xml:space="preserve"> Equinos</v>
      </c>
    </row>
    <row r="291" spans="1:3" x14ac:dyDescent="0.4">
      <c r="A291" s="66" t="s">
        <v>350</v>
      </c>
      <c r="B291">
        <f t="shared" si="12"/>
        <v>5770</v>
      </c>
      <c r="C291" t="str">
        <f t="shared" si="13"/>
        <v xml:space="preserve"> Especies menores y de zoológico</v>
      </c>
    </row>
    <row r="292" spans="1:3" x14ac:dyDescent="0.4">
      <c r="A292" s="66" t="s">
        <v>351</v>
      </c>
      <c r="B292">
        <f t="shared" si="12"/>
        <v>5780</v>
      </c>
      <c r="C292" t="str">
        <f t="shared" si="13"/>
        <v xml:space="preserve"> Árboles y plantas</v>
      </c>
    </row>
    <row r="293" spans="1:3" x14ac:dyDescent="0.4">
      <c r="A293" s="66" t="s">
        <v>352</v>
      </c>
      <c r="B293">
        <f t="shared" si="12"/>
        <v>5790</v>
      </c>
      <c r="C293" t="str">
        <f t="shared" si="13"/>
        <v xml:space="preserve"> Otros activos biológicos</v>
      </c>
    </row>
    <row r="294" spans="1:3" x14ac:dyDescent="0.4">
      <c r="A294" s="66" t="s">
        <v>353</v>
      </c>
      <c r="B294">
        <f t="shared" si="12"/>
        <v>5800</v>
      </c>
      <c r="C294" t="str">
        <f t="shared" si="13"/>
        <v xml:space="preserve"> BIENES INMUEBLES</v>
      </c>
    </row>
    <row r="295" spans="1:3" x14ac:dyDescent="0.4">
      <c r="A295" s="66" t="s">
        <v>354</v>
      </c>
      <c r="B295">
        <f t="shared" si="12"/>
        <v>5810</v>
      </c>
      <c r="C295" t="str">
        <f t="shared" si="13"/>
        <v xml:space="preserve"> Terrenos</v>
      </c>
    </row>
    <row r="296" spans="1:3" x14ac:dyDescent="0.4">
      <c r="A296" s="66" t="s">
        <v>355</v>
      </c>
      <c r="B296">
        <f t="shared" si="12"/>
        <v>5820</v>
      </c>
      <c r="C296" t="str">
        <f t="shared" si="13"/>
        <v xml:space="preserve"> Viviendas</v>
      </c>
    </row>
    <row r="297" spans="1:3" x14ac:dyDescent="0.4">
      <c r="A297" s="66" t="s">
        <v>356</v>
      </c>
      <c r="B297">
        <f t="shared" si="12"/>
        <v>5830</v>
      </c>
      <c r="C297" t="str">
        <f t="shared" si="13"/>
        <v xml:space="preserve"> Edificios no residenciales</v>
      </c>
    </row>
    <row r="298" spans="1:3" x14ac:dyDescent="0.4">
      <c r="A298" s="66" t="s">
        <v>357</v>
      </c>
      <c r="B298">
        <f t="shared" si="12"/>
        <v>5890</v>
      </c>
      <c r="C298" t="str">
        <f t="shared" si="13"/>
        <v xml:space="preserve"> Otros bienes inmuebles</v>
      </c>
    </row>
    <row r="299" spans="1:3" x14ac:dyDescent="0.4">
      <c r="A299" s="66" t="s">
        <v>358</v>
      </c>
      <c r="B299">
        <f t="shared" si="12"/>
        <v>5900</v>
      </c>
      <c r="C299" t="str">
        <f t="shared" si="13"/>
        <v xml:space="preserve"> ACTIVOS INTANGIBLES</v>
      </c>
    </row>
    <row r="300" spans="1:3" x14ac:dyDescent="0.4">
      <c r="A300" s="66" t="s">
        <v>359</v>
      </c>
      <c r="B300">
        <f t="shared" si="12"/>
        <v>5910</v>
      </c>
      <c r="C300" t="str">
        <f t="shared" si="13"/>
        <v xml:space="preserve"> Software</v>
      </c>
    </row>
    <row r="301" spans="1:3" x14ac:dyDescent="0.4">
      <c r="A301" s="66" t="s">
        <v>360</v>
      </c>
      <c r="B301">
        <f t="shared" si="12"/>
        <v>5920</v>
      </c>
      <c r="C301" t="str">
        <f t="shared" si="13"/>
        <v xml:space="preserve"> Patentes</v>
      </c>
    </row>
    <row r="302" spans="1:3" x14ac:dyDescent="0.4">
      <c r="A302" s="66" t="s">
        <v>361</v>
      </c>
      <c r="B302">
        <f t="shared" si="12"/>
        <v>5930</v>
      </c>
      <c r="C302" t="str">
        <f t="shared" si="13"/>
        <v xml:space="preserve"> Marcas</v>
      </c>
    </row>
    <row r="303" spans="1:3" x14ac:dyDescent="0.4">
      <c r="A303" s="66" t="s">
        <v>362</v>
      </c>
      <c r="B303">
        <f t="shared" si="12"/>
        <v>5940</v>
      </c>
      <c r="C303" t="str">
        <f t="shared" si="13"/>
        <v xml:space="preserve"> Derechos</v>
      </c>
    </row>
    <row r="304" spans="1:3" x14ac:dyDescent="0.4">
      <c r="A304" s="66" t="s">
        <v>363</v>
      </c>
      <c r="B304">
        <f t="shared" si="12"/>
        <v>5950</v>
      </c>
      <c r="C304" t="str">
        <f t="shared" si="13"/>
        <v xml:space="preserve"> Concesiones</v>
      </c>
    </row>
    <row r="305" spans="1:3" x14ac:dyDescent="0.4">
      <c r="A305" s="66" t="s">
        <v>364</v>
      </c>
      <c r="B305">
        <f t="shared" si="12"/>
        <v>5960</v>
      </c>
      <c r="C305" t="str">
        <f t="shared" si="13"/>
        <v xml:space="preserve"> Franquicias</v>
      </c>
    </row>
    <row r="306" spans="1:3" x14ac:dyDescent="0.4">
      <c r="A306" s="66" t="s">
        <v>365</v>
      </c>
      <c r="B306">
        <f t="shared" si="12"/>
        <v>5970</v>
      </c>
      <c r="C306" t="str">
        <f t="shared" si="13"/>
        <v xml:space="preserve"> Licencias informáticas e intelectuales</v>
      </c>
    </row>
    <row r="307" spans="1:3" x14ac:dyDescent="0.4">
      <c r="A307" s="66" t="s">
        <v>366</v>
      </c>
      <c r="B307">
        <f t="shared" si="12"/>
        <v>5980</v>
      </c>
      <c r="C307" t="str">
        <f t="shared" si="13"/>
        <v xml:space="preserve"> Licencias industriales, comerciales y otras</v>
      </c>
    </row>
    <row r="308" spans="1:3" x14ac:dyDescent="0.4">
      <c r="A308" s="66" t="s">
        <v>367</v>
      </c>
      <c r="B308">
        <f t="shared" si="12"/>
        <v>5990</v>
      </c>
      <c r="C308" t="str">
        <f t="shared" si="13"/>
        <v xml:space="preserve"> Otros activos intangibles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7"/>
  <sheetViews>
    <sheetView topLeftCell="A10" workbookViewId="0">
      <selection sqref="A1:A1048576"/>
    </sheetView>
  </sheetViews>
  <sheetFormatPr baseColWidth="10" defaultRowHeight="15" x14ac:dyDescent="0.25"/>
  <cols>
    <col min="1" max="1" width="23.5703125" style="2" bestFit="1" customWidth="1"/>
    <col min="2" max="2" width="37.7109375" bestFit="1" customWidth="1"/>
  </cols>
  <sheetData>
    <row r="1" spans="1:2" x14ac:dyDescent="0.25">
      <c r="A1" s="2" t="s">
        <v>34</v>
      </c>
      <c r="B1" t="s">
        <v>35</v>
      </c>
    </row>
    <row r="2" spans="1:2" x14ac:dyDescent="0.25">
      <c r="A2" t="s">
        <v>368</v>
      </c>
      <c r="B2" s="3" t="s">
        <v>36</v>
      </c>
    </row>
    <row r="3" spans="1:2" x14ac:dyDescent="0.25">
      <c r="A3" t="s">
        <v>369</v>
      </c>
      <c r="B3" s="4"/>
    </row>
    <row r="4" spans="1:2" x14ac:dyDescent="0.25">
      <c r="A4" t="s">
        <v>370</v>
      </c>
      <c r="B4" s="4"/>
    </row>
    <row r="5" spans="1:2" x14ac:dyDescent="0.25">
      <c r="A5" t="s">
        <v>371</v>
      </c>
      <c r="B5" s="4" t="s">
        <v>37</v>
      </c>
    </row>
    <row r="6" spans="1:2" x14ac:dyDescent="0.25">
      <c r="A6" t="s">
        <v>372</v>
      </c>
      <c r="B6" s="5" t="s">
        <v>38</v>
      </c>
    </row>
    <row r="7" spans="1:2" x14ac:dyDescent="0.25">
      <c r="A7" t="s">
        <v>373</v>
      </c>
      <c r="B7" s="5" t="s">
        <v>39</v>
      </c>
    </row>
    <row r="8" spans="1:2" x14ac:dyDescent="0.25">
      <c r="A8" t="s">
        <v>374</v>
      </c>
      <c r="B8" s="5" t="s">
        <v>40</v>
      </c>
    </row>
    <row r="9" spans="1:2" x14ac:dyDescent="0.25">
      <c r="A9" t="s">
        <v>375</v>
      </c>
      <c r="B9" s="5" t="s">
        <v>41</v>
      </c>
    </row>
    <row r="10" spans="1:2" x14ac:dyDescent="0.25">
      <c r="A10" t="s">
        <v>376</v>
      </c>
      <c r="B10" s="3" t="s">
        <v>36</v>
      </c>
    </row>
    <row r="11" spans="1:2" x14ac:dyDescent="0.25">
      <c r="A11" t="s">
        <v>377</v>
      </c>
      <c r="B11" s="5" t="s">
        <v>42</v>
      </c>
    </row>
    <row r="12" spans="1:2" x14ac:dyDescent="0.25">
      <c r="A12" t="s">
        <v>378</v>
      </c>
      <c r="B12" s="5" t="s">
        <v>42</v>
      </c>
    </row>
    <row r="13" spans="1:2" x14ac:dyDescent="0.25">
      <c r="A13" t="s">
        <v>379</v>
      </c>
      <c r="B13" s="5" t="s">
        <v>42</v>
      </c>
    </row>
    <row r="14" spans="1:2" x14ac:dyDescent="0.25">
      <c r="A14" t="s">
        <v>380</v>
      </c>
      <c r="B14" s="3" t="s">
        <v>43</v>
      </c>
    </row>
    <row r="15" spans="1:2" x14ac:dyDescent="0.25">
      <c r="A15" t="s">
        <v>381</v>
      </c>
      <c r="B15" s="3" t="s">
        <v>43</v>
      </c>
    </row>
    <row r="16" spans="1:2" x14ac:dyDescent="0.25">
      <c r="A16" t="s">
        <v>382</v>
      </c>
      <c r="B16" s="3" t="s">
        <v>43</v>
      </c>
    </row>
    <row r="17" spans="1:2" x14ac:dyDescent="0.25">
      <c r="A17" t="s">
        <v>383</v>
      </c>
      <c r="B17" s="6" t="s">
        <v>44</v>
      </c>
    </row>
    <row r="18" spans="1:2" x14ac:dyDescent="0.25">
      <c r="A18" t="s">
        <v>384</v>
      </c>
      <c r="B18" s="5" t="s">
        <v>45</v>
      </c>
    </row>
    <row r="19" spans="1:2" x14ac:dyDescent="0.25">
      <c r="A19" t="s">
        <v>385</v>
      </c>
      <c r="B19" s="3" t="s">
        <v>46</v>
      </c>
    </row>
    <row r="20" spans="1:2" x14ac:dyDescent="0.25">
      <c r="A20" t="s">
        <v>386</v>
      </c>
      <c r="B20" s="3" t="s">
        <v>46</v>
      </c>
    </row>
    <row r="21" spans="1:2" x14ac:dyDescent="0.25">
      <c r="A21" t="s">
        <v>387</v>
      </c>
      <c r="B21" s="3" t="s">
        <v>46</v>
      </c>
    </row>
    <row r="22" spans="1:2" x14ac:dyDescent="0.25">
      <c r="A22" t="s">
        <v>388</v>
      </c>
      <c r="B22" s="5" t="s">
        <v>38</v>
      </c>
    </row>
    <row r="23" spans="1:2" x14ac:dyDescent="0.25">
      <c r="A23" t="s">
        <v>389</v>
      </c>
      <c r="B23" s="5" t="s">
        <v>38</v>
      </c>
    </row>
    <row r="24" spans="1:2" x14ac:dyDescent="0.25">
      <c r="A24" t="s">
        <v>390</v>
      </c>
      <c r="B24" s="6" t="s">
        <v>47</v>
      </c>
    </row>
    <row r="25" spans="1:2" x14ac:dyDescent="0.25">
      <c r="A25" t="s">
        <v>391</v>
      </c>
      <c r="B25" s="6" t="s">
        <v>47</v>
      </c>
    </row>
    <row r="26" spans="1:2" x14ac:dyDescent="0.25">
      <c r="A26" t="s">
        <v>392</v>
      </c>
      <c r="B26" s="3" t="s">
        <v>43</v>
      </c>
    </row>
    <row r="27" spans="1:2" x14ac:dyDescent="0.25">
      <c r="A27" t="s">
        <v>393</v>
      </c>
      <c r="B27" s="5" t="s">
        <v>42</v>
      </c>
    </row>
    <row r="28" spans="1:2" x14ac:dyDescent="0.25">
      <c r="A28" t="s">
        <v>394</v>
      </c>
      <c r="B28" s="3" t="s">
        <v>46</v>
      </c>
    </row>
    <row r="29" spans="1:2" x14ac:dyDescent="0.25">
      <c r="A29" t="s">
        <v>395</v>
      </c>
      <c r="B29" s="3" t="s">
        <v>46</v>
      </c>
    </row>
    <row r="30" spans="1:2" x14ac:dyDescent="0.25">
      <c r="A30" t="s">
        <v>396</v>
      </c>
      <c r="B30" s="3" t="s">
        <v>46</v>
      </c>
    </row>
    <row r="31" spans="1:2" x14ac:dyDescent="0.25">
      <c r="A31" t="s">
        <v>397</v>
      </c>
      <c r="B31" s="3" t="s">
        <v>46</v>
      </c>
    </row>
    <row r="32" spans="1:2" x14ac:dyDescent="0.25">
      <c r="A32" t="s">
        <v>398</v>
      </c>
      <c r="B32" s="3" t="s">
        <v>46</v>
      </c>
    </row>
    <row r="33" spans="1:2" x14ac:dyDescent="0.25">
      <c r="A33" t="s">
        <v>399</v>
      </c>
      <c r="B33" s="3" t="s">
        <v>43</v>
      </c>
    </row>
    <row r="34" spans="1:2" x14ac:dyDescent="0.25">
      <c r="A34" t="s">
        <v>400</v>
      </c>
      <c r="B34" s="3" t="s">
        <v>43</v>
      </c>
    </row>
    <row r="35" spans="1:2" x14ac:dyDescent="0.25">
      <c r="A35" t="s">
        <v>401</v>
      </c>
    </row>
    <row r="36" spans="1:2" x14ac:dyDescent="0.25">
      <c r="A36" t="s">
        <v>402</v>
      </c>
    </row>
    <row r="37" spans="1:2" x14ac:dyDescent="0.25">
      <c r="A37" t="s">
        <v>403</v>
      </c>
    </row>
    <row r="38" spans="1:2" x14ac:dyDescent="0.25">
      <c r="A38"/>
    </row>
    <row r="39" spans="1:2" x14ac:dyDescent="0.25">
      <c r="A39"/>
    </row>
    <row r="40" spans="1:2" x14ac:dyDescent="0.25">
      <c r="A40"/>
    </row>
    <row r="41" spans="1:2" x14ac:dyDescent="0.25">
      <c r="A41"/>
    </row>
    <row r="42" spans="1:2" x14ac:dyDescent="0.25">
      <c r="A42"/>
    </row>
    <row r="43" spans="1:2" x14ac:dyDescent="0.25">
      <c r="A43"/>
    </row>
    <row r="44" spans="1:2" x14ac:dyDescent="0.25">
      <c r="A44"/>
    </row>
    <row r="45" spans="1:2" x14ac:dyDescent="0.25">
      <c r="A45"/>
    </row>
    <row r="46" spans="1:2" x14ac:dyDescent="0.25">
      <c r="A46"/>
    </row>
    <row r="47" spans="1:2" x14ac:dyDescent="0.25">
      <c r="A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PROYECTO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2019-07-15T15:35:35Z</cp:lastPrinted>
  <dcterms:created xsi:type="dcterms:W3CDTF">2016-02-08T15:52:06Z</dcterms:created>
  <dcterms:modified xsi:type="dcterms:W3CDTF">2020-01-13T16:44:45Z</dcterms:modified>
</cp:coreProperties>
</file>