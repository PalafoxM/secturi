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gonzalez\Documents\"/>
    </mc:Choice>
  </mc:AlternateContent>
  <bookViews>
    <workbookView xWindow="0" yWindow="0" windowWidth="28800" windowHeight="12330"/>
  </bookViews>
  <sheets>
    <sheet name="SSP_2020" sheetId="1" r:id="rId1"/>
    <sheet name="Hoja2" sheetId="2" state="hidden" r:id="rId2"/>
    <sheet name="Hoja3" sheetId="3" state="hidden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8" i="1" l="1"/>
  <c r="B140" i="2"/>
  <c r="C147" i="2"/>
  <c r="B148" i="2"/>
  <c r="B151" i="2"/>
  <c r="B211" i="2"/>
  <c r="B120" i="2"/>
  <c r="C149" i="2"/>
  <c r="B60" i="2"/>
  <c r="C8" i="2"/>
  <c r="C37" i="2"/>
  <c r="B196" i="2"/>
  <c r="B249" i="2"/>
  <c r="C242" i="2"/>
  <c r="C247" i="2"/>
  <c r="C30" i="2"/>
  <c r="B96" i="2"/>
  <c r="B162" i="2"/>
  <c r="B201" i="2"/>
  <c r="C146" i="2"/>
  <c r="C176" i="2"/>
  <c r="B134" i="2"/>
  <c r="C183" i="2"/>
  <c r="C187" i="2"/>
  <c r="B178" i="2"/>
  <c r="B137" i="2"/>
  <c r="B67" i="2"/>
  <c r="B35" i="2"/>
  <c r="B47" i="2"/>
  <c r="B80" i="2"/>
  <c r="B29" i="2"/>
  <c r="B195" i="2"/>
  <c r="C241" i="2"/>
  <c r="C133" i="2"/>
  <c r="B245" i="2"/>
  <c r="B244" i="2"/>
  <c r="B109" i="2"/>
  <c r="B132" i="2"/>
  <c r="C51" i="2"/>
  <c r="B2" i="2"/>
  <c r="B202" i="2"/>
  <c r="C115" i="2"/>
  <c r="B114" i="2"/>
  <c r="B119" i="2"/>
  <c r="B147" i="2"/>
  <c r="B88" i="2"/>
  <c r="B91" i="2"/>
  <c r="B231" i="2"/>
  <c r="C237" i="2"/>
  <c r="B95" i="2"/>
  <c r="B99" i="2"/>
  <c r="C206" i="2"/>
  <c r="C74" i="2"/>
  <c r="B177" i="2"/>
  <c r="B175" i="2"/>
  <c r="C132" i="2"/>
  <c r="C210" i="2"/>
  <c r="B55" i="2"/>
  <c r="C65" i="2"/>
  <c r="B13" i="2"/>
  <c r="C109" i="2"/>
  <c r="C197" i="2"/>
  <c r="C140" i="2"/>
  <c r="B89" i="2"/>
  <c r="C64" i="2"/>
  <c r="C41" i="2"/>
  <c r="B235" i="2"/>
  <c r="B44" i="2"/>
  <c r="B225" i="2"/>
  <c r="B128" i="2"/>
  <c r="C157" i="2"/>
  <c r="B129" i="2"/>
  <c r="B188" i="2"/>
  <c r="B8" i="2"/>
  <c r="C95" i="2"/>
  <c r="C137" i="2"/>
  <c r="C77" i="2"/>
  <c r="C32" i="2"/>
  <c r="C80" i="2"/>
  <c r="C85" i="2"/>
  <c r="C89" i="2"/>
  <c r="B234" i="2"/>
  <c r="C117" i="2"/>
  <c r="B208" i="2"/>
  <c r="C97" i="2"/>
  <c r="B136" i="2"/>
  <c r="C31" i="2"/>
  <c r="B76" i="2"/>
  <c r="C114" i="2"/>
  <c r="B156" i="2"/>
  <c r="C12" i="2"/>
  <c r="C128" i="2"/>
  <c r="B171" i="2"/>
  <c r="C10" i="2"/>
  <c r="B186" i="2"/>
  <c r="B164" i="2"/>
  <c r="B37" i="2"/>
  <c r="B145" i="2"/>
  <c r="C11" i="2"/>
  <c r="B40" i="2"/>
  <c r="B22" i="2"/>
  <c r="B210" i="2"/>
  <c r="C159" i="2"/>
  <c r="C16" i="2"/>
  <c r="C40" i="2"/>
  <c r="C33" i="2"/>
  <c r="B116" i="2"/>
  <c r="B70" i="2"/>
  <c r="B121" i="2"/>
  <c r="C150" i="2"/>
  <c r="B209" i="2"/>
  <c r="B143" i="2"/>
  <c r="B101" i="2"/>
  <c r="C245" i="2"/>
  <c r="B239" i="2"/>
  <c r="C199" i="2"/>
  <c r="C55" i="2"/>
  <c r="B84" i="2"/>
  <c r="B123" i="2"/>
  <c r="B232" i="2"/>
  <c r="C231" i="2"/>
  <c r="C82" i="2"/>
  <c r="B104" i="2"/>
  <c r="C182" i="2"/>
  <c r="B240" i="2"/>
  <c r="B16" i="2"/>
  <c r="C158" i="2"/>
  <c r="B246" i="2"/>
  <c r="C233" i="2"/>
  <c r="B241" i="2"/>
  <c r="B237" i="2"/>
  <c r="B168" i="2"/>
  <c r="B197" i="2"/>
  <c r="B30" i="2"/>
  <c r="C24" i="2"/>
  <c r="C243" i="2"/>
  <c r="B108" i="2"/>
  <c r="B247" i="2"/>
  <c r="B68" i="2"/>
  <c r="B229" i="2"/>
  <c r="C207" i="2"/>
  <c r="C219" i="2"/>
  <c r="B230" i="2"/>
  <c r="B223" i="2"/>
  <c r="C215" i="2"/>
  <c r="B87" i="2"/>
  <c r="B83" i="2"/>
  <c r="C105" i="2"/>
  <c r="B48" i="2"/>
  <c r="B21" i="2"/>
  <c r="B214" i="2"/>
  <c r="C26" i="2"/>
  <c r="B180" i="2"/>
  <c r="C174" i="2"/>
  <c r="B92" i="2"/>
  <c r="B42" i="2"/>
  <c r="C179" i="2"/>
  <c r="C113" i="2"/>
  <c r="C116" i="2"/>
  <c r="C93" i="2"/>
  <c r="B184" i="2"/>
  <c r="C213" i="2"/>
  <c r="B122" i="2"/>
  <c r="C56" i="2"/>
  <c r="C198" i="2"/>
  <c r="C126" i="2"/>
  <c r="C103" i="2"/>
  <c r="C201" i="2"/>
  <c r="B113" i="2"/>
  <c r="B205" i="2"/>
  <c r="C101" i="2"/>
  <c r="B69" i="2"/>
  <c r="C221" i="2"/>
  <c r="C177" i="2"/>
  <c r="B17" i="2"/>
  <c r="B181" i="2"/>
  <c r="B100" i="2"/>
  <c r="B45" i="2"/>
  <c r="C127" i="2"/>
  <c r="B146" i="2"/>
  <c r="C119" i="2"/>
  <c r="B154" i="2"/>
  <c r="B86" i="2"/>
  <c r="B19" i="2"/>
  <c r="C136" i="2"/>
  <c r="B139" i="2"/>
  <c r="C248" i="2"/>
  <c r="C129" i="2"/>
  <c r="C18" i="2"/>
  <c r="B6" i="2"/>
  <c r="B11" i="2"/>
  <c r="C123" i="2"/>
  <c r="B127" i="2"/>
  <c r="C238" i="2"/>
  <c r="C186" i="2"/>
  <c r="B103" i="2"/>
  <c r="C214" i="2"/>
  <c r="C78" i="2"/>
  <c r="C29" i="2"/>
  <c r="C163" i="2"/>
  <c r="B141" i="2"/>
  <c r="C244" i="2"/>
  <c r="B75" i="2"/>
  <c r="C108" i="2"/>
  <c r="C13" i="2"/>
  <c r="B152" i="2"/>
  <c r="C181" i="2"/>
  <c r="C25" i="2"/>
  <c r="B7" i="2"/>
  <c r="C170" i="2"/>
  <c r="C118" i="2"/>
  <c r="C79" i="2"/>
  <c r="C193" i="2"/>
  <c r="B81" i="2"/>
  <c r="C230" i="2"/>
  <c r="C124" i="2"/>
  <c r="C94" i="2"/>
  <c r="C15" i="2"/>
  <c r="C169" i="2"/>
  <c r="C232" i="2"/>
  <c r="B173" i="2"/>
  <c r="B52" i="2"/>
  <c r="C188" i="2"/>
  <c r="B105" i="2"/>
  <c r="B78" i="2"/>
  <c r="C239" i="2"/>
  <c r="C112" i="2"/>
  <c r="C167" i="2"/>
  <c r="C22" i="2"/>
  <c r="B182" i="2"/>
  <c r="C134" i="2"/>
  <c r="B183" i="2"/>
  <c r="B216" i="2"/>
  <c r="C205" i="2"/>
  <c r="B187" i="2"/>
  <c r="B73" i="2"/>
  <c r="C71" i="2"/>
  <c r="C48" i="2"/>
  <c r="B130" i="2"/>
  <c r="C58" i="2"/>
  <c r="C212" i="2"/>
  <c r="C194" i="2"/>
  <c r="C76" i="2"/>
  <c r="B222" i="2"/>
  <c r="C67" i="2"/>
  <c r="B193" i="2"/>
  <c r="B161" i="2"/>
  <c r="B219" i="2"/>
  <c r="C52" i="2"/>
  <c r="B82" i="2"/>
  <c r="C19" i="2"/>
  <c r="B97" i="2"/>
  <c r="B110" i="2"/>
  <c r="C61" i="2"/>
  <c r="C153" i="2"/>
  <c r="C34" i="2"/>
  <c r="C143" i="2"/>
  <c r="B191" i="2"/>
  <c r="B41" i="2"/>
  <c r="B149" i="2"/>
  <c r="B233" i="2"/>
  <c r="C43" i="2"/>
  <c r="B3" i="2"/>
  <c r="C185" i="2"/>
  <c r="B112" i="2"/>
  <c r="C17" i="2"/>
  <c r="C195" i="2"/>
  <c r="C84" i="2"/>
  <c r="C83" i="2"/>
  <c r="B238" i="2"/>
  <c r="C70" i="2"/>
  <c r="C35" i="2"/>
  <c r="B142" i="2"/>
  <c r="B24" i="2"/>
  <c r="C28" i="2"/>
  <c r="C4" i="2"/>
  <c r="C60" i="2"/>
  <c r="B165" i="2"/>
  <c r="C45" i="2"/>
  <c r="C81" i="2"/>
  <c r="C139" i="2"/>
  <c r="C217" i="2"/>
  <c r="C99" i="2"/>
  <c r="B28" i="2"/>
  <c r="B248" i="2"/>
  <c r="C156" i="2"/>
  <c r="B174" i="2"/>
  <c r="B56" i="2"/>
  <c r="B185" i="2"/>
  <c r="B169" i="2"/>
  <c r="C135" i="2"/>
  <c r="B79" i="2"/>
  <c r="B4" i="2"/>
  <c r="C98" i="2"/>
  <c r="B32" i="2"/>
  <c r="C88" i="2"/>
  <c r="B74" i="2"/>
  <c r="C209" i="2"/>
  <c r="B213" i="2"/>
  <c r="B77" i="2"/>
  <c r="B206" i="2"/>
  <c r="B189" i="2"/>
  <c r="B53" i="2"/>
  <c r="C164" i="2"/>
  <c r="B36" i="2"/>
  <c r="C54" i="2"/>
  <c r="B90" i="2"/>
  <c r="B20" i="2"/>
  <c r="B172" i="2"/>
  <c r="C234" i="2"/>
  <c r="B125" i="2"/>
  <c r="C53" i="2"/>
  <c r="C211" i="2"/>
  <c r="C57" i="2"/>
  <c r="C39" i="2"/>
  <c r="B25" i="2"/>
  <c r="C220" i="2"/>
  <c r="C191" i="2"/>
  <c r="B66" i="2"/>
  <c r="B85" i="2"/>
  <c r="C172" i="2"/>
  <c r="B72" i="2"/>
  <c r="B203" i="2"/>
  <c r="B26" i="2"/>
  <c r="B111" i="2"/>
  <c r="B14" i="2"/>
  <c r="B158" i="2"/>
  <c r="C189" i="2"/>
  <c r="B155" i="2"/>
  <c r="B93" i="2"/>
  <c r="C68" i="2"/>
  <c r="C180" i="2"/>
  <c r="C3" i="2"/>
  <c r="C229" i="2"/>
  <c r="C226" i="2"/>
  <c r="C155" i="2"/>
  <c r="B23" i="2"/>
  <c r="C73" i="2"/>
  <c r="C240" i="2"/>
  <c r="B217" i="2"/>
  <c r="C107" i="2"/>
  <c r="C92" i="2"/>
  <c r="B228" i="2"/>
  <c r="B117" i="2"/>
  <c r="B163" i="2"/>
  <c r="C90" i="2"/>
  <c r="C20" i="2"/>
  <c r="B39" i="2"/>
  <c r="C100" i="2"/>
  <c r="B179" i="2"/>
  <c r="C59" i="2"/>
  <c r="C106" i="2"/>
  <c r="C200" i="2"/>
  <c r="C148" i="2"/>
  <c r="B51" i="2"/>
  <c r="B31" i="2"/>
  <c r="B50" i="2"/>
  <c r="B9" i="2"/>
  <c r="C69" i="2"/>
  <c r="B144" i="2"/>
  <c r="B204" i="2"/>
  <c r="C96" i="2"/>
  <c r="C42" i="2"/>
  <c r="B224" i="2"/>
  <c r="B215" i="2"/>
  <c r="C184" i="2"/>
  <c r="C173" i="2"/>
  <c r="B102" i="2"/>
  <c r="C36" i="2"/>
  <c r="B94" i="2"/>
  <c r="C14" i="2"/>
  <c r="C171" i="2"/>
  <c r="C246" i="2"/>
  <c r="C86" i="2"/>
  <c r="C49" i="2"/>
  <c r="C218" i="2"/>
  <c r="B218" i="2"/>
  <c r="C62" i="2"/>
  <c r="B226" i="2"/>
  <c r="C160" i="2"/>
  <c r="B221" i="2"/>
  <c r="B57" i="2"/>
  <c r="C9" i="2"/>
  <c r="B166" i="2"/>
  <c r="C66" i="2"/>
  <c r="B65" i="2"/>
  <c r="C175" i="2"/>
  <c r="B62" i="2"/>
  <c r="B236" i="2"/>
  <c r="C202" i="2"/>
  <c r="B18" i="2"/>
  <c r="B138" i="2"/>
  <c r="C178" i="2"/>
  <c r="C131" i="2"/>
  <c r="C151" i="2"/>
  <c r="C228" i="2"/>
  <c r="C138" i="2"/>
  <c r="B124" i="2"/>
  <c r="B46" i="2"/>
  <c r="B34" i="2"/>
  <c r="B170" i="2"/>
  <c r="B118" i="2"/>
  <c r="C102" i="2"/>
  <c r="C166" i="2"/>
  <c r="C203" i="2"/>
  <c r="B157" i="2"/>
  <c r="C165" i="2"/>
  <c r="C27" i="2"/>
  <c r="C204" i="2"/>
  <c r="C122" i="2"/>
  <c r="C44" i="2"/>
  <c r="B207" i="2"/>
  <c r="B10" i="2"/>
  <c r="B133" i="2"/>
  <c r="B159" i="2"/>
  <c r="C5" i="2"/>
  <c r="C125" i="2"/>
  <c r="B106" i="2"/>
  <c r="C192" i="2"/>
  <c r="C168" i="2"/>
  <c r="C223" i="2"/>
  <c r="C63" i="2"/>
  <c r="C224" i="2"/>
  <c r="B64" i="2"/>
  <c r="C121" i="2"/>
  <c r="C144" i="2"/>
  <c r="C236" i="2"/>
  <c r="B131" i="2"/>
  <c r="C154" i="2"/>
  <c r="C249" i="2"/>
  <c r="B212" i="2"/>
  <c r="B242" i="2"/>
  <c r="B153" i="2"/>
  <c r="C91" i="2"/>
  <c r="C142" i="2"/>
  <c r="C141" i="2"/>
  <c r="C2" i="2"/>
  <c r="C208" i="2"/>
  <c r="B150" i="2"/>
  <c r="B49" i="2"/>
  <c r="B107" i="2"/>
  <c r="C120" i="2"/>
  <c r="C235" i="2"/>
  <c r="B38" i="2"/>
  <c r="B192" i="2"/>
  <c r="C38" i="2"/>
  <c r="C196" i="2"/>
  <c r="B190" i="2"/>
  <c r="B160" i="2"/>
  <c r="C87" i="2"/>
  <c r="C162" i="2"/>
  <c r="C7" i="2"/>
  <c r="B54" i="2"/>
  <c r="B200" i="2"/>
  <c r="B63" i="2"/>
  <c r="C6" i="2"/>
  <c r="B227" i="2"/>
  <c r="C75" i="2"/>
  <c r="B27" i="2"/>
  <c r="B199" i="2"/>
  <c r="B198" i="2"/>
  <c r="B71" i="2"/>
  <c r="B126" i="2"/>
  <c r="B167" i="2"/>
  <c r="B194" i="2"/>
  <c r="B115" i="2"/>
  <c r="B98" i="2"/>
  <c r="C47" i="2"/>
  <c r="B43" i="2"/>
  <c r="B135" i="2"/>
  <c r="C110" i="2"/>
  <c r="C222" i="2"/>
  <c r="C161" i="2"/>
  <c r="C152" i="2"/>
  <c r="C23" i="2"/>
  <c r="B243" i="2"/>
  <c r="B176" i="2"/>
  <c r="B59" i="2"/>
  <c r="C227" i="2"/>
  <c r="B12" i="2"/>
  <c r="B15" i="2"/>
  <c r="C104" i="2"/>
  <c r="C46" i="2"/>
  <c r="B220" i="2"/>
  <c r="C145" i="2"/>
  <c r="C72" i="2"/>
  <c r="C21" i="2"/>
  <c r="C50" i="2"/>
  <c r="B61" i="2"/>
  <c r="B58" i="2"/>
  <c r="C225" i="2"/>
  <c r="C111" i="2"/>
  <c r="C190" i="2"/>
  <c r="C216" i="2"/>
  <c r="B5" i="2"/>
  <c r="C130" i="2"/>
  <c r="B33" i="2"/>
</calcChain>
</file>

<file path=xl/comments1.xml><?xml version="1.0" encoding="utf-8"?>
<comments xmlns="http://schemas.openxmlformats.org/spreadsheetml/2006/main">
  <authors>
    <author>negonzalez</author>
  </authors>
  <commentList>
    <comment ref="C17" authorId="0" shapeId="0">
      <text>
        <r>
          <rPr>
            <b/>
            <sz val="9"/>
            <color indexed="81"/>
            <rFont val="Tahoma"/>
            <family val="2"/>
          </rPr>
          <t>Si el proyecto seleccionado corresponde al Q0381 deberá ir validado previamente por la coordinadora del impuesto sobre hospedaje.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<sst xmlns="http://schemas.openxmlformats.org/spreadsheetml/2006/main" count="360" uniqueCount="339">
  <si>
    <t>Dirección Administrativa</t>
  </si>
  <si>
    <t xml:space="preserve">Área Solicitante:  </t>
  </si>
  <si>
    <t xml:space="preserve">Fecha: </t>
  </si>
  <si>
    <t>Importe de la solicitud:</t>
  </si>
  <si>
    <t>(Importe con letra)</t>
  </si>
  <si>
    <t xml:space="preserve">Descripción: </t>
  </si>
  <si>
    <t>Partida Prespupuestal</t>
  </si>
  <si>
    <t>Revisó</t>
  </si>
  <si>
    <t>Autorizó</t>
  </si>
  <si>
    <t>(Uso exclusivo de la Dirección de Recursos Financieros)</t>
  </si>
  <si>
    <t>Solicitud de suficiencia aprobada:</t>
  </si>
  <si>
    <t>SI</t>
  </si>
  <si>
    <t>Número de Reserva:</t>
  </si>
  <si>
    <t>Vo. Bo. Suficiencia Presupuestaria</t>
  </si>
  <si>
    <t xml:space="preserve">La presente solicitud, tiene una vigencia de 30 días naturales y solo comprueba la disponibilidad de recursos y su reserva; sin embargo, para que los recursos se consideren comprometidos deberá formalizarse el instrumento jurídico. </t>
  </si>
  <si>
    <t>Folio:</t>
  </si>
  <si>
    <t>SOLICITUD  DE  SUFICIENCIA  PRESUPUESTAL</t>
  </si>
  <si>
    <t>(Objeto del contrato)</t>
  </si>
  <si>
    <t>NO</t>
  </si>
  <si>
    <t>Comentarios:</t>
  </si>
  <si>
    <t>La validacion antes señalada, es únicamente para garantizar que se cuenta con presupuesto  en las partidas presupuestales autorizadas; sin validar o autorizar el procedimiento de contratación,  el ejercicio de los recursos y  el pago correspondiente y la integración del expediente, lo cual es responsabilidad del área solicitante. Por tal motivo, deberá apegarse a lo establecido en el Clasificador por Objeto del Gasto para el Estado de Guanajuato, el Prespuesto de Egresos del Estado y a la ley para el Ejercicio y Control delos Recursos Públicos para el Estado de Guanajuato y demás Dispocisiones Normativas aplicables.</t>
  </si>
  <si>
    <t>Proyecto</t>
  </si>
  <si>
    <t>partida</t>
  </si>
  <si>
    <t>descripcion</t>
  </si>
  <si>
    <t>3120 Gas</t>
  </si>
  <si>
    <t>3130 Agua</t>
  </si>
  <si>
    <t>3740 Autotransporte</t>
  </si>
  <si>
    <t>3840 Exposiciones</t>
  </si>
  <si>
    <t>4510 Pensiones</t>
  </si>
  <si>
    <t>4520 Jubilaciones</t>
  </si>
  <si>
    <t>CLAVE PRESUPUESTARIA</t>
  </si>
  <si>
    <t>NOMBRE DE RESPONSABLE DE ENLACE</t>
  </si>
  <si>
    <t>Y20.GG.G1074</t>
  </si>
  <si>
    <t>Lic. Betzahira Sarai Mendoza Montoya</t>
  </si>
  <si>
    <t>Y20.GG.G2061</t>
  </si>
  <si>
    <t>Y20.GG.G1286</t>
  </si>
  <si>
    <t>Y20.GG.P0292</t>
  </si>
  <si>
    <t xml:space="preserve">Lic. Monica Rico Gamiño </t>
  </si>
  <si>
    <t>Y20.GG.P0293</t>
  </si>
  <si>
    <t>Lic. Stephanie Yunuen Jimenez Mejía</t>
  </si>
  <si>
    <t>Y20.GG.Q0340</t>
  </si>
  <si>
    <t>C.P. Karina Lopez Ortega</t>
  </si>
  <si>
    <t>Y20.GG.Q0341</t>
  </si>
  <si>
    <t>Lic. Zurizadai Mariana Torres Torrres</t>
  </si>
  <si>
    <t>Y20.GG.Q0342</t>
  </si>
  <si>
    <t>Lic. Luz Margarita Robledo Olivares</t>
  </si>
  <si>
    <t>Y20.GG.Q0343</t>
  </si>
  <si>
    <t>Y20.GG.Q0344</t>
  </si>
  <si>
    <t>Lic. Jorge Alberto Caballero Cordova</t>
  </si>
  <si>
    <t>Y20.GG.Q0345</t>
  </si>
  <si>
    <t>Y20.GG.Q0346</t>
  </si>
  <si>
    <t>Y20.GG.Q0348</t>
  </si>
  <si>
    <t>Lic. Ana Karina Palmas Espinosa</t>
  </si>
  <si>
    <t>Y20.GG.Q0355</t>
  </si>
  <si>
    <t>Y20.GG.Q0358</t>
  </si>
  <si>
    <t>Y20.GG.Q0360</t>
  </si>
  <si>
    <t>Lic. Paulo Yañez Quintero</t>
  </si>
  <si>
    <t>Y20.GG.Q0363</t>
  </si>
  <si>
    <t>C.P. Ma. Consuelo Hernández Pérez</t>
  </si>
  <si>
    <t>Y20.GG.Q0368</t>
  </si>
  <si>
    <t>Lic. Doris Lorena Alba Gonzalez</t>
  </si>
  <si>
    <t>Y20.GG.Q0373</t>
  </si>
  <si>
    <t>Y20.GG.Q0374</t>
  </si>
  <si>
    <t>Y20.GG.Q0375</t>
  </si>
  <si>
    <t>Y20.GG.Q0376</t>
  </si>
  <si>
    <t>Y20.GG.Q0377</t>
  </si>
  <si>
    <t>Lic. Astrid Berenice Rangel Perez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</si>
  <si>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</si>
  <si>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</si>
  <si>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</si>
  <si>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</si>
  <si>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</si>
  <si>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</si>
  <si>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</si>
  <si>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</si>
  <si>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</si>
  <si>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</si>
  <si>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</si>
  <si>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</si>
  <si>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</si>
  <si>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fondo</t>
  </si>
  <si>
    <t>Y20.GG.Q0381</t>
  </si>
  <si>
    <t>Coordinación de Recursos Financieros y Aplicación Presupuestal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</si>
  <si>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</si>
  <si>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</si>
  <si>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</si>
  <si>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</si>
  <si>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</si>
  <si>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</si>
  <si>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</si>
  <si>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</si>
  <si>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</si>
  <si>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</si>
  <si>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</si>
  <si>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</si>
  <si>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</si>
  <si>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</si>
  <si>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</si>
  <si>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</si>
  <si>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</si>
  <si>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</si>
  <si>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</si>
  <si>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</si>
  <si>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</si>
  <si>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</si>
  <si>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</si>
  <si>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</si>
  <si>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</si>
  <si>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</si>
  <si>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</si>
  <si>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</si>
  <si>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</si>
  <si>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</si>
  <si>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</si>
  <si>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</si>
  <si>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</si>
  <si>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</si>
  <si>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</si>
  <si>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</si>
  <si>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</si>
  <si>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</si>
  <si>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</si>
  <si>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</si>
  <si>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</si>
  <si>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</si>
  <si>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</si>
  <si>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</si>
  <si>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</si>
  <si>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</si>
  <si>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</si>
  <si>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</si>
  <si>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</si>
  <si>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</si>
  <si>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</si>
  <si>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</si>
  <si>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</si>
  <si>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</si>
  <si>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</si>
  <si>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</si>
  <si>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</si>
  <si>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</si>
  <si>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</si>
  <si>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</si>
  <si>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</si>
  <si>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</si>
  <si>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</si>
  <si>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</si>
  <si>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</si>
  <si>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</si>
  <si>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</si>
  <si>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</si>
  <si>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</si>
  <si>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</si>
  <si>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</si>
  <si>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</si>
  <si>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</si>
  <si>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</si>
  <si>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</si>
  <si>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</si>
  <si>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</si>
  <si>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</si>
  <si>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</si>
  <si>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</si>
  <si>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</si>
  <si>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</si>
  <si>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</si>
  <si>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</si>
  <si>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</si>
  <si>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</si>
  <si>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</si>
  <si>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</si>
  <si>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</si>
  <si>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</si>
  <si>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</si>
  <si>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</si>
  <si>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</si>
  <si>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</si>
  <si>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</si>
  <si>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</si>
  <si>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</si>
  <si>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</si>
  <si>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</si>
  <si>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</si>
  <si>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</si>
  <si>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</si>
  <si>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</si>
  <si>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</si>
  <si>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</si>
  <si>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</si>
  <si>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</si>
  <si>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</si>
  <si>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</si>
  <si>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</si>
  <si>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</si>
  <si>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</si>
  <si>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</si>
  <si>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</si>
  <si>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</si>
  <si>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</si>
  <si>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</si>
  <si>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</si>
  <si>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</si>
  <si>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</si>
  <si>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</si>
  <si>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</si>
  <si>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</si>
  <si>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</si>
  <si>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</si>
  <si>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</si>
  <si>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</si>
  <si>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</si>
  <si>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</si>
  <si>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</si>
  <si>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</si>
  <si>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</si>
  <si>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</si>
  <si>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</si>
  <si>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</si>
  <si>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</si>
  <si>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</si>
  <si>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</si>
  <si>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</si>
  <si>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</si>
  <si>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</si>
  <si>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</si>
  <si>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</si>
  <si>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</si>
  <si>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</si>
  <si>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</si>
  <si>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</si>
  <si>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</si>
  <si>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</si>
  <si>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</si>
  <si>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</si>
  <si>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</si>
  <si>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</si>
  <si>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</si>
  <si>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</si>
  <si>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</si>
  <si>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</si>
  <si>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</si>
  <si>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</si>
  <si>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</si>
  <si>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</si>
  <si>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</si>
  <si>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</si>
  <si>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</si>
  <si>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</si>
  <si>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</si>
  <si>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</si>
  <si>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</si>
  <si>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</si>
  <si>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</si>
  <si>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</si>
  <si>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</si>
  <si>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</si>
  <si>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</si>
  <si>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</si>
  <si>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</si>
  <si>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</si>
  <si>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</si>
  <si>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</si>
  <si>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</si>
  <si>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</si>
  <si>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</si>
  <si>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</si>
  <si>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</si>
  <si>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</si>
  <si>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</si>
  <si>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</si>
  <si>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</si>
  <si>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</si>
  <si>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</si>
  <si>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</si>
  <si>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</si>
  <si>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</si>
  <si>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</si>
  <si>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</si>
  <si>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</si>
  <si>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</si>
  <si>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</si>
  <si>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</si>
  <si>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</si>
  <si>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</si>
  <si>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</si>
  <si>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</si>
  <si>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</si>
  <si>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</si>
  <si>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</si>
  <si>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</si>
  <si>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</si>
  <si>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</si>
  <si>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</si>
  <si>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</si>
  <si>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</si>
  <si>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</si>
  <si>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</si>
  <si>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</si>
  <si>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</si>
  <si>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</si>
  <si>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</si>
  <si>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</si>
  <si>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</si>
  <si>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</si>
  <si>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</si>
  <si>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</si>
  <si>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</si>
  <si>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</si>
  <si>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</si>
  <si>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</si>
  <si>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</si>
  <si>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</si>
  <si>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</si>
  <si>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</si>
  <si>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</si>
  <si>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</si>
  <si>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</si>
  <si>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</si>
  <si>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</si>
  <si>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</si>
  <si>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</si>
  <si>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</si>
  <si>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</si>
  <si>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</si>
  <si>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</si>
  <si>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y cargo del Responsable de Seguimiento:</t>
  </si>
  <si>
    <t>(Justificacion)</t>
  </si>
  <si>
    <t>CONTRATO</t>
  </si>
  <si>
    <t>CONVENIO</t>
  </si>
  <si>
    <t>INFORMACION DEL PROVEEDOR</t>
  </si>
  <si>
    <t>Nombre/Razón social:</t>
  </si>
  <si>
    <t>RFC:</t>
  </si>
  <si>
    <t>Nombre del lider del proyecto</t>
  </si>
  <si>
    <t>Fecha de validación de la CRF</t>
  </si>
  <si>
    <t>Numero de acreedor:</t>
  </si>
  <si>
    <t xml:space="preserve">
Coordinación de Recursos Financieros</t>
  </si>
  <si>
    <t>Autorizó Suficiencia Presupuestaria</t>
  </si>
  <si>
    <t>Lic. Ilayali Pimentel Redondo
Directora Administrativa</t>
  </si>
  <si>
    <t>Fecha de recepcion 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</si>
</sst>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[$-80A]d&quot; de &quot;mmmm&quot; de &quot;yyyy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Helv"/>
    </font>
    <font>
      <sz val="8"/>
      <name val="Calibri Light"/>
      <family val="2"/>
      <scheme val="major"/>
    </font>
    <font>
      <sz val="6.5"/>
      <name val="Arial"/>
      <family val="2"/>
    </font>
    <font>
      <b/>
      <sz val="6.5"/>
      <name val="Arial"/>
      <family val="2"/>
    </font>
    <font>
      <b/>
      <sz val="14"/>
      <name val="Arial"/>
      <family val="2"/>
    </font>
    <font>
      <b/>
      <i/>
      <sz val="7.5"/>
      <name val="Calibri"/>
      <family val="2"/>
      <scheme val="minor"/>
    </font>
    <font>
      <b/>
      <i/>
      <sz val="8"/>
      <name val="Calibri"/>
      <family val="2"/>
      <scheme val="minor"/>
    </font>
    <font>
      <sz val="11"/>
      <color theme="1"/>
      <name val="Arial"/>
      <family val="2"/>
    </font>
    <font>
      <b/>
      <sz val="16"/>
      <color rgb="FF7F7F7F"/>
      <name val="Times New Roman"/>
      <family val="1"/>
    </font>
    <font>
      <b/>
      <sz val="16"/>
      <color rgb="FF7F7F7F"/>
      <name val="Adobe Caslon Pro Bold"/>
      <family val="1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Border="1"/>
    <xf numFmtId="0" fontId="4" fillId="0" borderId="0" xfId="0" applyFont="1" applyBorder="1"/>
    <xf numFmtId="0" fontId="4" fillId="0" borderId="0" xfId="0" applyFont="1"/>
    <xf numFmtId="0" fontId="0" fillId="0" borderId="1" xfId="0" applyBorder="1"/>
    <xf numFmtId="0" fontId="4" fillId="0" borderId="2" xfId="0" applyFont="1" applyBorder="1"/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2" fillId="0" borderId="4" xfId="0" applyFont="1" applyBorder="1"/>
    <xf numFmtId="0" fontId="5" fillId="0" borderId="0" xfId="0" applyFont="1" applyBorder="1"/>
    <xf numFmtId="0" fontId="6" fillId="0" borderId="0" xfId="0" quotePrefix="1" applyFont="1" applyBorder="1"/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2" fillId="0" borderId="0" xfId="0" applyFont="1"/>
    <xf numFmtId="0" fontId="0" fillId="0" borderId="4" xfId="0" applyBorder="1"/>
    <xf numFmtId="0" fontId="4" fillId="0" borderId="6" xfId="0" applyFont="1" applyBorder="1"/>
    <xf numFmtId="0" fontId="5" fillId="0" borderId="0" xfId="0" applyFont="1" applyBorder="1" applyAlignment="1">
      <alignment horizontal="right"/>
    </xf>
    <xf numFmtId="0" fontId="4" fillId="0" borderId="0" xfId="0" applyFont="1" applyBorder="1" applyAlignment="1"/>
    <xf numFmtId="0" fontId="4" fillId="0" borderId="6" xfId="0" applyFont="1" applyBorder="1" applyAlignment="1"/>
    <xf numFmtId="0" fontId="4" fillId="0" borderId="6" xfId="0" applyFont="1" applyBorder="1" applyAlignment="1">
      <alignment horizontal="center"/>
    </xf>
    <xf numFmtId="0" fontId="8" fillId="0" borderId="0" xfId="0" quotePrefix="1" applyFont="1" applyBorder="1"/>
    <xf numFmtId="0" fontId="0" fillId="0" borderId="6" xfId="0" applyBorder="1"/>
    <xf numFmtId="0" fontId="5" fillId="0" borderId="4" xfId="0" applyFont="1" applyBorder="1"/>
    <xf numFmtId="0" fontId="5" fillId="0" borderId="0" xfId="0" applyFont="1" applyBorder="1" applyAlignment="1"/>
    <xf numFmtId="0" fontId="4" fillId="0" borderId="4" xfId="0" applyFont="1" applyBorder="1"/>
    <xf numFmtId="0" fontId="5" fillId="3" borderId="16" xfId="0" applyFont="1" applyFill="1" applyBorder="1"/>
    <xf numFmtId="0" fontId="5" fillId="3" borderId="0" xfId="0" applyFont="1" applyFill="1" applyBorder="1"/>
    <xf numFmtId="0" fontId="5" fillId="3" borderId="17" xfId="0" applyFont="1" applyFill="1" applyBorder="1"/>
    <xf numFmtId="0" fontId="6" fillId="3" borderId="0" xfId="0" quotePrefix="1" applyFont="1" applyFill="1" applyBorder="1"/>
    <xf numFmtId="0" fontId="6" fillId="3" borderId="0" xfId="0" quotePrefix="1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5" fillId="3" borderId="16" xfId="0" applyFont="1" applyFill="1" applyBorder="1" applyAlignment="1"/>
    <xf numFmtId="0" fontId="5" fillId="3" borderId="0" xfId="0" applyFont="1" applyFill="1" applyBorder="1" applyAlignment="1"/>
    <xf numFmtId="0" fontId="5" fillId="3" borderId="17" xfId="0" applyFont="1" applyFill="1" applyBorder="1" applyAlignment="1"/>
    <xf numFmtId="0" fontId="6" fillId="3" borderId="0" xfId="0" quotePrefix="1" applyFont="1" applyFill="1" applyBorder="1" applyAlignment="1">
      <alignment horizontal="center"/>
    </xf>
    <xf numFmtId="0" fontId="6" fillId="3" borderId="17" xfId="0" quotePrefix="1" applyFont="1" applyFill="1" applyBorder="1" applyAlignment="1">
      <alignment horizontal="left"/>
    </xf>
    <xf numFmtId="0" fontId="5" fillId="3" borderId="5" xfId="0" applyFont="1" applyFill="1" applyBorder="1"/>
    <xf numFmtId="0" fontId="5" fillId="3" borderId="20" xfId="0" applyFont="1" applyFill="1" applyBorder="1"/>
    <xf numFmtId="0" fontId="4" fillId="3" borderId="21" xfId="0" applyFont="1" applyFill="1" applyBorder="1"/>
    <xf numFmtId="0" fontId="4" fillId="3" borderId="5" xfId="0" applyFont="1" applyFill="1" applyBorder="1"/>
    <xf numFmtId="0" fontId="4" fillId="3" borderId="20" xfId="0" applyFont="1" applyFill="1" applyBorder="1"/>
    <xf numFmtId="0" fontId="11" fillId="0" borderId="0" xfId="0" applyFont="1" applyBorder="1" applyAlignment="1">
      <alignment horizontal="left" wrapText="1"/>
    </xf>
    <xf numFmtId="0" fontId="0" fillId="0" borderId="11" xfId="0" applyBorder="1"/>
    <xf numFmtId="0" fontId="0" fillId="0" borderId="13" xfId="0" applyBorder="1"/>
    <xf numFmtId="0" fontId="3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0" fillId="5" borderId="0" xfId="0" applyFill="1"/>
    <xf numFmtId="0" fontId="0" fillId="0" borderId="0" xfId="0" applyAlignment="1">
      <alignment horizontal="left"/>
    </xf>
    <xf numFmtId="0" fontId="15" fillId="0" borderId="0" xfId="0" applyFont="1" applyFill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vertical="center"/>
    </xf>
    <xf numFmtId="0" fontId="2" fillId="0" borderId="0" xfId="0" applyFont="1" applyBorder="1"/>
    <xf numFmtId="0" fontId="4" fillId="0" borderId="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7" fillId="0" borderId="0" xfId="1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7" fillId="0" borderId="27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 wrapText="1"/>
    </xf>
    <xf numFmtId="0" fontId="9" fillId="4" borderId="18" xfId="0" applyFont="1" applyFill="1" applyBorder="1" applyAlignment="1">
      <alignment horizontal="left" vertical="top" wrapText="1"/>
    </xf>
    <xf numFmtId="0" fontId="10" fillId="4" borderId="22" xfId="0" applyFont="1" applyFill="1" applyBorder="1" applyAlignment="1">
      <alignment horizontal="left" vertical="top" wrapText="1"/>
    </xf>
    <xf numFmtId="0" fontId="10" fillId="4" borderId="19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8" fillId="0" borderId="12" xfId="0" applyFont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3" fillId="3" borderId="5" xfId="0" quotePrefix="1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vertical="top" wrapText="1"/>
    </xf>
    <xf numFmtId="0" fontId="5" fillId="3" borderId="15" xfId="0" applyFont="1" applyFill="1" applyBorder="1" applyAlignment="1">
      <alignment horizontal="center" vertical="top" wrapText="1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0</xdr:rowOff>
    </xdr:from>
    <xdr:to>
      <xdr:col>11</xdr:col>
      <xdr:colOff>28574</xdr:colOff>
      <xdr:row>7</xdr:row>
      <xdr:rowOff>22860</xdr:rowOff>
    </xdr:to>
    <xdr:grpSp>
      <xdr:nvGrpSpPr>
        <xdr:cNvPr id="2" name="object 5"/>
        <xdr:cNvGrpSpPr/>
      </xdr:nvGrpSpPr>
      <xdr:grpSpPr>
        <a:xfrm>
          <a:off x="114299" y="0"/>
          <a:ext cx="2538942" cy="1314027"/>
          <a:chOff x="111252" y="106679"/>
          <a:chExt cx="2202180" cy="1165860"/>
        </a:xfrm>
      </xdr:grpSpPr>
      <xdr:sp macro="" textlink="">
        <xdr:nvSpPr>
          <xdr:cNvPr id="3" name="object 6"/>
          <xdr:cNvSpPr/>
        </xdr:nvSpPr>
        <xdr:spPr>
          <a:xfrm>
            <a:off x="111252" y="106679"/>
            <a:ext cx="2202180" cy="1165860"/>
          </a:xfrm>
          <a:prstGeom prst="rect">
            <a:avLst/>
          </a:prstGeom>
          <a:blipFill>
            <a:blip xmlns:r="http://schemas.openxmlformats.org/officeDocument/2006/relationships" r:embed="rId1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" name="object 7"/>
          <xdr:cNvSpPr/>
        </xdr:nvSpPr>
        <xdr:spPr>
          <a:xfrm>
            <a:off x="176784" y="172211"/>
            <a:ext cx="2075688" cy="1039368"/>
          </a:xfrm>
          <a:prstGeom prst="rect">
            <a:avLst/>
          </a:prstGeom>
          <a:blipFill>
            <a:blip xmlns:r="http://schemas.openxmlformats.org/officeDocument/2006/relationships" r:embed="rId2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57"/>
  <sheetViews>
    <sheetView tabSelected="1" topLeftCell="A25" zoomScale="90" zoomScaleNormal="90" workbookViewId="0">
      <selection activeCell="AJ42" sqref="AJ42"/>
    </sheetView>
  </sheetViews>
  <sheetFormatPr baseColWidth="10" defaultColWidth="8" defaultRowHeight="15"/>
  <cols>
    <col min="1" max="2" width="1.7109375" customWidth="1"/>
    <col min="3" max="3" width="6.7109375" style="1" customWidth="1"/>
    <col min="4" max="4" width="3" style="1" customWidth="1"/>
    <col min="5" max="5" width="3.7109375" style="1" customWidth="1"/>
    <col min="6" max="7" width="2.85546875" style="1" customWidth="1"/>
    <col min="8" max="8" width="3.140625" style="1" customWidth="1"/>
    <col min="9" max="9" width="2.85546875" style="1" customWidth="1"/>
    <col min="10" max="10" width="4" style="1" customWidth="1"/>
    <col min="11" max="11" width="6.85546875" style="1" customWidth="1"/>
    <col min="12" max="12" width="6.140625" style="1" customWidth="1"/>
    <col min="13" max="13" width="3.7109375" style="1" customWidth="1"/>
    <col min="14" max="15" width="2.85546875" style="1" customWidth="1"/>
    <col min="16" max="16" width="3.7109375" style="1" customWidth="1"/>
    <col min="17" max="17" width="3.7109375" customWidth="1"/>
    <col min="18" max="18" width="0.5703125" customWidth="1"/>
    <col min="19" max="27" width="10" customWidth="1"/>
    <col min="28" max="28" width="12" customWidth="1"/>
    <col min="29" max="29" width="11.7109375" customWidth="1"/>
    <col min="30" max="30" width="6.42578125" customWidth="1"/>
    <col min="31" max="31" width="12.85546875" customWidth="1"/>
    <col min="32" max="32" width="1.5703125" customWidth="1"/>
    <col min="33" max="33" width="11.5703125" customWidth="1"/>
    <col min="34" max="34" width="13.28515625" customWidth="1"/>
    <col min="35" max="35" width="11" customWidth="1"/>
    <col min="36" max="36" width="11.7109375" customWidth="1"/>
    <col min="37" max="37" width="8.85546875" customWidth="1"/>
    <col min="38" max="38" width="13.85546875" customWidth="1"/>
    <col min="254" max="254" width="1.7109375" customWidth="1"/>
    <col min="255" max="255" width="1.42578125" customWidth="1"/>
    <col min="256" max="256" width="3" customWidth="1"/>
    <col min="257" max="257" width="3.7109375" customWidth="1"/>
    <col min="258" max="262" width="2.85546875" customWidth="1"/>
    <col min="263" max="263" width="3.7109375" customWidth="1"/>
    <col min="264" max="264" width="3.28515625" customWidth="1"/>
    <col min="265" max="265" width="3.7109375" customWidth="1"/>
    <col min="266" max="268" width="2.85546875" customWidth="1"/>
    <col min="269" max="270" width="3.7109375" customWidth="1"/>
    <col min="271" max="271" width="0.5703125" customWidth="1"/>
    <col min="272" max="275" width="6.7109375" customWidth="1"/>
    <col min="276" max="276" width="7.42578125" customWidth="1"/>
    <col min="277" max="282" width="6.7109375" customWidth="1"/>
    <col min="283" max="283" width="7.42578125" customWidth="1"/>
    <col min="284" max="284" width="12.42578125" customWidth="1"/>
    <col min="285" max="285" width="1.5703125" customWidth="1"/>
    <col min="286" max="286" width="16.140625" customWidth="1"/>
    <col min="287" max="287" width="14.28515625" customWidth="1"/>
    <col min="288" max="288" width="19" customWidth="1"/>
    <col min="289" max="289" width="11.5703125" customWidth="1"/>
    <col min="290" max="290" width="13.28515625" customWidth="1"/>
    <col min="291" max="291" width="11" customWidth="1"/>
    <col min="292" max="292" width="11.7109375" customWidth="1"/>
    <col min="293" max="293" width="8.85546875" customWidth="1"/>
    <col min="294" max="294" width="13.85546875" customWidth="1"/>
    <col min="510" max="510" width="1.7109375" customWidth="1"/>
    <col min="511" max="511" width="1.42578125" customWidth="1"/>
    <col min="512" max="512" width="3" customWidth="1"/>
    <col min="513" max="513" width="3.7109375" customWidth="1"/>
    <col min="514" max="518" width="2.85546875" customWidth="1"/>
    <col min="519" max="519" width="3.7109375" customWidth="1"/>
    <col min="520" max="520" width="3.28515625" customWidth="1"/>
    <col min="521" max="521" width="3.7109375" customWidth="1"/>
    <col min="522" max="524" width="2.85546875" customWidth="1"/>
    <col min="525" max="526" width="3.7109375" customWidth="1"/>
    <col min="527" max="527" width="0.5703125" customWidth="1"/>
    <col min="528" max="531" width="6.7109375" customWidth="1"/>
    <col min="532" max="532" width="7.42578125" customWidth="1"/>
    <col min="533" max="538" width="6.7109375" customWidth="1"/>
    <col min="539" max="539" width="7.42578125" customWidth="1"/>
    <col min="540" max="540" width="12.42578125" customWidth="1"/>
    <col min="541" max="541" width="1.5703125" customWidth="1"/>
    <col min="542" max="542" width="16.140625" customWidth="1"/>
    <col min="543" max="543" width="14.28515625" customWidth="1"/>
    <col min="544" max="544" width="19" customWidth="1"/>
    <col min="545" max="545" width="11.5703125" customWidth="1"/>
    <col min="546" max="546" width="13.28515625" customWidth="1"/>
    <col min="547" max="547" width="11" customWidth="1"/>
    <col min="548" max="548" width="11.7109375" customWidth="1"/>
    <col min="549" max="549" width="8.85546875" customWidth="1"/>
    <col min="550" max="550" width="13.85546875" customWidth="1"/>
    <col min="766" max="766" width="1.7109375" customWidth="1"/>
    <col min="767" max="767" width="1.42578125" customWidth="1"/>
    <col min="768" max="768" width="3" customWidth="1"/>
    <col min="769" max="769" width="3.7109375" customWidth="1"/>
    <col min="770" max="774" width="2.85546875" customWidth="1"/>
    <col min="775" max="775" width="3.7109375" customWidth="1"/>
    <col min="776" max="776" width="3.28515625" customWidth="1"/>
    <col min="777" max="777" width="3.7109375" customWidth="1"/>
    <col min="778" max="780" width="2.85546875" customWidth="1"/>
    <col min="781" max="782" width="3.7109375" customWidth="1"/>
    <col min="783" max="783" width="0.5703125" customWidth="1"/>
    <col min="784" max="787" width="6.7109375" customWidth="1"/>
    <col min="788" max="788" width="7.42578125" customWidth="1"/>
    <col min="789" max="794" width="6.7109375" customWidth="1"/>
    <col min="795" max="795" width="7.42578125" customWidth="1"/>
    <col min="796" max="796" width="12.42578125" customWidth="1"/>
    <col min="797" max="797" width="1.5703125" customWidth="1"/>
    <col min="798" max="798" width="16.140625" customWidth="1"/>
    <col min="799" max="799" width="14.28515625" customWidth="1"/>
    <col min="800" max="800" width="19" customWidth="1"/>
    <col min="801" max="801" width="11.5703125" customWidth="1"/>
    <col min="802" max="802" width="13.28515625" customWidth="1"/>
    <col min="803" max="803" width="11" customWidth="1"/>
    <col min="804" max="804" width="11.7109375" customWidth="1"/>
    <col min="805" max="805" width="8.85546875" customWidth="1"/>
    <col min="806" max="806" width="13.85546875" customWidth="1"/>
    <col min="1022" max="1022" width="1.7109375" customWidth="1"/>
    <col min="1023" max="1023" width="1.42578125" customWidth="1"/>
    <col min="1024" max="1024" width="3" customWidth="1"/>
    <col min="1025" max="1025" width="3.7109375" customWidth="1"/>
    <col min="1026" max="1030" width="2.85546875" customWidth="1"/>
    <col min="1031" max="1031" width="3.7109375" customWidth="1"/>
    <col min="1032" max="1032" width="3.28515625" customWidth="1"/>
    <col min="1033" max="1033" width="3.7109375" customWidth="1"/>
    <col min="1034" max="1036" width="2.85546875" customWidth="1"/>
    <col min="1037" max="1038" width="3.7109375" customWidth="1"/>
    <col min="1039" max="1039" width="0.5703125" customWidth="1"/>
    <col min="1040" max="1043" width="6.7109375" customWidth="1"/>
    <col min="1044" max="1044" width="7.42578125" customWidth="1"/>
    <col min="1045" max="1050" width="6.7109375" customWidth="1"/>
    <col min="1051" max="1051" width="7.42578125" customWidth="1"/>
    <col min="1052" max="1052" width="12.42578125" customWidth="1"/>
    <col min="1053" max="1053" width="1.5703125" customWidth="1"/>
    <col min="1054" max="1054" width="16.140625" customWidth="1"/>
    <col min="1055" max="1055" width="14.28515625" customWidth="1"/>
    <col min="1056" max="1056" width="19" customWidth="1"/>
    <col min="1057" max="1057" width="11.5703125" customWidth="1"/>
    <col min="1058" max="1058" width="13.28515625" customWidth="1"/>
    <col min="1059" max="1059" width="11" customWidth="1"/>
    <col min="1060" max="1060" width="11.7109375" customWidth="1"/>
    <col min="1061" max="1061" width="8.85546875" customWidth="1"/>
    <col min="1062" max="1062" width="13.85546875" customWidth="1"/>
    <col min="1278" max="1278" width="1.7109375" customWidth="1"/>
    <col min="1279" max="1279" width="1.42578125" customWidth="1"/>
    <col min="1280" max="1280" width="3" customWidth="1"/>
    <col min="1281" max="1281" width="3.7109375" customWidth="1"/>
    <col min="1282" max="1286" width="2.85546875" customWidth="1"/>
    <col min="1287" max="1287" width="3.7109375" customWidth="1"/>
    <col min="1288" max="1288" width="3.28515625" customWidth="1"/>
    <col min="1289" max="1289" width="3.7109375" customWidth="1"/>
    <col min="1290" max="1292" width="2.85546875" customWidth="1"/>
    <col min="1293" max="1294" width="3.7109375" customWidth="1"/>
    <col min="1295" max="1295" width="0.5703125" customWidth="1"/>
    <col min="1296" max="1299" width="6.7109375" customWidth="1"/>
    <col min="1300" max="1300" width="7.42578125" customWidth="1"/>
    <col min="1301" max="1306" width="6.7109375" customWidth="1"/>
    <col min="1307" max="1307" width="7.42578125" customWidth="1"/>
    <col min="1308" max="1308" width="12.42578125" customWidth="1"/>
    <col min="1309" max="1309" width="1.5703125" customWidth="1"/>
    <col min="1310" max="1310" width="16.140625" customWidth="1"/>
    <col min="1311" max="1311" width="14.28515625" customWidth="1"/>
    <col min="1312" max="1312" width="19" customWidth="1"/>
    <col min="1313" max="1313" width="11.5703125" customWidth="1"/>
    <col min="1314" max="1314" width="13.28515625" customWidth="1"/>
    <col min="1315" max="1315" width="11" customWidth="1"/>
    <col min="1316" max="1316" width="11.7109375" customWidth="1"/>
    <col min="1317" max="1317" width="8.85546875" customWidth="1"/>
    <col min="1318" max="1318" width="13.85546875" customWidth="1"/>
    <col min="1534" max="1534" width="1.7109375" customWidth="1"/>
    <col min="1535" max="1535" width="1.42578125" customWidth="1"/>
    <col min="1536" max="1536" width="3" customWidth="1"/>
    <col min="1537" max="1537" width="3.7109375" customWidth="1"/>
    <col min="1538" max="1542" width="2.85546875" customWidth="1"/>
    <col min="1543" max="1543" width="3.7109375" customWidth="1"/>
    <col min="1544" max="1544" width="3.28515625" customWidth="1"/>
    <col min="1545" max="1545" width="3.7109375" customWidth="1"/>
    <col min="1546" max="1548" width="2.85546875" customWidth="1"/>
    <col min="1549" max="1550" width="3.7109375" customWidth="1"/>
    <col min="1551" max="1551" width="0.5703125" customWidth="1"/>
    <col min="1552" max="1555" width="6.7109375" customWidth="1"/>
    <col min="1556" max="1556" width="7.42578125" customWidth="1"/>
    <col min="1557" max="1562" width="6.7109375" customWidth="1"/>
    <col min="1563" max="1563" width="7.42578125" customWidth="1"/>
    <col min="1564" max="1564" width="12.42578125" customWidth="1"/>
    <col min="1565" max="1565" width="1.5703125" customWidth="1"/>
    <col min="1566" max="1566" width="16.140625" customWidth="1"/>
    <col min="1567" max="1567" width="14.28515625" customWidth="1"/>
    <col min="1568" max="1568" width="19" customWidth="1"/>
    <col min="1569" max="1569" width="11.5703125" customWidth="1"/>
    <col min="1570" max="1570" width="13.28515625" customWidth="1"/>
    <col min="1571" max="1571" width="11" customWidth="1"/>
    <col min="1572" max="1572" width="11.7109375" customWidth="1"/>
    <col min="1573" max="1573" width="8.85546875" customWidth="1"/>
    <col min="1574" max="1574" width="13.85546875" customWidth="1"/>
    <col min="1790" max="1790" width="1.7109375" customWidth="1"/>
    <col min="1791" max="1791" width="1.42578125" customWidth="1"/>
    <col min="1792" max="1792" width="3" customWidth="1"/>
    <col min="1793" max="1793" width="3.7109375" customWidth="1"/>
    <col min="1794" max="1798" width="2.85546875" customWidth="1"/>
    <col min="1799" max="1799" width="3.7109375" customWidth="1"/>
    <col min="1800" max="1800" width="3.28515625" customWidth="1"/>
    <col min="1801" max="1801" width="3.7109375" customWidth="1"/>
    <col min="1802" max="1804" width="2.85546875" customWidth="1"/>
    <col min="1805" max="1806" width="3.7109375" customWidth="1"/>
    <col min="1807" max="1807" width="0.5703125" customWidth="1"/>
    <col min="1808" max="1811" width="6.7109375" customWidth="1"/>
    <col min="1812" max="1812" width="7.42578125" customWidth="1"/>
    <col min="1813" max="1818" width="6.7109375" customWidth="1"/>
    <col min="1819" max="1819" width="7.42578125" customWidth="1"/>
    <col min="1820" max="1820" width="12.42578125" customWidth="1"/>
    <col min="1821" max="1821" width="1.5703125" customWidth="1"/>
    <col min="1822" max="1822" width="16.140625" customWidth="1"/>
    <col min="1823" max="1823" width="14.28515625" customWidth="1"/>
    <col min="1824" max="1824" width="19" customWidth="1"/>
    <col min="1825" max="1825" width="11.5703125" customWidth="1"/>
    <col min="1826" max="1826" width="13.28515625" customWidth="1"/>
    <col min="1827" max="1827" width="11" customWidth="1"/>
    <col min="1828" max="1828" width="11.7109375" customWidth="1"/>
    <col min="1829" max="1829" width="8.85546875" customWidth="1"/>
    <col min="1830" max="1830" width="13.85546875" customWidth="1"/>
    <col min="2046" max="2046" width="1.7109375" customWidth="1"/>
    <col min="2047" max="2047" width="1.42578125" customWidth="1"/>
    <col min="2048" max="2048" width="3" customWidth="1"/>
    <col min="2049" max="2049" width="3.7109375" customWidth="1"/>
    <col min="2050" max="2054" width="2.85546875" customWidth="1"/>
    <col min="2055" max="2055" width="3.7109375" customWidth="1"/>
    <col min="2056" max="2056" width="3.28515625" customWidth="1"/>
    <col min="2057" max="2057" width="3.7109375" customWidth="1"/>
    <col min="2058" max="2060" width="2.85546875" customWidth="1"/>
    <col min="2061" max="2062" width="3.7109375" customWidth="1"/>
    <col min="2063" max="2063" width="0.5703125" customWidth="1"/>
    <col min="2064" max="2067" width="6.7109375" customWidth="1"/>
    <col min="2068" max="2068" width="7.42578125" customWidth="1"/>
    <col min="2069" max="2074" width="6.7109375" customWidth="1"/>
    <col min="2075" max="2075" width="7.42578125" customWidth="1"/>
    <col min="2076" max="2076" width="12.42578125" customWidth="1"/>
    <col min="2077" max="2077" width="1.5703125" customWidth="1"/>
    <col min="2078" max="2078" width="16.140625" customWidth="1"/>
    <col min="2079" max="2079" width="14.28515625" customWidth="1"/>
    <col min="2080" max="2080" width="19" customWidth="1"/>
    <col min="2081" max="2081" width="11.5703125" customWidth="1"/>
    <col min="2082" max="2082" width="13.28515625" customWidth="1"/>
    <col min="2083" max="2083" width="11" customWidth="1"/>
    <col min="2084" max="2084" width="11.7109375" customWidth="1"/>
    <col min="2085" max="2085" width="8.85546875" customWidth="1"/>
    <col min="2086" max="2086" width="13.85546875" customWidth="1"/>
    <col min="2302" max="2302" width="1.7109375" customWidth="1"/>
    <col min="2303" max="2303" width="1.42578125" customWidth="1"/>
    <col min="2304" max="2304" width="3" customWidth="1"/>
    <col min="2305" max="2305" width="3.7109375" customWidth="1"/>
    <col min="2306" max="2310" width="2.85546875" customWidth="1"/>
    <col min="2311" max="2311" width="3.7109375" customWidth="1"/>
    <col min="2312" max="2312" width="3.28515625" customWidth="1"/>
    <col min="2313" max="2313" width="3.7109375" customWidth="1"/>
    <col min="2314" max="2316" width="2.85546875" customWidth="1"/>
    <col min="2317" max="2318" width="3.7109375" customWidth="1"/>
    <col min="2319" max="2319" width="0.5703125" customWidth="1"/>
    <col min="2320" max="2323" width="6.7109375" customWidth="1"/>
    <col min="2324" max="2324" width="7.42578125" customWidth="1"/>
    <col min="2325" max="2330" width="6.7109375" customWidth="1"/>
    <col min="2331" max="2331" width="7.42578125" customWidth="1"/>
    <col min="2332" max="2332" width="12.42578125" customWidth="1"/>
    <col min="2333" max="2333" width="1.5703125" customWidth="1"/>
    <col min="2334" max="2334" width="16.140625" customWidth="1"/>
    <col min="2335" max="2335" width="14.28515625" customWidth="1"/>
    <col min="2336" max="2336" width="19" customWidth="1"/>
    <col min="2337" max="2337" width="11.5703125" customWidth="1"/>
    <col min="2338" max="2338" width="13.28515625" customWidth="1"/>
    <col min="2339" max="2339" width="11" customWidth="1"/>
    <col min="2340" max="2340" width="11.7109375" customWidth="1"/>
    <col min="2341" max="2341" width="8.85546875" customWidth="1"/>
    <col min="2342" max="2342" width="13.85546875" customWidth="1"/>
    <col min="2558" max="2558" width="1.7109375" customWidth="1"/>
    <col min="2559" max="2559" width="1.42578125" customWidth="1"/>
    <col min="2560" max="2560" width="3" customWidth="1"/>
    <col min="2561" max="2561" width="3.7109375" customWidth="1"/>
    <col min="2562" max="2566" width="2.85546875" customWidth="1"/>
    <col min="2567" max="2567" width="3.7109375" customWidth="1"/>
    <col min="2568" max="2568" width="3.28515625" customWidth="1"/>
    <col min="2569" max="2569" width="3.7109375" customWidth="1"/>
    <col min="2570" max="2572" width="2.85546875" customWidth="1"/>
    <col min="2573" max="2574" width="3.7109375" customWidth="1"/>
    <col min="2575" max="2575" width="0.5703125" customWidth="1"/>
    <col min="2576" max="2579" width="6.7109375" customWidth="1"/>
    <col min="2580" max="2580" width="7.42578125" customWidth="1"/>
    <col min="2581" max="2586" width="6.7109375" customWidth="1"/>
    <col min="2587" max="2587" width="7.42578125" customWidth="1"/>
    <col min="2588" max="2588" width="12.42578125" customWidth="1"/>
    <col min="2589" max="2589" width="1.5703125" customWidth="1"/>
    <col min="2590" max="2590" width="16.140625" customWidth="1"/>
    <col min="2591" max="2591" width="14.28515625" customWidth="1"/>
    <col min="2592" max="2592" width="19" customWidth="1"/>
    <col min="2593" max="2593" width="11.5703125" customWidth="1"/>
    <col min="2594" max="2594" width="13.28515625" customWidth="1"/>
    <col min="2595" max="2595" width="11" customWidth="1"/>
    <col min="2596" max="2596" width="11.7109375" customWidth="1"/>
    <col min="2597" max="2597" width="8.85546875" customWidth="1"/>
    <col min="2598" max="2598" width="13.85546875" customWidth="1"/>
    <col min="2814" max="2814" width="1.7109375" customWidth="1"/>
    <col min="2815" max="2815" width="1.42578125" customWidth="1"/>
    <col min="2816" max="2816" width="3" customWidth="1"/>
    <col min="2817" max="2817" width="3.7109375" customWidth="1"/>
    <col min="2818" max="2822" width="2.85546875" customWidth="1"/>
    <col min="2823" max="2823" width="3.7109375" customWidth="1"/>
    <col min="2824" max="2824" width="3.28515625" customWidth="1"/>
    <col min="2825" max="2825" width="3.7109375" customWidth="1"/>
    <col min="2826" max="2828" width="2.85546875" customWidth="1"/>
    <col min="2829" max="2830" width="3.7109375" customWidth="1"/>
    <col min="2831" max="2831" width="0.5703125" customWidth="1"/>
    <col min="2832" max="2835" width="6.7109375" customWidth="1"/>
    <col min="2836" max="2836" width="7.42578125" customWidth="1"/>
    <col min="2837" max="2842" width="6.7109375" customWidth="1"/>
    <col min="2843" max="2843" width="7.42578125" customWidth="1"/>
    <col min="2844" max="2844" width="12.42578125" customWidth="1"/>
    <col min="2845" max="2845" width="1.5703125" customWidth="1"/>
    <col min="2846" max="2846" width="16.140625" customWidth="1"/>
    <col min="2847" max="2847" width="14.28515625" customWidth="1"/>
    <col min="2848" max="2848" width="19" customWidth="1"/>
    <col min="2849" max="2849" width="11.5703125" customWidth="1"/>
    <col min="2850" max="2850" width="13.28515625" customWidth="1"/>
    <col min="2851" max="2851" width="11" customWidth="1"/>
    <col min="2852" max="2852" width="11.7109375" customWidth="1"/>
    <col min="2853" max="2853" width="8.85546875" customWidth="1"/>
    <col min="2854" max="2854" width="13.85546875" customWidth="1"/>
    <col min="3070" max="3070" width="1.7109375" customWidth="1"/>
    <col min="3071" max="3071" width="1.42578125" customWidth="1"/>
    <col min="3072" max="3072" width="3" customWidth="1"/>
    <col min="3073" max="3073" width="3.7109375" customWidth="1"/>
    <col min="3074" max="3078" width="2.85546875" customWidth="1"/>
    <col min="3079" max="3079" width="3.7109375" customWidth="1"/>
    <col min="3080" max="3080" width="3.28515625" customWidth="1"/>
    <col min="3081" max="3081" width="3.7109375" customWidth="1"/>
    <col min="3082" max="3084" width="2.85546875" customWidth="1"/>
    <col min="3085" max="3086" width="3.7109375" customWidth="1"/>
    <col min="3087" max="3087" width="0.5703125" customWidth="1"/>
    <col min="3088" max="3091" width="6.7109375" customWidth="1"/>
    <col min="3092" max="3092" width="7.42578125" customWidth="1"/>
    <col min="3093" max="3098" width="6.7109375" customWidth="1"/>
    <col min="3099" max="3099" width="7.42578125" customWidth="1"/>
    <col min="3100" max="3100" width="12.42578125" customWidth="1"/>
    <col min="3101" max="3101" width="1.5703125" customWidth="1"/>
    <col min="3102" max="3102" width="16.140625" customWidth="1"/>
    <col min="3103" max="3103" width="14.28515625" customWidth="1"/>
    <col min="3104" max="3104" width="19" customWidth="1"/>
    <col min="3105" max="3105" width="11.5703125" customWidth="1"/>
    <col min="3106" max="3106" width="13.28515625" customWidth="1"/>
    <col min="3107" max="3107" width="11" customWidth="1"/>
    <col min="3108" max="3108" width="11.7109375" customWidth="1"/>
    <col min="3109" max="3109" width="8.85546875" customWidth="1"/>
    <col min="3110" max="3110" width="13.85546875" customWidth="1"/>
    <col min="3326" max="3326" width="1.7109375" customWidth="1"/>
    <col min="3327" max="3327" width="1.42578125" customWidth="1"/>
    <col min="3328" max="3328" width="3" customWidth="1"/>
    <col min="3329" max="3329" width="3.7109375" customWidth="1"/>
    <col min="3330" max="3334" width="2.85546875" customWidth="1"/>
    <col min="3335" max="3335" width="3.7109375" customWidth="1"/>
    <col min="3336" max="3336" width="3.28515625" customWidth="1"/>
    <col min="3337" max="3337" width="3.7109375" customWidth="1"/>
    <col min="3338" max="3340" width="2.85546875" customWidth="1"/>
    <col min="3341" max="3342" width="3.7109375" customWidth="1"/>
    <col min="3343" max="3343" width="0.5703125" customWidth="1"/>
    <col min="3344" max="3347" width="6.7109375" customWidth="1"/>
    <col min="3348" max="3348" width="7.42578125" customWidth="1"/>
    <col min="3349" max="3354" width="6.7109375" customWidth="1"/>
    <col min="3355" max="3355" width="7.42578125" customWidth="1"/>
    <col min="3356" max="3356" width="12.42578125" customWidth="1"/>
    <col min="3357" max="3357" width="1.5703125" customWidth="1"/>
    <col min="3358" max="3358" width="16.140625" customWidth="1"/>
    <col min="3359" max="3359" width="14.28515625" customWidth="1"/>
    <col min="3360" max="3360" width="19" customWidth="1"/>
    <col min="3361" max="3361" width="11.5703125" customWidth="1"/>
    <col min="3362" max="3362" width="13.28515625" customWidth="1"/>
    <col min="3363" max="3363" width="11" customWidth="1"/>
    <col min="3364" max="3364" width="11.7109375" customWidth="1"/>
    <col min="3365" max="3365" width="8.85546875" customWidth="1"/>
    <col min="3366" max="3366" width="13.85546875" customWidth="1"/>
    <col min="3582" max="3582" width="1.7109375" customWidth="1"/>
    <col min="3583" max="3583" width="1.42578125" customWidth="1"/>
    <col min="3584" max="3584" width="3" customWidth="1"/>
    <col min="3585" max="3585" width="3.7109375" customWidth="1"/>
    <col min="3586" max="3590" width="2.85546875" customWidth="1"/>
    <col min="3591" max="3591" width="3.7109375" customWidth="1"/>
    <col min="3592" max="3592" width="3.28515625" customWidth="1"/>
    <col min="3593" max="3593" width="3.7109375" customWidth="1"/>
    <col min="3594" max="3596" width="2.85546875" customWidth="1"/>
    <col min="3597" max="3598" width="3.7109375" customWidth="1"/>
    <col min="3599" max="3599" width="0.5703125" customWidth="1"/>
    <col min="3600" max="3603" width="6.7109375" customWidth="1"/>
    <col min="3604" max="3604" width="7.42578125" customWidth="1"/>
    <col min="3605" max="3610" width="6.7109375" customWidth="1"/>
    <col min="3611" max="3611" width="7.42578125" customWidth="1"/>
    <col min="3612" max="3612" width="12.42578125" customWidth="1"/>
    <col min="3613" max="3613" width="1.5703125" customWidth="1"/>
    <col min="3614" max="3614" width="16.140625" customWidth="1"/>
    <col min="3615" max="3615" width="14.28515625" customWidth="1"/>
    <col min="3616" max="3616" width="19" customWidth="1"/>
    <col min="3617" max="3617" width="11.5703125" customWidth="1"/>
    <col min="3618" max="3618" width="13.28515625" customWidth="1"/>
    <col min="3619" max="3619" width="11" customWidth="1"/>
    <col min="3620" max="3620" width="11.7109375" customWidth="1"/>
    <col min="3621" max="3621" width="8.85546875" customWidth="1"/>
    <col min="3622" max="3622" width="13.85546875" customWidth="1"/>
    <col min="3838" max="3838" width="1.7109375" customWidth="1"/>
    <col min="3839" max="3839" width="1.42578125" customWidth="1"/>
    <col min="3840" max="3840" width="3" customWidth="1"/>
    <col min="3841" max="3841" width="3.7109375" customWidth="1"/>
    <col min="3842" max="3846" width="2.85546875" customWidth="1"/>
    <col min="3847" max="3847" width="3.7109375" customWidth="1"/>
    <col min="3848" max="3848" width="3.28515625" customWidth="1"/>
    <col min="3849" max="3849" width="3.7109375" customWidth="1"/>
    <col min="3850" max="3852" width="2.85546875" customWidth="1"/>
    <col min="3853" max="3854" width="3.7109375" customWidth="1"/>
    <col min="3855" max="3855" width="0.5703125" customWidth="1"/>
    <col min="3856" max="3859" width="6.7109375" customWidth="1"/>
    <col min="3860" max="3860" width="7.42578125" customWidth="1"/>
    <col min="3861" max="3866" width="6.7109375" customWidth="1"/>
    <col min="3867" max="3867" width="7.42578125" customWidth="1"/>
    <col min="3868" max="3868" width="12.42578125" customWidth="1"/>
    <col min="3869" max="3869" width="1.5703125" customWidth="1"/>
    <col min="3870" max="3870" width="16.140625" customWidth="1"/>
    <col min="3871" max="3871" width="14.28515625" customWidth="1"/>
    <col min="3872" max="3872" width="19" customWidth="1"/>
    <col min="3873" max="3873" width="11.5703125" customWidth="1"/>
    <col min="3874" max="3874" width="13.28515625" customWidth="1"/>
    <col min="3875" max="3875" width="11" customWidth="1"/>
    <col min="3876" max="3876" width="11.7109375" customWidth="1"/>
    <col min="3877" max="3877" width="8.85546875" customWidth="1"/>
    <col min="3878" max="3878" width="13.85546875" customWidth="1"/>
    <col min="4094" max="4094" width="1.7109375" customWidth="1"/>
    <col min="4095" max="4095" width="1.42578125" customWidth="1"/>
    <col min="4096" max="4096" width="3" customWidth="1"/>
    <col min="4097" max="4097" width="3.7109375" customWidth="1"/>
    <col min="4098" max="4102" width="2.85546875" customWidth="1"/>
    <col min="4103" max="4103" width="3.7109375" customWidth="1"/>
    <col min="4104" max="4104" width="3.28515625" customWidth="1"/>
    <col min="4105" max="4105" width="3.7109375" customWidth="1"/>
    <col min="4106" max="4108" width="2.85546875" customWidth="1"/>
    <col min="4109" max="4110" width="3.7109375" customWidth="1"/>
    <col min="4111" max="4111" width="0.5703125" customWidth="1"/>
    <col min="4112" max="4115" width="6.7109375" customWidth="1"/>
    <col min="4116" max="4116" width="7.42578125" customWidth="1"/>
    <col min="4117" max="4122" width="6.7109375" customWidth="1"/>
    <col min="4123" max="4123" width="7.42578125" customWidth="1"/>
    <col min="4124" max="4124" width="12.42578125" customWidth="1"/>
    <col min="4125" max="4125" width="1.5703125" customWidth="1"/>
    <col min="4126" max="4126" width="16.140625" customWidth="1"/>
    <col min="4127" max="4127" width="14.28515625" customWidth="1"/>
    <col min="4128" max="4128" width="19" customWidth="1"/>
    <col min="4129" max="4129" width="11.5703125" customWidth="1"/>
    <col min="4130" max="4130" width="13.28515625" customWidth="1"/>
    <col min="4131" max="4131" width="11" customWidth="1"/>
    <col min="4132" max="4132" width="11.7109375" customWidth="1"/>
    <col min="4133" max="4133" width="8.85546875" customWidth="1"/>
    <col min="4134" max="4134" width="13.85546875" customWidth="1"/>
    <col min="4350" max="4350" width="1.7109375" customWidth="1"/>
    <col min="4351" max="4351" width="1.42578125" customWidth="1"/>
    <col min="4352" max="4352" width="3" customWidth="1"/>
    <col min="4353" max="4353" width="3.7109375" customWidth="1"/>
    <col min="4354" max="4358" width="2.85546875" customWidth="1"/>
    <col min="4359" max="4359" width="3.7109375" customWidth="1"/>
    <col min="4360" max="4360" width="3.28515625" customWidth="1"/>
    <col min="4361" max="4361" width="3.7109375" customWidth="1"/>
    <col min="4362" max="4364" width="2.85546875" customWidth="1"/>
    <col min="4365" max="4366" width="3.7109375" customWidth="1"/>
    <col min="4367" max="4367" width="0.5703125" customWidth="1"/>
    <col min="4368" max="4371" width="6.7109375" customWidth="1"/>
    <col min="4372" max="4372" width="7.42578125" customWidth="1"/>
    <col min="4373" max="4378" width="6.7109375" customWidth="1"/>
    <col min="4379" max="4379" width="7.42578125" customWidth="1"/>
    <col min="4380" max="4380" width="12.42578125" customWidth="1"/>
    <col min="4381" max="4381" width="1.5703125" customWidth="1"/>
    <col min="4382" max="4382" width="16.140625" customWidth="1"/>
    <col min="4383" max="4383" width="14.28515625" customWidth="1"/>
    <col min="4384" max="4384" width="19" customWidth="1"/>
    <col min="4385" max="4385" width="11.5703125" customWidth="1"/>
    <col min="4386" max="4386" width="13.28515625" customWidth="1"/>
    <col min="4387" max="4387" width="11" customWidth="1"/>
    <col min="4388" max="4388" width="11.7109375" customWidth="1"/>
    <col min="4389" max="4389" width="8.85546875" customWidth="1"/>
    <col min="4390" max="4390" width="13.85546875" customWidth="1"/>
    <col min="4606" max="4606" width="1.7109375" customWidth="1"/>
    <col min="4607" max="4607" width="1.42578125" customWidth="1"/>
    <col min="4608" max="4608" width="3" customWidth="1"/>
    <col min="4609" max="4609" width="3.7109375" customWidth="1"/>
    <col min="4610" max="4614" width="2.85546875" customWidth="1"/>
    <col min="4615" max="4615" width="3.7109375" customWidth="1"/>
    <col min="4616" max="4616" width="3.28515625" customWidth="1"/>
    <col min="4617" max="4617" width="3.7109375" customWidth="1"/>
    <col min="4618" max="4620" width="2.85546875" customWidth="1"/>
    <col min="4621" max="4622" width="3.7109375" customWidth="1"/>
    <col min="4623" max="4623" width="0.5703125" customWidth="1"/>
    <col min="4624" max="4627" width="6.7109375" customWidth="1"/>
    <col min="4628" max="4628" width="7.42578125" customWidth="1"/>
    <col min="4629" max="4634" width="6.7109375" customWidth="1"/>
    <col min="4635" max="4635" width="7.42578125" customWidth="1"/>
    <col min="4636" max="4636" width="12.42578125" customWidth="1"/>
    <col min="4637" max="4637" width="1.5703125" customWidth="1"/>
    <col min="4638" max="4638" width="16.140625" customWidth="1"/>
    <col min="4639" max="4639" width="14.28515625" customWidth="1"/>
    <col min="4640" max="4640" width="19" customWidth="1"/>
    <col min="4641" max="4641" width="11.5703125" customWidth="1"/>
    <col min="4642" max="4642" width="13.28515625" customWidth="1"/>
    <col min="4643" max="4643" width="11" customWidth="1"/>
    <col min="4644" max="4644" width="11.7109375" customWidth="1"/>
    <col min="4645" max="4645" width="8.85546875" customWidth="1"/>
    <col min="4646" max="4646" width="13.85546875" customWidth="1"/>
    <col min="4862" max="4862" width="1.7109375" customWidth="1"/>
    <col min="4863" max="4863" width="1.42578125" customWidth="1"/>
    <col min="4864" max="4864" width="3" customWidth="1"/>
    <col min="4865" max="4865" width="3.7109375" customWidth="1"/>
    <col min="4866" max="4870" width="2.85546875" customWidth="1"/>
    <col min="4871" max="4871" width="3.7109375" customWidth="1"/>
    <col min="4872" max="4872" width="3.28515625" customWidth="1"/>
    <col min="4873" max="4873" width="3.7109375" customWidth="1"/>
    <col min="4874" max="4876" width="2.85546875" customWidth="1"/>
    <col min="4877" max="4878" width="3.7109375" customWidth="1"/>
    <col min="4879" max="4879" width="0.5703125" customWidth="1"/>
    <col min="4880" max="4883" width="6.7109375" customWidth="1"/>
    <col min="4884" max="4884" width="7.42578125" customWidth="1"/>
    <col min="4885" max="4890" width="6.7109375" customWidth="1"/>
    <col min="4891" max="4891" width="7.42578125" customWidth="1"/>
    <col min="4892" max="4892" width="12.42578125" customWidth="1"/>
    <col min="4893" max="4893" width="1.5703125" customWidth="1"/>
    <col min="4894" max="4894" width="16.140625" customWidth="1"/>
    <col min="4895" max="4895" width="14.28515625" customWidth="1"/>
    <col min="4896" max="4896" width="19" customWidth="1"/>
    <col min="4897" max="4897" width="11.5703125" customWidth="1"/>
    <col min="4898" max="4898" width="13.28515625" customWidth="1"/>
    <col min="4899" max="4899" width="11" customWidth="1"/>
    <col min="4900" max="4900" width="11.7109375" customWidth="1"/>
    <col min="4901" max="4901" width="8.85546875" customWidth="1"/>
    <col min="4902" max="4902" width="13.85546875" customWidth="1"/>
    <col min="5118" max="5118" width="1.7109375" customWidth="1"/>
    <col min="5119" max="5119" width="1.42578125" customWidth="1"/>
    <col min="5120" max="5120" width="3" customWidth="1"/>
    <col min="5121" max="5121" width="3.7109375" customWidth="1"/>
    <col min="5122" max="5126" width="2.85546875" customWidth="1"/>
    <col min="5127" max="5127" width="3.7109375" customWidth="1"/>
    <col min="5128" max="5128" width="3.28515625" customWidth="1"/>
    <col min="5129" max="5129" width="3.7109375" customWidth="1"/>
    <col min="5130" max="5132" width="2.85546875" customWidth="1"/>
    <col min="5133" max="5134" width="3.7109375" customWidth="1"/>
    <col min="5135" max="5135" width="0.5703125" customWidth="1"/>
    <col min="5136" max="5139" width="6.7109375" customWidth="1"/>
    <col min="5140" max="5140" width="7.42578125" customWidth="1"/>
    <col min="5141" max="5146" width="6.7109375" customWidth="1"/>
    <col min="5147" max="5147" width="7.42578125" customWidth="1"/>
    <col min="5148" max="5148" width="12.42578125" customWidth="1"/>
    <col min="5149" max="5149" width="1.5703125" customWidth="1"/>
    <col min="5150" max="5150" width="16.140625" customWidth="1"/>
    <col min="5151" max="5151" width="14.28515625" customWidth="1"/>
    <col min="5152" max="5152" width="19" customWidth="1"/>
    <col min="5153" max="5153" width="11.5703125" customWidth="1"/>
    <col min="5154" max="5154" width="13.28515625" customWidth="1"/>
    <col min="5155" max="5155" width="11" customWidth="1"/>
    <col min="5156" max="5156" width="11.7109375" customWidth="1"/>
    <col min="5157" max="5157" width="8.85546875" customWidth="1"/>
    <col min="5158" max="5158" width="13.85546875" customWidth="1"/>
    <col min="5374" max="5374" width="1.7109375" customWidth="1"/>
    <col min="5375" max="5375" width="1.42578125" customWidth="1"/>
    <col min="5376" max="5376" width="3" customWidth="1"/>
    <col min="5377" max="5377" width="3.7109375" customWidth="1"/>
    <col min="5378" max="5382" width="2.85546875" customWidth="1"/>
    <col min="5383" max="5383" width="3.7109375" customWidth="1"/>
    <col min="5384" max="5384" width="3.28515625" customWidth="1"/>
    <col min="5385" max="5385" width="3.7109375" customWidth="1"/>
    <col min="5386" max="5388" width="2.85546875" customWidth="1"/>
    <col min="5389" max="5390" width="3.7109375" customWidth="1"/>
    <col min="5391" max="5391" width="0.5703125" customWidth="1"/>
    <col min="5392" max="5395" width="6.7109375" customWidth="1"/>
    <col min="5396" max="5396" width="7.42578125" customWidth="1"/>
    <col min="5397" max="5402" width="6.7109375" customWidth="1"/>
    <col min="5403" max="5403" width="7.42578125" customWidth="1"/>
    <col min="5404" max="5404" width="12.42578125" customWidth="1"/>
    <col min="5405" max="5405" width="1.5703125" customWidth="1"/>
    <col min="5406" max="5406" width="16.140625" customWidth="1"/>
    <col min="5407" max="5407" width="14.28515625" customWidth="1"/>
    <col min="5408" max="5408" width="19" customWidth="1"/>
    <col min="5409" max="5409" width="11.5703125" customWidth="1"/>
    <col min="5410" max="5410" width="13.28515625" customWidth="1"/>
    <col min="5411" max="5411" width="11" customWidth="1"/>
    <col min="5412" max="5412" width="11.7109375" customWidth="1"/>
    <col min="5413" max="5413" width="8.85546875" customWidth="1"/>
    <col min="5414" max="5414" width="13.85546875" customWidth="1"/>
    <col min="5630" max="5630" width="1.7109375" customWidth="1"/>
    <col min="5631" max="5631" width="1.42578125" customWidth="1"/>
    <col min="5632" max="5632" width="3" customWidth="1"/>
    <col min="5633" max="5633" width="3.7109375" customWidth="1"/>
    <col min="5634" max="5638" width="2.85546875" customWidth="1"/>
    <col min="5639" max="5639" width="3.7109375" customWidth="1"/>
    <col min="5640" max="5640" width="3.28515625" customWidth="1"/>
    <col min="5641" max="5641" width="3.7109375" customWidth="1"/>
    <col min="5642" max="5644" width="2.85546875" customWidth="1"/>
    <col min="5645" max="5646" width="3.7109375" customWidth="1"/>
    <col min="5647" max="5647" width="0.5703125" customWidth="1"/>
    <col min="5648" max="5651" width="6.7109375" customWidth="1"/>
    <col min="5652" max="5652" width="7.42578125" customWidth="1"/>
    <col min="5653" max="5658" width="6.7109375" customWidth="1"/>
    <col min="5659" max="5659" width="7.42578125" customWidth="1"/>
    <col min="5660" max="5660" width="12.42578125" customWidth="1"/>
    <col min="5661" max="5661" width="1.5703125" customWidth="1"/>
    <col min="5662" max="5662" width="16.140625" customWidth="1"/>
    <col min="5663" max="5663" width="14.28515625" customWidth="1"/>
    <col min="5664" max="5664" width="19" customWidth="1"/>
    <col min="5665" max="5665" width="11.5703125" customWidth="1"/>
    <col min="5666" max="5666" width="13.28515625" customWidth="1"/>
    <col min="5667" max="5667" width="11" customWidth="1"/>
    <col min="5668" max="5668" width="11.7109375" customWidth="1"/>
    <col min="5669" max="5669" width="8.85546875" customWidth="1"/>
    <col min="5670" max="5670" width="13.85546875" customWidth="1"/>
    <col min="5886" max="5886" width="1.7109375" customWidth="1"/>
    <col min="5887" max="5887" width="1.42578125" customWidth="1"/>
    <col min="5888" max="5888" width="3" customWidth="1"/>
    <col min="5889" max="5889" width="3.7109375" customWidth="1"/>
    <col min="5890" max="5894" width="2.85546875" customWidth="1"/>
    <col min="5895" max="5895" width="3.7109375" customWidth="1"/>
    <col min="5896" max="5896" width="3.28515625" customWidth="1"/>
    <col min="5897" max="5897" width="3.7109375" customWidth="1"/>
    <col min="5898" max="5900" width="2.85546875" customWidth="1"/>
    <col min="5901" max="5902" width="3.7109375" customWidth="1"/>
    <col min="5903" max="5903" width="0.5703125" customWidth="1"/>
    <col min="5904" max="5907" width="6.7109375" customWidth="1"/>
    <col min="5908" max="5908" width="7.42578125" customWidth="1"/>
    <col min="5909" max="5914" width="6.7109375" customWidth="1"/>
    <col min="5915" max="5915" width="7.42578125" customWidth="1"/>
    <col min="5916" max="5916" width="12.42578125" customWidth="1"/>
    <col min="5917" max="5917" width="1.5703125" customWidth="1"/>
    <col min="5918" max="5918" width="16.140625" customWidth="1"/>
    <col min="5919" max="5919" width="14.28515625" customWidth="1"/>
    <col min="5920" max="5920" width="19" customWidth="1"/>
    <col min="5921" max="5921" width="11.5703125" customWidth="1"/>
    <col min="5922" max="5922" width="13.28515625" customWidth="1"/>
    <col min="5923" max="5923" width="11" customWidth="1"/>
    <col min="5924" max="5924" width="11.7109375" customWidth="1"/>
    <col min="5925" max="5925" width="8.85546875" customWidth="1"/>
    <col min="5926" max="5926" width="13.85546875" customWidth="1"/>
    <col min="6142" max="6142" width="1.7109375" customWidth="1"/>
    <col min="6143" max="6143" width="1.42578125" customWidth="1"/>
    <col min="6144" max="6144" width="3" customWidth="1"/>
    <col min="6145" max="6145" width="3.7109375" customWidth="1"/>
    <col min="6146" max="6150" width="2.85546875" customWidth="1"/>
    <col min="6151" max="6151" width="3.7109375" customWidth="1"/>
    <col min="6152" max="6152" width="3.28515625" customWidth="1"/>
    <col min="6153" max="6153" width="3.7109375" customWidth="1"/>
    <col min="6154" max="6156" width="2.85546875" customWidth="1"/>
    <col min="6157" max="6158" width="3.7109375" customWidth="1"/>
    <col min="6159" max="6159" width="0.5703125" customWidth="1"/>
    <col min="6160" max="6163" width="6.7109375" customWidth="1"/>
    <col min="6164" max="6164" width="7.42578125" customWidth="1"/>
    <col min="6165" max="6170" width="6.7109375" customWidth="1"/>
    <col min="6171" max="6171" width="7.42578125" customWidth="1"/>
    <col min="6172" max="6172" width="12.42578125" customWidth="1"/>
    <col min="6173" max="6173" width="1.5703125" customWidth="1"/>
    <col min="6174" max="6174" width="16.140625" customWidth="1"/>
    <col min="6175" max="6175" width="14.28515625" customWidth="1"/>
    <col min="6176" max="6176" width="19" customWidth="1"/>
    <col min="6177" max="6177" width="11.5703125" customWidth="1"/>
    <col min="6178" max="6178" width="13.28515625" customWidth="1"/>
    <col min="6179" max="6179" width="11" customWidth="1"/>
    <col min="6180" max="6180" width="11.7109375" customWidth="1"/>
    <col min="6181" max="6181" width="8.85546875" customWidth="1"/>
    <col min="6182" max="6182" width="13.85546875" customWidth="1"/>
    <col min="6398" max="6398" width="1.7109375" customWidth="1"/>
    <col min="6399" max="6399" width="1.42578125" customWidth="1"/>
    <col min="6400" max="6400" width="3" customWidth="1"/>
    <col min="6401" max="6401" width="3.7109375" customWidth="1"/>
    <col min="6402" max="6406" width="2.85546875" customWidth="1"/>
    <col min="6407" max="6407" width="3.7109375" customWidth="1"/>
    <col min="6408" max="6408" width="3.28515625" customWidth="1"/>
    <col min="6409" max="6409" width="3.7109375" customWidth="1"/>
    <col min="6410" max="6412" width="2.85546875" customWidth="1"/>
    <col min="6413" max="6414" width="3.7109375" customWidth="1"/>
    <col min="6415" max="6415" width="0.5703125" customWidth="1"/>
    <col min="6416" max="6419" width="6.7109375" customWidth="1"/>
    <col min="6420" max="6420" width="7.42578125" customWidth="1"/>
    <col min="6421" max="6426" width="6.7109375" customWidth="1"/>
    <col min="6427" max="6427" width="7.42578125" customWidth="1"/>
    <col min="6428" max="6428" width="12.42578125" customWidth="1"/>
    <col min="6429" max="6429" width="1.5703125" customWidth="1"/>
    <col min="6430" max="6430" width="16.140625" customWidth="1"/>
    <col min="6431" max="6431" width="14.28515625" customWidth="1"/>
    <col min="6432" max="6432" width="19" customWidth="1"/>
    <col min="6433" max="6433" width="11.5703125" customWidth="1"/>
    <col min="6434" max="6434" width="13.28515625" customWidth="1"/>
    <col min="6435" max="6435" width="11" customWidth="1"/>
    <col min="6436" max="6436" width="11.7109375" customWidth="1"/>
    <col min="6437" max="6437" width="8.85546875" customWidth="1"/>
    <col min="6438" max="6438" width="13.85546875" customWidth="1"/>
    <col min="6654" max="6654" width="1.7109375" customWidth="1"/>
    <col min="6655" max="6655" width="1.42578125" customWidth="1"/>
    <col min="6656" max="6656" width="3" customWidth="1"/>
    <col min="6657" max="6657" width="3.7109375" customWidth="1"/>
    <col min="6658" max="6662" width="2.85546875" customWidth="1"/>
    <col min="6663" max="6663" width="3.7109375" customWidth="1"/>
    <col min="6664" max="6664" width="3.28515625" customWidth="1"/>
    <col min="6665" max="6665" width="3.7109375" customWidth="1"/>
    <col min="6666" max="6668" width="2.85546875" customWidth="1"/>
    <col min="6669" max="6670" width="3.7109375" customWidth="1"/>
    <col min="6671" max="6671" width="0.5703125" customWidth="1"/>
    <col min="6672" max="6675" width="6.7109375" customWidth="1"/>
    <col min="6676" max="6676" width="7.42578125" customWidth="1"/>
    <col min="6677" max="6682" width="6.7109375" customWidth="1"/>
    <col min="6683" max="6683" width="7.42578125" customWidth="1"/>
    <col min="6684" max="6684" width="12.42578125" customWidth="1"/>
    <col min="6685" max="6685" width="1.5703125" customWidth="1"/>
    <col min="6686" max="6686" width="16.140625" customWidth="1"/>
    <col min="6687" max="6687" width="14.28515625" customWidth="1"/>
    <col min="6688" max="6688" width="19" customWidth="1"/>
    <col min="6689" max="6689" width="11.5703125" customWidth="1"/>
    <col min="6690" max="6690" width="13.28515625" customWidth="1"/>
    <col min="6691" max="6691" width="11" customWidth="1"/>
    <col min="6692" max="6692" width="11.7109375" customWidth="1"/>
    <col min="6693" max="6693" width="8.85546875" customWidth="1"/>
    <col min="6694" max="6694" width="13.85546875" customWidth="1"/>
    <col min="6910" max="6910" width="1.7109375" customWidth="1"/>
    <col min="6911" max="6911" width="1.42578125" customWidth="1"/>
    <col min="6912" max="6912" width="3" customWidth="1"/>
    <col min="6913" max="6913" width="3.7109375" customWidth="1"/>
    <col min="6914" max="6918" width="2.85546875" customWidth="1"/>
    <col min="6919" max="6919" width="3.7109375" customWidth="1"/>
    <col min="6920" max="6920" width="3.28515625" customWidth="1"/>
    <col min="6921" max="6921" width="3.7109375" customWidth="1"/>
    <col min="6922" max="6924" width="2.85546875" customWidth="1"/>
    <col min="6925" max="6926" width="3.7109375" customWidth="1"/>
    <col min="6927" max="6927" width="0.5703125" customWidth="1"/>
    <col min="6928" max="6931" width="6.7109375" customWidth="1"/>
    <col min="6932" max="6932" width="7.42578125" customWidth="1"/>
    <col min="6933" max="6938" width="6.7109375" customWidth="1"/>
    <col min="6939" max="6939" width="7.42578125" customWidth="1"/>
    <col min="6940" max="6940" width="12.42578125" customWidth="1"/>
    <col min="6941" max="6941" width="1.5703125" customWidth="1"/>
    <col min="6942" max="6942" width="16.140625" customWidth="1"/>
    <col min="6943" max="6943" width="14.28515625" customWidth="1"/>
    <col min="6944" max="6944" width="19" customWidth="1"/>
    <col min="6945" max="6945" width="11.5703125" customWidth="1"/>
    <col min="6946" max="6946" width="13.28515625" customWidth="1"/>
    <col min="6947" max="6947" width="11" customWidth="1"/>
    <col min="6948" max="6948" width="11.7109375" customWidth="1"/>
    <col min="6949" max="6949" width="8.85546875" customWidth="1"/>
    <col min="6950" max="6950" width="13.85546875" customWidth="1"/>
    <col min="7166" max="7166" width="1.7109375" customWidth="1"/>
    <col min="7167" max="7167" width="1.42578125" customWidth="1"/>
    <col min="7168" max="7168" width="3" customWidth="1"/>
    <col min="7169" max="7169" width="3.7109375" customWidth="1"/>
    <col min="7170" max="7174" width="2.85546875" customWidth="1"/>
    <col min="7175" max="7175" width="3.7109375" customWidth="1"/>
    <col min="7176" max="7176" width="3.28515625" customWidth="1"/>
    <col min="7177" max="7177" width="3.7109375" customWidth="1"/>
    <col min="7178" max="7180" width="2.85546875" customWidth="1"/>
    <col min="7181" max="7182" width="3.7109375" customWidth="1"/>
    <col min="7183" max="7183" width="0.5703125" customWidth="1"/>
    <col min="7184" max="7187" width="6.7109375" customWidth="1"/>
    <col min="7188" max="7188" width="7.42578125" customWidth="1"/>
    <col min="7189" max="7194" width="6.7109375" customWidth="1"/>
    <col min="7195" max="7195" width="7.42578125" customWidth="1"/>
    <col min="7196" max="7196" width="12.42578125" customWidth="1"/>
    <col min="7197" max="7197" width="1.5703125" customWidth="1"/>
    <col min="7198" max="7198" width="16.140625" customWidth="1"/>
    <col min="7199" max="7199" width="14.28515625" customWidth="1"/>
    <col min="7200" max="7200" width="19" customWidth="1"/>
    <col min="7201" max="7201" width="11.5703125" customWidth="1"/>
    <col min="7202" max="7202" width="13.28515625" customWidth="1"/>
    <col min="7203" max="7203" width="11" customWidth="1"/>
    <col min="7204" max="7204" width="11.7109375" customWidth="1"/>
    <col min="7205" max="7205" width="8.85546875" customWidth="1"/>
    <col min="7206" max="7206" width="13.85546875" customWidth="1"/>
    <col min="7422" max="7422" width="1.7109375" customWidth="1"/>
    <col min="7423" max="7423" width="1.42578125" customWidth="1"/>
    <col min="7424" max="7424" width="3" customWidth="1"/>
    <col min="7425" max="7425" width="3.7109375" customWidth="1"/>
    <col min="7426" max="7430" width="2.85546875" customWidth="1"/>
    <col min="7431" max="7431" width="3.7109375" customWidth="1"/>
    <col min="7432" max="7432" width="3.28515625" customWidth="1"/>
    <col min="7433" max="7433" width="3.7109375" customWidth="1"/>
    <col min="7434" max="7436" width="2.85546875" customWidth="1"/>
    <col min="7437" max="7438" width="3.7109375" customWidth="1"/>
    <col min="7439" max="7439" width="0.5703125" customWidth="1"/>
    <col min="7440" max="7443" width="6.7109375" customWidth="1"/>
    <col min="7444" max="7444" width="7.42578125" customWidth="1"/>
    <col min="7445" max="7450" width="6.7109375" customWidth="1"/>
    <col min="7451" max="7451" width="7.42578125" customWidth="1"/>
    <col min="7452" max="7452" width="12.42578125" customWidth="1"/>
    <col min="7453" max="7453" width="1.5703125" customWidth="1"/>
    <col min="7454" max="7454" width="16.140625" customWidth="1"/>
    <col min="7455" max="7455" width="14.28515625" customWidth="1"/>
    <col min="7456" max="7456" width="19" customWidth="1"/>
    <col min="7457" max="7457" width="11.5703125" customWidth="1"/>
    <col min="7458" max="7458" width="13.28515625" customWidth="1"/>
    <col min="7459" max="7459" width="11" customWidth="1"/>
    <col min="7460" max="7460" width="11.7109375" customWidth="1"/>
    <col min="7461" max="7461" width="8.85546875" customWidth="1"/>
    <col min="7462" max="7462" width="13.85546875" customWidth="1"/>
    <col min="7678" max="7678" width="1.7109375" customWidth="1"/>
    <col min="7679" max="7679" width="1.42578125" customWidth="1"/>
    <col min="7680" max="7680" width="3" customWidth="1"/>
    <col min="7681" max="7681" width="3.7109375" customWidth="1"/>
    <col min="7682" max="7686" width="2.85546875" customWidth="1"/>
    <col min="7687" max="7687" width="3.7109375" customWidth="1"/>
    <col min="7688" max="7688" width="3.28515625" customWidth="1"/>
    <col min="7689" max="7689" width="3.7109375" customWidth="1"/>
    <col min="7690" max="7692" width="2.85546875" customWidth="1"/>
    <col min="7693" max="7694" width="3.7109375" customWidth="1"/>
    <col min="7695" max="7695" width="0.5703125" customWidth="1"/>
    <col min="7696" max="7699" width="6.7109375" customWidth="1"/>
    <col min="7700" max="7700" width="7.42578125" customWidth="1"/>
    <col min="7701" max="7706" width="6.7109375" customWidth="1"/>
    <col min="7707" max="7707" width="7.42578125" customWidth="1"/>
    <col min="7708" max="7708" width="12.42578125" customWidth="1"/>
    <col min="7709" max="7709" width="1.5703125" customWidth="1"/>
    <col min="7710" max="7710" width="16.140625" customWidth="1"/>
    <col min="7711" max="7711" width="14.28515625" customWidth="1"/>
    <col min="7712" max="7712" width="19" customWidth="1"/>
    <col min="7713" max="7713" width="11.5703125" customWidth="1"/>
    <col min="7714" max="7714" width="13.28515625" customWidth="1"/>
    <col min="7715" max="7715" width="11" customWidth="1"/>
    <col min="7716" max="7716" width="11.7109375" customWidth="1"/>
    <col min="7717" max="7717" width="8.85546875" customWidth="1"/>
    <col min="7718" max="7718" width="13.85546875" customWidth="1"/>
    <col min="7934" max="7934" width="1.7109375" customWidth="1"/>
    <col min="7935" max="7935" width="1.42578125" customWidth="1"/>
    <col min="7936" max="7936" width="3" customWidth="1"/>
    <col min="7937" max="7937" width="3.7109375" customWidth="1"/>
    <col min="7938" max="7942" width="2.85546875" customWidth="1"/>
    <col min="7943" max="7943" width="3.7109375" customWidth="1"/>
    <col min="7944" max="7944" width="3.28515625" customWidth="1"/>
    <col min="7945" max="7945" width="3.7109375" customWidth="1"/>
    <col min="7946" max="7948" width="2.85546875" customWidth="1"/>
    <col min="7949" max="7950" width="3.7109375" customWidth="1"/>
    <col min="7951" max="7951" width="0.5703125" customWidth="1"/>
    <col min="7952" max="7955" width="6.7109375" customWidth="1"/>
    <col min="7956" max="7956" width="7.42578125" customWidth="1"/>
    <col min="7957" max="7962" width="6.7109375" customWidth="1"/>
    <col min="7963" max="7963" width="7.42578125" customWidth="1"/>
    <col min="7964" max="7964" width="12.42578125" customWidth="1"/>
    <col min="7965" max="7965" width="1.5703125" customWidth="1"/>
    <col min="7966" max="7966" width="16.140625" customWidth="1"/>
    <col min="7967" max="7967" width="14.28515625" customWidth="1"/>
    <col min="7968" max="7968" width="19" customWidth="1"/>
    <col min="7969" max="7969" width="11.5703125" customWidth="1"/>
    <col min="7970" max="7970" width="13.28515625" customWidth="1"/>
    <col min="7971" max="7971" width="11" customWidth="1"/>
    <col min="7972" max="7972" width="11.7109375" customWidth="1"/>
    <col min="7973" max="7973" width="8.85546875" customWidth="1"/>
    <col min="7974" max="7974" width="13.85546875" customWidth="1"/>
    <col min="8190" max="8190" width="1.7109375" customWidth="1"/>
    <col min="8191" max="8191" width="1.42578125" customWidth="1"/>
    <col min="8192" max="8192" width="3" customWidth="1"/>
    <col min="8193" max="8193" width="3.7109375" customWidth="1"/>
    <col min="8194" max="8198" width="2.85546875" customWidth="1"/>
    <col min="8199" max="8199" width="3.7109375" customWidth="1"/>
    <col min="8200" max="8200" width="3.28515625" customWidth="1"/>
    <col min="8201" max="8201" width="3.7109375" customWidth="1"/>
    <col min="8202" max="8204" width="2.85546875" customWidth="1"/>
    <col min="8205" max="8206" width="3.7109375" customWidth="1"/>
    <col min="8207" max="8207" width="0.5703125" customWidth="1"/>
    <col min="8208" max="8211" width="6.7109375" customWidth="1"/>
    <col min="8212" max="8212" width="7.42578125" customWidth="1"/>
    <col min="8213" max="8218" width="6.7109375" customWidth="1"/>
    <col min="8219" max="8219" width="7.42578125" customWidth="1"/>
    <col min="8220" max="8220" width="12.42578125" customWidth="1"/>
    <col min="8221" max="8221" width="1.5703125" customWidth="1"/>
    <col min="8222" max="8222" width="16.140625" customWidth="1"/>
    <col min="8223" max="8223" width="14.28515625" customWidth="1"/>
    <col min="8224" max="8224" width="19" customWidth="1"/>
    <col min="8225" max="8225" width="11.5703125" customWidth="1"/>
    <col min="8226" max="8226" width="13.28515625" customWidth="1"/>
    <col min="8227" max="8227" width="11" customWidth="1"/>
    <col min="8228" max="8228" width="11.7109375" customWidth="1"/>
    <col min="8229" max="8229" width="8.85546875" customWidth="1"/>
    <col min="8230" max="8230" width="13.85546875" customWidth="1"/>
    <col min="8446" max="8446" width="1.7109375" customWidth="1"/>
    <col min="8447" max="8447" width="1.42578125" customWidth="1"/>
    <col min="8448" max="8448" width="3" customWidth="1"/>
    <col min="8449" max="8449" width="3.7109375" customWidth="1"/>
    <col min="8450" max="8454" width="2.85546875" customWidth="1"/>
    <col min="8455" max="8455" width="3.7109375" customWidth="1"/>
    <col min="8456" max="8456" width="3.28515625" customWidth="1"/>
    <col min="8457" max="8457" width="3.7109375" customWidth="1"/>
    <col min="8458" max="8460" width="2.85546875" customWidth="1"/>
    <col min="8461" max="8462" width="3.7109375" customWidth="1"/>
    <col min="8463" max="8463" width="0.5703125" customWidth="1"/>
    <col min="8464" max="8467" width="6.7109375" customWidth="1"/>
    <col min="8468" max="8468" width="7.42578125" customWidth="1"/>
    <col min="8469" max="8474" width="6.7109375" customWidth="1"/>
    <col min="8475" max="8475" width="7.42578125" customWidth="1"/>
    <col min="8476" max="8476" width="12.42578125" customWidth="1"/>
    <col min="8477" max="8477" width="1.5703125" customWidth="1"/>
    <col min="8478" max="8478" width="16.140625" customWidth="1"/>
    <col min="8479" max="8479" width="14.28515625" customWidth="1"/>
    <col min="8480" max="8480" width="19" customWidth="1"/>
    <col min="8481" max="8481" width="11.5703125" customWidth="1"/>
    <col min="8482" max="8482" width="13.28515625" customWidth="1"/>
    <col min="8483" max="8483" width="11" customWidth="1"/>
    <col min="8484" max="8484" width="11.7109375" customWidth="1"/>
    <col min="8485" max="8485" width="8.85546875" customWidth="1"/>
    <col min="8486" max="8486" width="13.85546875" customWidth="1"/>
    <col min="8702" max="8702" width="1.7109375" customWidth="1"/>
    <col min="8703" max="8703" width="1.42578125" customWidth="1"/>
    <col min="8704" max="8704" width="3" customWidth="1"/>
    <col min="8705" max="8705" width="3.7109375" customWidth="1"/>
    <col min="8706" max="8710" width="2.85546875" customWidth="1"/>
    <col min="8711" max="8711" width="3.7109375" customWidth="1"/>
    <col min="8712" max="8712" width="3.28515625" customWidth="1"/>
    <col min="8713" max="8713" width="3.7109375" customWidth="1"/>
    <col min="8714" max="8716" width="2.85546875" customWidth="1"/>
    <col min="8717" max="8718" width="3.7109375" customWidth="1"/>
    <col min="8719" max="8719" width="0.5703125" customWidth="1"/>
    <col min="8720" max="8723" width="6.7109375" customWidth="1"/>
    <col min="8724" max="8724" width="7.42578125" customWidth="1"/>
    <col min="8725" max="8730" width="6.7109375" customWidth="1"/>
    <col min="8731" max="8731" width="7.42578125" customWidth="1"/>
    <col min="8732" max="8732" width="12.42578125" customWidth="1"/>
    <col min="8733" max="8733" width="1.5703125" customWidth="1"/>
    <col min="8734" max="8734" width="16.140625" customWidth="1"/>
    <col min="8735" max="8735" width="14.28515625" customWidth="1"/>
    <col min="8736" max="8736" width="19" customWidth="1"/>
    <col min="8737" max="8737" width="11.5703125" customWidth="1"/>
    <col min="8738" max="8738" width="13.28515625" customWidth="1"/>
    <col min="8739" max="8739" width="11" customWidth="1"/>
    <col min="8740" max="8740" width="11.7109375" customWidth="1"/>
    <col min="8741" max="8741" width="8.85546875" customWidth="1"/>
    <col min="8742" max="8742" width="13.85546875" customWidth="1"/>
    <col min="8958" max="8958" width="1.7109375" customWidth="1"/>
    <col min="8959" max="8959" width="1.42578125" customWidth="1"/>
    <col min="8960" max="8960" width="3" customWidth="1"/>
    <col min="8961" max="8961" width="3.7109375" customWidth="1"/>
    <col min="8962" max="8966" width="2.85546875" customWidth="1"/>
    <col min="8967" max="8967" width="3.7109375" customWidth="1"/>
    <col min="8968" max="8968" width="3.28515625" customWidth="1"/>
    <col min="8969" max="8969" width="3.7109375" customWidth="1"/>
    <col min="8970" max="8972" width="2.85546875" customWidth="1"/>
    <col min="8973" max="8974" width="3.7109375" customWidth="1"/>
    <col min="8975" max="8975" width="0.5703125" customWidth="1"/>
    <col min="8976" max="8979" width="6.7109375" customWidth="1"/>
    <col min="8980" max="8980" width="7.42578125" customWidth="1"/>
    <col min="8981" max="8986" width="6.7109375" customWidth="1"/>
    <col min="8987" max="8987" width="7.42578125" customWidth="1"/>
    <col min="8988" max="8988" width="12.42578125" customWidth="1"/>
    <col min="8989" max="8989" width="1.5703125" customWidth="1"/>
    <col min="8990" max="8990" width="16.140625" customWidth="1"/>
    <col min="8991" max="8991" width="14.28515625" customWidth="1"/>
    <col min="8992" max="8992" width="19" customWidth="1"/>
    <col min="8993" max="8993" width="11.5703125" customWidth="1"/>
    <col min="8994" max="8994" width="13.28515625" customWidth="1"/>
    <col min="8995" max="8995" width="11" customWidth="1"/>
    <col min="8996" max="8996" width="11.7109375" customWidth="1"/>
    <col min="8997" max="8997" width="8.85546875" customWidth="1"/>
    <col min="8998" max="8998" width="13.85546875" customWidth="1"/>
    <col min="9214" max="9214" width="1.7109375" customWidth="1"/>
    <col min="9215" max="9215" width="1.42578125" customWidth="1"/>
    <col min="9216" max="9216" width="3" customWidth="1"/>
    <col min="9217" max="9217" width="3.7109375" customWidth="1"/>
    <col min="9218" max="9222" width="2.85546875" customWidth="1"/>
    <col min="9223" max="9223" width="3.7109375" customWidth="1"/>
    <col min="9224" max="9224" width="3.28515625" customWidth="1"/>
    <col min="9225" max="9225" width="3.7109375" customWidth="1"/>
    <col min="9226" max="9228" width="2.85546875" customWidth="1"/>
    <col min="9229" max="9230" width="3.7109375" customWidth="1"/>
    <col min="9231" max="9231" width="0.5703125" customWidth="1"/>
    <col min="9232" max="9235" width="6.7109375" customWidth="1"/>
    <col min="9236" max="9236" width="7.42578125" customWidth="1"/>
    <col min="9237" max="9242" width="6.7109375" customWidth="1"/>
    <col min="9243" max="9243" width="7.42578125" customWidth="1"/>
    <col min="9244" max="9244" width="12.42578125" customWidth="1"/>
    <col min="9245" max="9245" width="1.5703125" customWidth="1"/>
    <col min="9246" max="9246" width="16.140625" customWidth="1"/>
    <col min="9247" max="9247" width="14.28515625" customWidth="1"/>
    <col min="9248" max="9248" width="19" customWidth="1"/>
    <col min="9249" max="9249" width="11.5703125" customWidth="1"/>
    <col min="9250" max="9250" width="13.28515625" customWidth="1"/>
    <col min="9251" max="9251" width="11" customWidth="1"/>
    <col min="9252" max="9252" width="11.7109375" customWidth="1"/>
    <col min="9253" max="9253" width="8.85546875" customWidth="1"/>
    <col min="9254" max="9254" width="13.85546875" customWidth="1"/>
    <col min="9470" max="9470" width="1.7109375" customWidth="1"/>
    <col min="9471" max="9471" width="1.42578125" customWidth="1"/>
    <col min="9472" max="9472" width="3" customWidth="1"/>
    <col min="9473" max="9473" width="3.7109375" customWidth="1"/>
    <col min="9474" max="9478" width="2.85546875" customWidth="1"/>
    <col min="9479" max="9479" width="3.7109375" customWidth="1"/>
    <col min="9480" max="9480" width="3.28515625" customWidth="1"/>
    <col min="9481" max="9481" width="3.7109375" customWidth="1"/>
    <col min="9482" max="9484" width="2.85546875" customWidth="1"/>
    <col min="9485" max="9486" width="3.7109375" customWidth="1"/>
    <col min="9487" max="9487" width="0.5703125" customWidth="1"/>
    <col min="9488" max="9491" width="6.7109375" customWidth="1"/>
    <col min="9492" max="9492" width="7.42578125" customWidth="1"/>
    <col min="9493" max="9498" width="6.7109375" customWidth="1"/>
    <col min="9499" max="9499" width="7.42578125" customWidth="1"/>
    <col min="9500" max="9500" width="12.42578125" customWidth="1"/>
    <col min="9501" max="9501" width="1.5703125" customWidth="1"/>
    <col min="9502" max="9502" width="16.140625" customWidth="1"/>
    <col min="9503" max="9503" width="14.28515625" customWidth="1"/>
    <col min="9504" max="9504" width="19" customWidth="1"/>
    <col min="9505" max="9505" width="11.5703125" customWidth="1"/>
    <col min="9506" max="9506" width="13.28515625" customWidth="1"/>
    <col min="9507" max="9507" width="11" customWidth="1"/>
    <col min="9508" max="9508" width="11.7109375" customWidth="1"/>
    <col min="9509" max="9509" width="8.85546875" customWidth="1"/>
    <col min="9510" max="9510" width="13.85546875" customWidth="1"/>
    <col min="9726" max="9726" width="1.7109375" customWidth="1"/>
    <col min="9727" max="9727" width="1.42578125" customWidth="1"/>
    <col min="9728" max="9728" width="3" customWidth="1"/>
    <col min="9729" max="9729" width="3.7109375" customWidth="1"/>
    <col min="9730" max="9734" width="2.85546875" customWidth="1"/>
    <col min="9735" max="9735" width="3.7109375" customWidth="1"/>
    <col min="9736" max="9736" width="3.28515625" customWidth="1"/>
    <col min="9737" max="9737" width="3.7109375" customWidth="1"/>
    <col min="9738" max="9740" width="2.85546875" customWidth="1"/>
    <col min="9741" max="9742" width="3.7109375" customWidth="1"/>
    <col min="9743" max="9743" width="0.5703125" customWidth="1"/>
    <col min="9744" max="9747" width="6.7109375" customWidth="1"/>
    <col min="9748" max="9748" width="7.42578125" customWidth="1"/>
    <col min="9749" max="9754" width="6.7109375" customWidth="1"/>
    <col min="9755" max="9755" width="7.42578125" customWidth="1"/>
    <col min="9756" max="9756" width="12.42578125" customWidth="1"/>
    <col min="9757" max="9757" width="1.5703125" customWidth="1"/>
    <col min="9758" max="9758" width="16.140625" customWidth="1"/>
    <col min="9759" max="9759" width="14.28515625" customWidth="1"/>
    <col min="9760" max="9760" width="19" customWidth="1"/>
    <col min="9761" max="9761" width="11.5703125" customWidth="1"/>
    <col min="9762" max="9762" width="13.28515625" customWidth="1"/>
    <col min="9763" max="9763" width="11" customWidth="1"/>
    <col min="9764" max="9764" width="11.7109375" customWidth="1"/>
    <col min="9765" max="9765" width="8.85546875" customWidth="1"/>
    <col min="9766" max="9766" width="13.85546875" customWidth="1"/>
    <col min="9982" max="9982" width="1.7109375" customWidth="1"/>
    <col min="9983" max="9983" width="1.42578125" customWidth="1"/>
    <col min="9984" max="9984" width="3" customWidth="1"/>
    <col min="9985" max="9985" width="3.7109375" customWidth="1"/>
    <col min="9986" max="9990" width="2.85546875" customWidth="1"/>
    <col min="9991" max="9991" width="3.7109375" customWidth="1"/>
    <col min="9992" max="9992" width="3.28515625" customWidth="1"/>
    <col min="9993" max="9993" width="3.7109375" customWidth="1"/>
    <col min="9994" max="9996" width="2.85546875" customWidth="1"/>
    <col min="9997" max="9998" width="3.7109375" customWidth="1"/>
    <col min="9999" max="9999" width="0.5703125" customWidth="1"/>
    <col min="10000" max="10003" width="6.7109375" customWidth="1"/>
    <col min="10004" max="10004" width="7.42578125" customWidth="1"/>
    <col min="10005" max="10010" width="6.7109375" customWidth="1"/>
    <col min="10011" max="10011" width="7.42578125" customWidth="1"/>
    <col min="10012" max="10012" width="12.42578125" customWidth="1"/>
    <col min="10013" max="10013" width="1.5703125" customWidth="1"/>
    <col min="10014" max="10014" width="16.140625" customWidth="1"/>
    <col min="10015" max="10015" width="14.28515625" customWidth="1"/>
    <col min="10016" max="10016" width="19" customWidth="1"/>
    <col min="10017" max="10017" width="11.5703125" customWidth="1"/>
    <col min="10018" max="10018" width="13.28515625" customWidth="1"/>
    <col min="10019" max="10019" width="11" customWidth="1"/>
    <col min="10020" max="10020" width="11.7109375" customWidth="1"/>
    <col min="10021" max="10021" width="8.85546875" customWidth="1"/>
    <col min="10022" max="10022" width="13.85546875" customWidth="1"/>
    <col min="10238" max="10238" width="1.7109375" customWidth="1"/>
    <col min="10239" max="10239" width="1.42578125" customWidth="1"/>
    <col min="10240" max="10240" width="3" customWidth="1"/>
    <col min="10241" max="10241" width="3.7109375" customWidth="1"/>
    <col min="10242" max="10246" width="2.85546875" customWidth="1"/>
    <col min="10247" max="10247" width="3.7109375" customWidth="1"/>
    <col min="10248" max="10248" width="3.28515625" customWidth="1"/>
    <col min="10249" max="10249" width="3.7109375" customWidth="1"/>
    <col min="10250" max="10252" width="2.85546875" customWidth="1"/>
    <col min="10253" max="10254" width="3.7109375" customWidth="1"/>
    <col min="10255" max="10255" width="0.5703125" customWidth="1"/>
    <col min="10256" max="10259" width="6.7109375" customWidth="1"/>
    <col min="10260" max="10260" width="7.42578125" customWidth="1"/>
    <col min="10261" max="10266" width="6.7109375" customWidth="1"/>
    <col min="10267" max="10267" width="7.42578125" customWidth="1"/>
    <col min="10268" max="10268" width="12.42578125" customWidth="1"/>
    <col min="10269" max="10269" width="1.5703125" customWidth="1"/>
    <col min="10270" max="10270" width="16.140625" customWidth="1"/>
    <col min="10271" max="10271" width="14.28515625" customWidth="1"/>
    <col min="10272" max="10272" width="19" customWidth="1"/>
    <col min="10273" max="10273" width="11.5703125" customWidth="1"/>
    <col min="10274" max="10274" width="13.28515625" customWidth="1"/>
    <col min="10275" max="10275" width="11" customWidth="1"/>
    <col min="10276" max="10276" width="11.7109375" customWidth="1"/>
    <col min="10277" max="10277" width="8.85546875" customWidth="1"/>
    <col min="10278" max="10278" width="13.85546875" customWidth="1"/>
    <col min="10494" max="10494" width="1.7109375" customWidth="1"/>
    <col min="10495" max="10495" width="1.42578125" customWidth="1"/>
    <col min="10496" max="10496" width="3" customWidth="1"/>
    <col min="10497" max="10497" width="3.7109375" customWidth="1"/>
    <col min="10498" max="10502" width="2.85546875" customWidth="1"/>
    <col min="10503" max="10503" width="3.7109375" customWidth="1"/>
    <col min="10504" max="10504" width="3.28515625" customWidth="1"/>
    <col min="10505" max="10505" width="3.7109375" customWidth="1"/>
    <col min="10506" max="10508" width="2.85546875" customWidth="1"/>
    <col min="10509" max="10510" width="3.7109375" customWidth="1"/>
    <col min="10511" max="10511" width="0.5703125" customWidth="1"/>
    <col min="10512" max="10515" width="6.7109375" customWidth="1"/>
    <col min="10516" max="10516" width="7.42578125" customWidth="1"/>
    <col min="10517" max="10522" width="6.7109375" customWidth="1"/>
    <col min="10523" max="10523" width="7.42578125" customWidth="1"/>
    <col min="10524" max="10524" width="12.42578125" customWidth="1"/>
    <col min="10525" max="10525" width="1.5703125" customWidth="1"/>
    <col min="10526" max="10526" width="16.140625" customWidth="1"/>
    <col min="10527" max="10527" width="14.28515625" customWidth="1"/>
    <col min="10528" max="10528" width="19" customWidth="1"/>
    <col min="10529" max="10529" width="11.5703125" customWidth="1"/>
    <col min="10530" max="10530" width="13.28515625" customWidth="1"/>
    <col min="10531" max="10531" width="11" customWidth="1"/>
    <col min="10532" max="10532" width="11.7109375" customWidth="1"/>
    <col min="10533" max="10533" width="8.85546875" customWidth="1"/>
    <col min="10534" max="10534" width="13.85546875" customWidth="1"/>
    <col min="10750" max="10750" width="1.7109375" customWidth="1"/>
    <col min="10751" max="10751" width="1.42578125" customWidth="1"/>
    <col min="10752" max="10752" width="3" customWidth="1"/>
    <col min="10753" max="10753" width="3.7109375" customWidth="1"/>
    <col min="10754" max="10758" width="2.85546875" customWidth="1"/>
    <col min="10759" max="10759" width="3.7109375" customWidth="1"/>
    <col min="10760" max="10760" width="3.28515625" customWidth="1"/>
    <col min="10761" max="10761" width="3.7109375" customWidth="1"/>
    <col min="10762" max="10764" width="2.85546875" customWidth="1"/>
    <col min="10765" max="10766" width="3.7109375" customWidth="1"/>
    <col min="10767" max="10767" width="0.5703125" customWidth="1"/>
    <col min="10768" max="10771" width="6.7109375" customWidth="1"/>
    <col min="10772" max="10772" width="7.42578125" customWidth="1"/>
    <col min="10773" max="10778" width="6.7109375" customWidth="1"/>
    <col min="10779" max="10779" width="7.42578125" customWidth="1"/>
    <col min="10780" max="10780" width="12.42578125" customWidth="1"/>
    <col min="10781" max="10781" width="1.5703125" customWidth="1"/>
    <col min="10782" max="10782" width="16.140625" customWidth="1"/>
    <col min="10783" max="10783" width="14.28515625" customWidth="1"/>
    <col min="10784" max="10784" width="19" customWidth="1"/>
    <col min="10785" max="10785" width="11.5703125" customWidth="1"/>
    <col min="10786" max="10786" width="13.28515625" customWidth="1"/>
    <col min="10787" max="10787" width="11" customWidth="1"/>
    <col min="10788" max="10788" width="11.7109375" customWidth="1"/>
    <col min="10789" max="10789" width="8.85546875" customWidth="1"/>
    <col min="10790" max="10790" width="13.85546875" customWidth="1"/>
    <col min="11006" max="11006" width="1.7109375" customWidth="1"/>
    <col min="11007" max="11007" width="1.42578125" customWidth="1"/>
    <col min="11008" max="11008" width="3" customWidth="1"/>
    <col min="11009" max="11009" width="3.7109375" customWidth="1"/>
    <col min="11010" max="11014" width="2.85546875" customWidth="1"/>
    <col min="11015" max="11015" width="3.7109375" customWidth="1"/>
    <col min="11016" max="11016" width="3.28515625" customWidth="1"/>
    <col min="11017" max="11017" width="3.7109375" customWidth="1"/>
    <col min="11018" max="11020" width="2.85546875" customWidth="1"/>
    <col min="11021" max="11022" width="3.7109375" customWidth="1"/>
    <col min="11023" max="11023" width="0.5703125" customWidth="1"/>
    <col min="11024" max="11027" width="6.7109375" customWidth="1"/>
    <col min="11028" max="11028" width="7.42578125" customWidth="1"/>
    <col min="11029" max="11034" width="6.7109375" customWidth="1"/>
    <col min="11035" max="11035" width="7.42578125" customWidth="1"/>
    <col min="11036" max="11036" width="12.42578125" customWidth="1"/>
    <col min="11037" max="11037" width="1.5703125" customWidth="1"/>
    <col min="11038" max="11038" width="16.140625" customWidth="1"/>
    <col min="11039" max="11039" width="14.28515625" customWidth="1"/>
    <col min="11040" max="11040" width="19" customWidth="1"/>
    <col min="11041" max="11041" width="11.5703125" customWidth="1"/>
    <col min="11042" max="11042" width="13.28515625" customWidth="1"/>
    <col min="11043" max="11043" width="11" customWidth="1"/>
    <col min="11044" max="11044" width="11.7109375" customWidth="1"/>
    <col min="11045" max="11045" width="8.85546875" customWidth="1"/>
    <col min="11046" max="11046" width="13.85546875" customWidth="1"/>
    <col min="11262" max="11262" width="1.7109375" customWidth="1"/>
    <col min="11263" max="11263" width="1.42578125" customWidth="1"/>
    <col min="11264" max="11264" width="3" customWidth="1"/>
    <col min="11265" max="11265" width="3.7109375" customWidth="1"/>
    <col min="11266" max="11270" width="2.85546875" customWidth="1"/>
    <col min="11271" max="11271" width="3.7109375" customWidth="1"/>
    <col min="11272" max="11272" width="3.28515625" customWidth="1"/>
    <col min="11273" max="11273" width="3.7109375" customWidth="1"/>
    <col min="11274" max="11276" width="2.85546875" customWidth="1"/>
    <col min="11277" max="11278" width="3.7109375" customWidth="1"/>
    <col min="11279" max="11279" width="0.5703125" customWidth="1"/>
    <col min="11280" max="11283" width="6.7109375" customWidth="1"/>
    <col min="11284" max="11284" width="7.42578125" customWidth="1"/>
    <col min="11285" max="11290" width="6.7109375" customWidth="1"/>
    <col min="11291" max="11291" width="7.42578125" customWidth="1"/>
    <col min="11292" max="11292" width="12.42578125" customWidth="1"/>
    <col min="11293" max="11293" width="1.5703125" customWidth="1"/>
    <col min="11294" max="11294" width="16.140625" customWidth="1"/>
    <col min="11295" max="11295" width="14.28515625" customWidth="1"/>
    <col min="11296" max="11296" width="19" customWidth="1"/>
    <col min="11297" max="11297" width="11.5703125" customWidth="1"/>
    <col min="11298" max="11298" width="13.28515625" customWidth="1"/>
    <col min="11299" max="11299" width="11" customWidth="1"/>
    <col min="11300" max="11300" width="11.7109375" customWidth="1"/>
    <col min="11301" max="11301" width="8.85546875" customWidth="1"/>
    <col min="11302" max="11302" width="13.85546875" customWidth="1"/>
    <col min="11518" max="11518" width="1.7109375" customWidth="1"/>
    <col min="11519" max="11519" width="1.42578125" customWidth="1"/>
    <col min="11520" max="11520" width="3" customWidth="1"/>
    <col min="11521" max="11521" width="3.7109375" customWidth="1"/>
    <col min="11522" max="11526" width="2.85546875" customWidth="1"/>
    <col min="11527" max="11527" width="3.7109375" customWidth="1"/>
    <col min="11528" max="11528" width="3.28515625" customWidth="1"/>
    <col min="11529" max="11529" width="3.7109375" customWidth="1"/>
    <col min="11530" max="11532" width="2.85546875" customWidth="1"/>
    <col min="11533" max="11534" width="3.7109375" customWidth="1"/>
    <col min="11535" max="11535" width="0.5703125" customWidth="1"/>
    <col min="11536" max="11539" width="6.7109375" customWidth="1"/>
    <col min="11540" max="11540" width="7.42578125" customWidth="1"/>
    <col min="11541" max="11546" width="6.7109375" customWidth="1"/>
    <col min="11547" max="11547" width="7.42578125" customWidth="1"/>
    <col min="11548" max="11548" width="12.42578125" customWidth="1"/>
    <col min="11549" max="11549" width="1.5703125" customWidth="1"/>
    <col min="11550" max="11550" width="16.140625" customWidth="1"/>
    <col min="11551" max="11551" width="14.28515625" customWidth="1"/>
    <col min="11552" max="11552" width="19" customWidth="1"/>
    <col min="11553" max="11553" width="11.5703125" customWidth="1"/>
    <col min="11554" max="11554" width="13.28515625" customWidth="1"/>
    <col min="11555" max="11555" width="11" customWidth="1"/>
    <col min="11556" max="11556" width="11.7109375" customWidth="1"/>
    <col min="11557" max="11557" width="8.85546875" customWidth="1"/>
    <col min="11558" max="11558" width="13.85546875" customWidth="1"/>
    <col min="11774" max="11774" width="1.7109375" customWidth="1"/>
    <col min="11775" max="11775" width="1.42578125" customWidth="1"/>
    <col min="11776" max="11776" width="3" customWidth="1"/>
    <col min="11777" max="11777" width="3.7109375" customWidth="1"/>
    <col min="11778" max="11782" width="2.85546875" customWidth="1"/>
    <col min="11783" max="11783" width="3.7109375" customWidth="1"/>
    <col min="11784" max="11784" width="3.28515625" customWidth="1"/>
    <col min="11785" max="11785" width="3.7109375" customWidth="1"/>
    <col min="11786" max="11788" width="2.85546875" customWidth="1"/>
    <col min="11789" max="11790" width="3.7109375" customWidth="1"/>
    <col min="11791" max="11791" width="0.5703125" customWidth="1"/>
    <col min="11792" max="11795" width="6.7109375" customWidth="1"/>
    <col min="11796" max="11796" width="7.42578125" customWidth="1"/>
    <col min="11797" max="11802" width="6.7109375" customWidth="1"/>
    <col min="11803" max="11803" width="7.42578125" customWidth="1"/>
    <col min="11804" max="11804" width="12.42578125" customWidth="1"/>
    <col min="11805" max="11805" width="1.5703125" customWidth="1"/>
    <col min="11806" max="11806" width="16.140625" customWidth="1"/>
    <col min="11807" max="11807" width="14.28515625" customWidth="1"/>
    <col min="11808" max="11808" width="19" customWidth="1"/>
    <col min="11809" max="11809" width="11.5703125" customWidth="1"/>
    <col min="11810" max="11810" width="13.28515625" customWidth="1"/>
    <col min="11811" max="11811" width="11" customWidth="1"/>
    <col min="11812" max="11812" width="11.7109375" customWidth="1"/>
    <col min="11813" max="11813" width="8.85546875" customWidth="1"/>
    <col min="11814" max="11814" width="13.85546875" customWidth="1"/>
    <col min="12030" max="12030" width="1.7109375" customWidth="1"/>
    <col min="12031" max="12031" width="1.42578125" customWidth="1"/>
    <col min="12032" max="12032" width="3" customWidth="1"/>
    <col min="12033" max="12033" width="3.7109375" customWidth="1"/>
    <col min="12034" max="12038" width="2.85546875" customWidth="1"/>
    <col min="12039" max="12039" width="3.7109375" customWidth="1"/>
    <col min="12040" max="12040" width="3.28515625" customWidth="1"/>
    <col min="12041" max="12041" width="3.7109375" customWidth="1"/>
    <col min="12042" max="12044" width="2.85546875" customWidth="1"/>
    <col min="12045" max="12046" width="3.7109375" customWidth="1"/>
    <col min="12047" max="12047" width="0.5703125" customWidth="1"/>
    <col min="12048" max="12051" width="6.7109375" customWidth="1"/>
    <col min="12052" max="12052" width="7.42578125" customWidth="1"/>
    <col min="12053" max="12058" width="6.7109375" customWidth="1"/>
    <col min="12059" max="12059" width="7.42578125" customWidth="1"/>
    <col min="12060" max="12060" width="12.42578125" customWidth="1"/>
    <col min="12061" max="12061" width="1.5703125" customWidth="1"/>
    <col min="12062" max="12062" width="16.140625" customWidth="1"/>
    <col min="12063" max="12063" width="14.28515625" customWidth="1"/>
    <col min="12064" max="12064" width="19" customWidth="1"/>
    <col min="12065" max="12065" width="11.5703125" customWidth="1"/>
    <col min="12066" max="12066" width="13.28515625" customWidth="1"/>
    <col min="12067" max="12067" width="11" customWidth="1"/>
    <col min="12068" max="12068" width="11.7109375" customWidth="1"/>
    <col min="12069" max="12069" width="8.85546875" customWidth="1"/>
    <col min="12070" max="12070" width="13.85546875" customWidth="1"/>
    <col min="12286" max="12286" width="1.7109375" customWidth="1"/>
    <col min="12287" max="12287" width="1.42578125" customWidth="1"/>
    <col min="12288" max="12288" width="3" customWidth="1"/>
    <col min="12289" max="12289" width="3.7109375" customWidth="1"/>
    <col min="12290" max="12294" width="2.85546875" customWidth="1"/>
    <col min="12295" max="12295" width="3.7109375" customWidth="1"/>
    <col min="12296" max="12296" width="3.28515625" customWidth="1"/>
    <col min="12297" max="12297" width="3.7109375" customWidth="1"/>
    <col min="12298" max="12300" width="2.85546875" customWidth="1"/>
    <col min="12301" max="12302" width="3.7109375" customWidth="1"/>
    <col min="12303" max="12303" width="0.5703125" customWidth="1"/>
    <col min="12304" max="12307" width="6.7109375" customWidth="1"/>
    <col min="12308" max="12308" width="7.42578125" customWidth="1"/>
    <col min="12309" max="12314" width="6.7109375" customWidth="1"/>
    <col min="12315" max="12315" width="7.42578125" customWidth="1"/>
    <col min="12316" max="12316" width="12.42578125" customWidth="1"/>
    <col min="12317" max="12317" width="1.5703125" customWidth="1"/>
    <col min="12318" max="12318" width="16.140625" customWidth="1"/>
    <col min="12319" max="12319" width="14.28515625" customWidth="1"/>
    <col min="12320" max="12320" width="19" customWidth="1"/>
    <col min="12321" max="12321" width="11.5703125" customWidth="1"/>
    <col min="12322" max="12322" width="13.28515625" customWidth="1"/>
    <col min="12323" max="12323" width="11" customWidth="1"/>
    <col min="12324" max="12324" width="11.7109375" customWidth="1"/>
    <col min="12325" max="12325" width="8.85546875" customWidth="1"/>
    <col min="12326" max="12326" width="13.85546875" customWidth="1"/>
    <col min="12542" max="12542" width="1.7109375" customWidth="1"/>
    <col min="12543" max="12543" width="1.42578125" customWidth="1"/>
    <col min="12544" max="12544" width="3" customWidth="1"/>
    <col min="12545" max="12545" width="3.7109375" customWidth="1"/>
    <col min="12546" max="12550" width="2.85546875" customWidth="1"/>
    <col min="12551" max="12551" width="3.7109375" customWidth="1"/>
    <col min="12552" max="12552" width="3.28515625" customWidth="1"/>
    <col min="12553" max="12553" width="3.7109375" customWidth="1"/>
    <col min="12554" max="12556" width="2.85546875" customWidth="1"/>
    <col min="12557" max="12558" width="3.7109375" customWidth="1"/>
    <col min="12559" max="12559" width="0.5703125" customWidth="1"/>
    <col min="12560" max="12563" width="6.7109375" customWidth="1"/>
    <col min="12564" max="12564" width="7.42578125" customWidth="1"/>
    <col min="12565" max="12570" width="6.7109375" customWidth="1"/>
    <col min="12571" max="12571" width="7.42578125" customWidth="1"/>
    <col min="12572" max="12572" width="12.42578125" customWidth="1"/>
    <col min="12573" max="12573" width="1.5703125" customWidth="1"/>
    <col min="12574" max="12574" width="16.140625" customWidth="1"/>
    <col min="12575" max="12575" width="14.28515625" customWidth="1"/>
    <col min="12576" max="12576" width="19" customWidth="1"/>
    <col min="12577" max="12577" width="11.5703125" customWidth="1"/>
    <col min="12578" max="12578" width="13.28515625" customWidth="1"/>
    <col min="12579" max="12579" width="11" customWidth="1"/>
    <col min="12580" max="12580" width="11.7109375" customWidth="1"/>
    <col min="12581" max="12581" width="8.85546875" customWidth="1"/>
    <col min="12582" max="12582" width="13.85546875" customWidth="1"/>
    <col min="12798" max="12798" width="1.7109375" customWidth="1"/>
    <col min="12799" max="12799" width="1.42578125" customWidth="1"/>
    <col min="12800" max="12800" width="3" customWidth="1"/>
    <col min="12801" max="12801" width="3.7109375" customWidth="1"/>
    <col min="12802" max="12806" width="2.85546875" customWidth="1"/>
    <col min="12807" max="12807" width="3.7109375" customWidth="1"/>
    <col min="12808" max="12808" width="3.28515625" customWidth="1"/>
    <col min="12809" max="12809" width="3.7109375" customWidth="1"/>
    <col min="12810" max="12812" width="2.85546875" customWidth="1"/>
    <col min="12813" max="12814" width="3.7109375" customWidth="1"/>
    <col min="12815" max="12815" width="0.5703125" customWidth="1"/>
    <col min="12816" max="12819" width="6.7109375" customWidth="1"/>
    <col min="12820" max="12820" width="7.42578125" customWidth="1"/>
    <col min="12821" max="12826" width="6.7109375" customWidth="1"/>
    <col min="12827" max="12827" width="7.42578125" customWidth="1"/>
    <col min="12828" max="12828" width="12.42578125" customWidth="1"/>
    <col min="12829" max="12829" width="1.5703125" customWidth="1"/>
    <col min="12830" max="12830" width="16.140625" customWidth="1"/>
    <col min="12831" max="12831" width="14.28515625" customWidth="1"/>
    <col min="12832" max="12832" width="19" customWidth="1"/>
    <col min="12833" max="12833" width="11.5703125" customWidth="1"/>
    <col min="12834" max="12834" width="13.28515625" customWidth="1"/>
    <col min="12835" max="12835" width="11" customWidth="1"/>
    <col min="12836" max="12836" width="11.7109375" customWidth="1"/>
    <col min="12837" max="12837" width="8.85546875" customWidth="1"/>
    <col min="12838" max="12838" width="13.85546875" customWidth="1"/>
    <col min="13054" max="13054" width="1.7109375" customWidth="1"/>
    <col min="13055" max="13055" width="1.42578125" customWidth="1"/>
    <col min="13056" max="13056" width="3" customWidth="1"/>
    <col min="13057" max="13057" width="3.7109375" customWidth="1"/>
    <col min="13058" max="13062" width="2.85546875" customWidth="1"/>
    <col min="13063" max="13063" width="3.7109375" customWidth="1"/>
    <col min="13064" max="13064" width="3.28515625" customWidth="1"/>
    <col min="13065" max="13065" width="3.7109375" customWidth="1"/>
    <col min="13066" max="13068" width="2.85546875" customWidth="1"/>
    <col min="13069" max="13070" width="3.7109375" customWidth="1"/>
    <col min="13071" max="13071" width="0.5703125" customWidth="1"/>
    <col min="13072" max="13075" width="6.7109375" customWidth="1"/>
    <col min="13076" max="13076" width="7.42578125" customWidth="1"/>
    <col min="13077" max="13082" width="6.7109375" customWidth="1"/>
    <col min="13083" max="13083" width="7.42578125" customWidth="1"/>
    <col min="13084" max="13084" width="12.42578125" customWidth="1"/>
    <col min="13085" max="13085" width="1.5703125" customWidth="1"/>
    <col min="13086" max="13086" width="16.140625" customWidth="1"/>
    <col min="13087" max="13087" width="14.28515625" customWidth="1"/>
    <col min="13088" max="13088" width="19" customWidth="1"/>
    <col min="13089" max="13089" width="11.5703125" customWidth="1"/>
    <col min="13090" max="13090" width="13.28515625" customWidth="1"/>
    <col min="13091" max="13091" width="11" customWidth="1"/>
    <col min="13092" max="13092" width="11.7109375" customWidth="1"/>
    <col min="13093" max="13093" width="8.85546875" customWidth="1"/>
    <col min="13094" max="13094" width="13.85546875" customWidth="1"/>
    <col min="13310" max="13310" width="1.7109375" customWidth="1"/>
    <col min="13311" max="13311" width="1.42578125" customWidth="1"/>
    <col min="13312" max="13312" width="3" customWidth="1"/>
    <col min="13313" max="13313" width="3.7109375" customWidth="1"/>
    <col min="13314" max="13318" width="2.85546875" customWidth="1"/>
    <col min="13319" max="13319" width="3.7109375" customWidth="1"/>
    <col min="13320" max="13320" width="3.28515625" customWidth="1"/>
    <col min="13321" max="13321" width="3.7109375" customWidth="1"/>
    <col min="13322" max="13324" width="2.85546875" customWidth="1"/>
    <col min="13325" max="13326" width="3.7109375" customWidth="1"/>
    <col min="13327" max="13327" width="0.5703125" customWidth="1"/>
    <col min="13328" max="13331" width="6.7109375" customWidth="1"/>
    <col min="13332" max="13332" width="7.42578125" customWidth="1"/>
    <col min="13333" max="13338" width="6.7109375" customWidth="1"/>
    <col min="13339" max="13339" width="7.42578125" customWidth="1"/>
    <col min="13340" max="13340" width="12.42578125" customWidth="1"/>
    <col min="13341" max="13341" width="1.5703125" customWidth="1"/>
    <col min="13342" max="13342" width="16.140625" customWidth="1"/>
    <col min="13343" max="13343" width="14.28515625" customWidth="1"/>
    <col min="13344" max="13344" width="19" customWidth="1"/>
    <col min="13345" max="13345" width="11.5703125" customWidth="1"/>
    <col min="13346" max="13346" width="13.28515625" customWidth="1"/>
    <col min="13347" max="13347" width="11" customWidth="1"/>
    <col min="13348" max="13348" width="11.7109375" customWidth="1"/>
    <col min="13349" max="13349" width="8.85546875" customWidth="1"/>
    <col min="13350" max="13350" width="13.85546875" customWidth="1"/>
    <col min="13566" max="13566" width="1.7109375" customWidth="1"/>
    <col min="13567" max="13567" width="1.42578125" customWidth="1"/>
    <col min="13568" max="13568" width="3" customWidth="1"/>
    <col min="13569" max="13569" width="3.7109375" customWidth="1"/>
    <col min="13570" max="13574" width="2.85546875" customWidth="1"/>
    <col min="13575" max="13575" width="3.7109375" customWidth="1"/>
    <col min="13576" max="13576" width="3.28515625" customWidth="1"/>
    <col min="13577" max="13577" width="3.7109375" customWidth="1"/>
    <col min="13578" max="13580" width="2.85546875" customWidth="1"/>
    <col min="13581" max="13582" width="3.7109375" customWidth="1"/>
    <col min="13583" max="13583" width="0.5703125" customWidth="1"/>
    <col min="13584" max="13587" width="6.7109375" customWidth="1"/>
    <col min="13588" max="13588" width="7.42578125" customWidth="1"/>
    <col min="13589" max="13594" width="6.7109375" customWidth="1"/>
    <col min="13595" max="13595" width="7.42578125" customWidth="1"/>
    <col min="13596" max="13596" width="12.42578125" customWidth="1"/>
    <col min="13597" max="13597" width="1.5703125" customWidth="1"/>
    <col min="13598" max="13598" width="16.140625" customWidth="1"/>
    <col min="13599" max="13599" width="14.28515625" customWidth="1"/>
    <col min="13600" max="13600" width="19" customWidth="1"/>
    <col min="13601" max="13601" width="11.5703125" customWidth="1"/>
    <col min="13602" max="13602" width="13.28515625" customWidth="1"/>
    <col min="13603" max="13603" width="11" customWidth="1"/>
    <col min="13604" max="13604" width="11.7109375" customWidth="1"/>
    <col min="13605" max="13605" width="8.85546875" customWidth="1"/>
    <col min="13606" max="13606" width="13.85546875" customWidth="1"/>
    <col min="13822" max="13822" width="1.7109375" customWidth="1"/>
    <col min="13823" max="13823" width="1.42578125" customWidth="1"/>
    <col min="13824" max="13824" width="3" customWidth="1"/>
    <col min="13825" max="13825" width="3.7109375" customWidth="1"/>
    <col min="13826" max="13830" width="2.85546875" customWidth="1"/>
    <col min="13831" max="13831" width="3.7109375" customWidth="1"/>
    <col min="13832" max="13832" width="3.28515625" customWidth="1"/>
    <col min="13833" max="13833" width="3.7109375" customWidth="1"/>
    <col min="13834" max="13836" width="2.85546875" customWidth="1"/>
    <col min="13837" max="13838" width="3.7109375" customWidth="1"/>
    <col min="13839" max="13839" width="0.5703125" customWidth="1"/>
    <col min="13840" max="13843" width="6.7109375" customWidth="1"/>
    <col min="13844" max="13844" width="7.42578125" customWidth="1"/>
    <col min="13845" max="13850" width="6.7109375" customWidth="1"/>
    <col min="13851" max="13851" width="7.42578125" customWidth="1"/>
    <col min="13852" max="13852" width="12.42578125" customWidth="1"/>
    <col min="13853" max="13853" width="1.5703125" customWidth="1"/>
    <col min="13854" max="13854" width="16.140625" customWidth="1"/>
    <col min="13855" max="13855" width="14.28515625" customWidth="1"/>
    <col min="13856" max="13856" width="19" customWidth="1"/>
    <col min="13857" max="13857" width="11.5703125" customWidth="1"/>
    <col min="13858" max="13858" width="13.28515625" customWidth="1"/>
    <col min="13859" max="13859" width="11" customWidth="1"/>
    <col min="13860" max="13860" width="11.7109375" customWidth="1"/>
    <col min="13861" max="13861" width="8.85546875" customWidth="1"/>
    <col min="13862" max="13862" width="13.85546875" customWidth="1"/>
    <col min="14078" max="14078" width="1.7109375" customWidth="1"/>
    <col min="14079" max="14079" width="1.42578125" customWidth="1"/>
    <col min="14080" max="14080" width="3" customWidth="1"/>
    <col min="14081" max="14081" width="3.7109375" customWidth="1"/>
    <col min="14082" max="14086" width="2.85546875" customWidth="1"/>
    <col min="14087" max="14087" width="3.7109375" customWidth="1"/>
    <col min="14088" max="14088" width="3.28515625" customWidth="1"/>
    <col min="14089" max="14089" width="3.7109375" customWidth="1"/>
    <col min="14090" max="14092" width="2.85546875" customWidth="1"/>
    <col min="14093" max="14094" width="3.7109375" customWidth="1"/>
    <col min="14095" max="14095" width="0.5703125" customWidth="1"/>
    <col min="14096" max="14099" width="6.7109375" customWidth="1"/>
    <col min="14100" max="14100" width="7.42578125" customWidth="1"/>
    <col min="14101" max="14106" width="6.7109375" customWidth="1"/>
    <col min="14107" max="14107" width="7.42578125" customWidth="1"/>
    <col min="14108" max="14108" width="12.42578125" customWidth="1"/>
    <col min="14109" max="14109" width="1.5703125" customWidth="1"/>
    <col min="14110" max="14110" width="16.140625" customWidth="1"/>
    <col min="14111" max="14111" width="14.28515625" customWidth="1"/>
    <col min="14112" max="14112" width="19" customWidth="1"/>
    <col min="14113" max="14113" width="11.5703125" customWidth="1"/>
    <col min="14114" max="14114" width="13.28515625" customWidth="1"/>
    <col min="14115" max="14115" width="11" customWidth="1"/>
    <col min="14116" max="14116" width="11.7109375" customWidth="1"/>
    <col min="14117" max="14117" width="8.85546875" customWidth="1"/>
    <col min="14118" max="14118" width="13.85546875" customWidth="1"/>
    <col min="14334" max="14334" width="1.7109375" customWidth="1"/>
    <col min="14335" max="14335" width="1.42578125" customWidth="1"/>
    <col min="14336" max="14336" width="3" customWidth="1"/>
    <col min="14337" max="14337" width="3.7109375" customWidth="1"/>
    <col min="14338" max="14342" width="2.85546875" customWidth="1"/>
    <col min="14343" max="14343" width="3.7109375" customWidth="1"/>
    <col min="14344" max="14344" width="3.28515625" customWidth="1"/>
    <col min="14345" max="14345" width="3.7109375" customWidth="1"/>
    <col min="14346" max="14348" width="2.85546875" customWidth="1"/>
    <col min="14349" max="14350" width="3.7109375" customWidth="1"/>
    <col min="14351" max="14351" width="0.5703125" customWidth="1"/>
    <col min="14352" max="14355" width="6.7109375" customWidth="1"/>
    <col min="14356" max="14356" width="7.42578125" customWidth="1"/>
    <col min="14357" max="14362" width="6.7109375" customWidth="1"/>
    <col min="14363" max="14363" width="7.42578125" customWidth="1"/>
    <col min="14364" max="14364" width="12.42578125" customWidth="1"/>
    <col min="14365" max="14365" width="1.5703125" customWidth="1"/>
    <col min="14366" max="14366" width="16.140625" customWidth="1"/>
    <col min="14367" max="14367" width="14.28515625" customWidth="1"/>
    <col min="14368" max="14368" width="19" customWidth="1"/>
    <col min="14369" max="14369" width="11.5703125" customWidth="1"/>
    <col min="14370" max="14370" width="13.28515625" customWidth="1"/>
    <col min="14371" max="14371" width="11" customWidth="1"/>
    <col min="14372" max="14372" width="11.7109375" customWidth="1"/>
    <col min="14373" max="14373" width="8.85546875" customWidth="1"/>
    <col min="14374" max="14374" width="13.85546875" customWidth="1"/>
    <col min="14590" max="14590" width="1.7109375" customWidth="1"/>
    <col min="14591" max="14591" width="1.42578125" customWidth="1"/>
    <col min="14592" max="14592" width="3" customWidth="1"/>
    <col min="14593" max="14593" width="3.7109375" customWidth="1"/>
    <col min="14594" max="14598" width="2.85546875" customWidth="1"/>
    <col min="14599" max="14599" width="3.7109375" customWidth="1"/>
    <col min="14600" max="14600" width="3.28515625" customWidth="1"/>
    <col min="14601" max="14601" width="3.7109375" customWidth="1"/>
    <col min="14602" max="14604" width="2.85546875" customWidth="1"/>
    <col min="14605" max="14606" width="3.7109375" customWidth="1"/>
    <col min="14607" max="14607" width="0.5703125" customWidth="1"/>
    <col min="14608" max="14611" width="6.7109375" customWidth="1"/>
    <col min="14612" max="14612" width="7.42578125" customWidth="1"/>
    <col min="14613" max="14618" width="6.7109375" customWidth="1"/>
    <col min="14619" max="14619" width="7.42578125" customWidth="1"/>
    <col min="14620" max="14620" width="12.42578125" customWidth="1"/>
    <col min="14621" max="14621" width="1.5703125" customWidth="1"/>
    <col min="14622" max="14622" width="16.140625" customWidth="1"/>
    <col min="14623" max="14623" width="14.28515625" customWidth="1"/>
    <col min="14624" max="14624" width="19" customWidth="1"/>
    <col min="14625" max="14625" width="11.5703125" customWidth="1"/>
    <col min="14626" max="14626" width="13.28515625" customWidth="1"/>
    <col min="14627" max="14627" width="11" customWidth="1"/>
    <col min="14628" max="14628" width="11.7109375" customWidth="1"/>
    <col min="14629" max="14629" width="8.85546875" customWidth="1"/>
    <col min="14630" max="14630" width="13.85546875" customWidth="1"/>
    <col min="14846" max="14846" width="1.7109375" customWidth="1"/>
    <col min="14847" max="14847" width="1.42578125" customWidth="1"/>
    <col min="14848" max="14848" width="3" customWidth="1"/>
    <col min="14849" max="14849" width="3.7109375" customWidth="1"/>
    <col min="14850" max="14854" width="2.85546875" customWidth="1"/>
    <col min="14855" max="14855" width="3.7109375" customWidth="1"/>
    <col min="14856" max="14856" width="3.28515625" customWidth="1"/>
    <col min="14857" max="14857" width="3.7109375" customWidth="1"/>
    <col min="14858" max="14860" width="2.85546875" customWidth="1"/>
    <col min="14861" max="14862" width="3.7109375" customWidth="1"/>
    <col min="14863" max="14863" width="0.5703125" customWidth="1"/>
    <col min="14864" max="14867" width="6.7109375" customWidth="1"/>
    <col min="14868" max="14868" width="7.42578125" customWidth="1"/>
    <col min="14869" max="14874" width="6.7109375" customWidth="1"/>
    <col min="14875" max="14875" width="7.42578125" customWidth="1"/>
    <col min="14876" max="14876" width="12.42578125" customWidth="1"/>
    <col min="14877" max="14877" width="1.5703125" customWidth="1"/>
    <col min="14878" max="14878" width="16.140625" customWidth="1"/>
    <col min="14879" max="14879" width="14.28515625" customWidth="1"/>
    <col min="14880" max="14880" width="19" customWidth="1"/>
    <col min="14881" max="14881" width="11.5703125" customWidth="1"/>
    <col min="14882" max="14882" width="13.28515625" customWidth="1"/>
    <col min="14883" max="14883" width="11" customWidth="1"/>
    <col min="14884" max="14884" width="11.7109375" customWidth="1"/>
    <col min="14885" max="14885" width="8.85546875" customWidth="1"/>
    <col min="14886" max="14886" width="13.85546875" customWidth="1"/>
    <col min="15102" max="15102" width="1.7109375" customWidth="1"/>
    <col min="15103" max="15103" width="1.42578125" customWidth="1"/>
    <col min="15104" max="15104" width="3" customWidth="1"/>
    <col min="15105" max="15105" width="3.7109375" customWidth="1"/>
    <col min="15106" max="15110" width="2.85546875" customWidth="1"/>
    <col min="15111" max="15111" width="3.7109375" customWidth="1"/>
    <col min="15112" max="15112" width="3.28515625" customWidth="1"/>
    <col min="15113" max="15113" width="3.7109375" customWidth="1"/>
    <col min="15114" max="15116" width="2.85546875" customWidth="1"/>
    <col min="15117" max="15118" width="3.7109375" customWidth="1"/>
    <col min="15119" max="15119" width="0.5703125" customWidth="1"/>
    <col min="15120" max="15123" width="6.7109375" customWidth="1"/>
    <col min="15124" max="15124" width="7.42578125" customWidth="1"/>
    <col min="15125" max="15130" width="6.7109375" customWidth="1"/>
    <col min="15131" max="15131" width="7.42578125" customWidth="1"/>
    <col min="15132" max="15132" width="12.42578125" customWidth="1"/>
    <col min="15133" max="15133" width="1.5703125" customWidth="1"/>
    <col min="15134" max="15134" width="16.140625" customWidth="1"/>
    <col min="15135" max="15135" width="14.28515625" customWidth="1"/>
    <col min="15136" max="15136" width="19" customWidth="1"/>
    <col min="15137" max="15137" width="11.5703125" customWidth="1"/>
    <col min="15138" max="15138" width="13.28515625" customWidth="1"/>
    <col min="15139" max="15139" width="11" customWidth="1"/>
    <col min="15140" max="15140" width="11.7109375" customWidth="1"/>
    <col min="15141" max="15141" width="8.85546875" customWidth="1"/>
    <col min="15142" max="15142" width="13.85546875" customWidth="1"/>
    <col min="15358" max="15358" width="1.7109375" customWidth="1"/>
    <col min="15359" max="15359" width="1.42578125" customWidth="1"/>
    <col min="15360" max="15360" width="3" customWidth="1"/>
    <col min="15361" max="15361" width="3.7109375" customWidth="1"/>
    <col min="15362" max="15366" width="2.85546875" customWidth="1"/>
    <col min="15367" max="15367" width="3.7109375" customWidth="1"/>
    <col min="15368" max="15368" width="3.28515625" customWidth="1"/>
    <col min="15369" max="15369" width="3.7109375" customWidth="1"/>
    <col min="15370" max="15372" width="2.85546875" customWidth="1"/>
    <col min="15373" max="15374" width="3.7109375" customWidth="1"/>
    <col min="15375" max="15375" width="0.5703125" customWidth="1"/>
    <col min="15376" max="15379" width="6.7109375" customWidth="1"/>
    <col min="15380" max="15380" width="7.42578125" customWidth="1"/>
    <col min="15381" max="15386" width="6.7109375" customWidth="1"/>
    <col min="15387" max="15387" width="7.42578125" customWidth="1"/>
    <col min="15388" max="15388" width="12.42578125" customWidth="1"/>
    <col min="15389" max="15389" width="1.5703125" customWidth="1"/>
    <col min="15390" max="15390" width="16.140625" customWidth="1"/>
    <col min="15391" max="15391" width="14.28515625" customWidth="1"/>
    <col min="15392" max="15392" width="19" customWidth="1"/>
    <col min="15393" max="15393" width="11.5703125" customWidth="1"/>
    <col min="15394" max="15394" width="13.28515625" customWidth="1"/>
    <col min="15395" max="15395" width="11" customWidth="1"/>
    <col min="15396" max="15396" width="11.7109375" customWidth="1"/>
    <col min="15397" max="15397" width="8.85546875" customWidth="1"/>
    <col min="15398" max="15398" width="13.85546875" customWidth="1"/>
    <col min="15614" max="15614" width="1.7109375" customWidth="1"/>
    <col min="15615" max="15615" width="1.42578125" customWidth="1"/>
    <col min="15616" max="15616" width="3" customWidth="1"/>
    <col min="15617" max="15617" width="3.7109375" customWidth="1"/>
    <col min="15618" max="15622" width="2.85546875" customWidth="1"/>
    <col min="15623" max="15623" width="3.7109375" customWidth="1"/>
    <col min="15624" max="15624" width="3.28515625" customWidth="1"/>
    <col min="15625" max="15625" width="3.7109375" customWidth="1"/>
    <col min="15626" max="15628" width="2.85546875" customWidth="1"/>
    <col min="15629" max="15630" width="3.7109375" customWidth="1"/>
    <col min="15631" max="15631" width="0.5703125" customWidth="1"/>
    <col min="15632" max="15635" width="6.7109375" customWidth="1"/>
    <col min="15636" max="15636" width="7.42578125" customWidth="1"/>
    <col min="15637" max="15642" width="6.7109375" customWidth="1"/>
    <col min="15643" max="15643" width="7.42578125" customWidth="1"/>
    <col min="15644" max="15644" width="12.42578125" customWidth="1"/>
    <col min="15645" max="15645" width="1.5703125" customWidth="1"/>
    <col min="15646" max="15646" width="16.140625" customWidth="1"/>
    <col min="15647" max="15647" width="14.28515625" customWidth="1"/>
    <col min="15648" max="15648" width="19" customWidth="1"/>
    <col min="15649" max="15649" width="11.5703125" customWidth="1"/>
    <col min="15650" max="15650" width="13.28515625" customWidth="1"/>
    <col min="15651" max="15651" width="11" customWidth="1"/>
    <col min="15652" max="15652" width="11.7109375" customWidth="1"/>
    <col min="15653" max="15653" width="8.85546875" customWidth="1"/>
    <col min="15654" max="15654" width="13.85546875" customWidth="1"/>
    <col min="15870" max="15870" width="1.7109375" customWidth="1"/>
    <col min="15871" max="15871" width="1.42578125" customWidth="1"/>
    <col min="15872" max="15872" width="3" customWidth="1"/>
    <col min="15873" max="15873" width="3.7109375" customWidth="1"/>
    <col min="15874" max="15878" width="2.85546875" customWidth="1"/>
    <col min="15879" max="15879" width="3.7109375" customWidth="1"/>
    <col min="15880" max="15880" width="3.28515625" customWidth="1"/>
    <col min="15881" max="15881" width="3.7109375" customWidth="1"/>
    <col min="15882" max="15884" width="2.85546875" customWidth="1"/>
    <col min="15885" max="15886" width="3.7109375" customWidth="1"/>
    <col min="15887" max="15887" width="0.5703125" customWidth="1"/>
    <col min="15888" max="15891" width="6.7109375" customWidth="1"/>
    <col min="15892" max="15892" width="7.42578125" customWidth="1"/>
    <col min="15893" max="15898" width="6.7109375" customWidth="1"/>
    <col min="15899" max="15899" width="7.42578125" customWidth="1"/>
    <col min="15900" max="15900" width="12.42578125" customWidth="1"/>
    <col min="15901" max="15901" width="1.5703125" customWidth="1"/>
    <col min="15902" max="15902" width="16.140625" customWidth="1"/>
    <col min="15903" max="15903" width="14.28515625" customWidth="1"/>
    <col min="15904" max="15904" width="19" customWidth="1"/>
    <col min="15905" max="15905" width="11.5703125" customWidth="1"/>
    <col min="15906" max="15906" width="13.28515625" customWidth="1"/>
    <col min="15907" max="15907" width="11" customWidth="1"/>
    <col min="15908" max="15908" width="11.7109375" customWidth="1"/>
    <col min="15909" max="15909" width="8.85546875" customWidth="1"/>
    <col min="15910" max="15910" width="13.85546875" customWidth="1"/>
    <col min="16126" max="16126" width="1.7109375" customWidth="1"/>
    <col min="16127" max="16127" width="1.42578125" customWidth="1"/>
    <col min="16128" max="16128" width="3" customWidth="1"/>
    <col min="16129" max="16129" width="3.7109375" customWidth="1"/>
    <col min="16130" max="16134" width="2.85546875" customWidth="1"/>
    <col min="16135" max="16135" width="3.7109375" customWidth="1"/>
    <col min="16136" max="16136" width="3.28515625" customWidth="1"/>
    <col min="16137" max="16137" width="3.7109375" customWidth="1"/>
    <col min="16138" max="16140" width="2.85546875" customWidth="1"/>
    <col min="16141" max="16142" width="3.7109375" customWidth="1"/>
    <col min="16143" max="16143" width="0.5703125" customWidth="1"/>
    <col min="16144" max="16147" width="6.7109375" customWidth="1"/>
    <col min="16148" max="16148" width="7.42578125" customWidth="1"/>
    <col min="16149" max="16154" width="6.7109375" customWidth="1"/>
    <col min="16155" max="16155" width="7.42578125" customWidth="1"/>
    <col min="16156" max="16156" width="12.42578125" customWidth="1"/>
    <col min="16157" max="16157" width="1.5703125" customWidth="1"/>
    <col min="16158" max="16158" width="16.140625" customWidth="1"/>
    <col min="16159" max="16159" width="14.28515625" customWidth="1"/>
    <col min="16160" max="16160" width="19" customWidth="1"/>
    <col min="16161" max="16161" width="11.5703125" customWidth="1"/>
    <col min="16162" max="16162" width="13.28515625" customWidth="1"/>
    <col min="16163" max="16163" width="11" customWidth="1"/>
    <col min="16164" max="16164" width="11.7109375" customWidth="1"/>
    <col min="16165" max="16165" width="8.85546875" customWidth="1"/>
    <col min="16166" max="16166" width="13.85546875" customWidth="1"/>
  </cols>
  <sheetData>
    <row r="1" spans="1:32" ht="20.25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2" ht="20.25">
      <c r="A2" s="99" t="s">
        <v>82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</row>
    <row r="5" spans="1:32" ht="7.5" customHeight="1"/>
    <row r="6" spans="1:32" ht="18">
      <c r="C6" s="101" t="s">
        <v>16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</row>
    <row r="7" spans="1:32" ht="6" customHeight="1" thickBot="1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ht="10.5" customHeight="1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7"/>
    </row>
    <row r="9" spans="1:32" s="14" customFormat="1">
      <c r="B9" s="8"/>
      <c r="C9" s="9" t="s">
        <v>1</v>
      </c>
      <c r="D9" s="9"/>
      <c r="E9" s="9"/>
      <c r="F9" s="9"/>
      <c r="G9" s="9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9"/>
      <c r="W9" s="9" t="s">
        <v>2</v>
      </c>
      <c r="X9" s="103"/>
      <c r="Y9" s="103"/>
      <c r="Z9" s="103"/>
      <c r="AA9" s="103"/>
      <c r="AB9" s="9"/>
      <c r="AC9" s="9" t="s">
        <v>15</v>
      </c>
      <c r="AD9" s="100"/>
      <c r="AE9" s="100"/>
      <c r="AF9" s="13"/>
    </row>
    <row r="10" spans="1:32" s="14" customFormat="1">
      <c r="B10" s="8"/>
      <c r="C10" s="9" t="s">
        <v>325</v>
      </c>
      <c r="D10" s="9"/>
      <c r="E10" s="9"/>
      <c r="F10" s="9"/>
      <c r="G10" s="9"/>
      <c r="H10" s="9"/>
      <c r="I10" s="9"/>
      <c r="J10" s="9"/>
      <c r="K10" s="9"/>
      <c r="L10" s="9"/>
      <c r="M10" s="24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9"/>
      <c r="Z10" s="9"/>
      <c r="AA10" s="9"/>
      <c r="AB10" s="9"/>
      <c r="AC10" s="9"/>
      <c r="AD10" s="9"/>
      <c r="AE10" s="9"/>
      <c r="AF10" s="13"/>
    </row>
    <row r="11" spans="1:32">
      <c r="B11" s="15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2"/>
    </row>
    <row r="12" spans="1:32" ht="3.75" customHeight="1" thickBot="1">
      <c r="B12" s="15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16"/>
    </row>
    <row r="13" spans="1:32" ht="25.5" customHeight="1" thickBot="1">
      <c r="B13" s="15"/>
      <c r="C13" s="63" t="s">
        <v>5</v>
      </c>
      <c r="D13" s="64"/>
      <c r="E13" s="64"/>
      <c r="F13" s="64"/>
      <c r="G13" s="64"/>
      <c r="H13" s="64"/>
      <c r="I13" s="64"/>
      <c r="J13" s="64"/>
      <c r="K13" s="64"/>
      <c r="L13" s="64"/>
      <c r="M13" s="60" t="s">
        <v>17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2"/>
      <c r="AF13" s="16"/>
    </row>
    <row r="14" spans="1:32" ht="15.75" customHeight="1">
      <c r="B14" s="15"/>
      <c r="C14" s="65" t="s">
        <v>6</v>
      </c>
      <c r="D14" s="66"/>
      <c r="E14" s="66"/>
      <c r="F14" s="66"/>
      <c r="G14" s="66"/>
      <c r="H14" s="66"/>
      <c r="I14" s="66"/>
      <c r="J14" s="66"/>
      <c r="K14" s="66"/>
      <c r="L14" s="67"/>
      <c r="M14" s="104" t="s">
        <v>326</v>
      </c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6"/>
      <c r="AF14" s="16"/>
    </row>
    <row r="15" spans="1:32" ht="52.5" customHeight="1">
      <c r="B15" s="15"/>
      <c r="C15" s="69" t="s">
        <v>84</v>
      </c>
      <c r="D15" s="70"/>
      <c r="E15" s="70"/>
      <c r="F15" s="70"/>
      <c r="G15" s="70"/>
      <c r="H15" s="70"/>
      <c r="I15" s="70"/>
      <c r="J15" s="70"/>
      <c r="K15" s="70"/>
      <c r="L15" s="71"/>
      <c r="M15" s="107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9"/>
      <c r="AF15" s="20"/>
    </row>
    <row r="16" spans="1:32">
      <c r="B16" s="15"/>
      <c r="C16" s="72" t="s">
        <v>21</v>
      </c>
      <c r="D16" s="73"/>
      <c r="E16" s="73"/>
      <c r="F16" s="73"/>
      <c r="G16" s="73"/>
      <c r="H16" s="73"/>
      <c r="I16" s="73"/>
      <c r="J16" s="73"/>
      <c r="K16" s="73"/>
      <c r="L16" s="74"/>
      <c r="M16" s="107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9"/>
      <c r="AF16" s="16"/>
    </row>
    <row r="17" spans="2:32" ht="25.5" customHeight="1">
      <c r="B17" s="15"/>
      <c r="C17" s="69" t="s">
        <v>81</v>
      </c>
      <c r="D17" s="70"/>
      <c r="E17" s="70"/>
      <c r="F17" s="70"/>
      <c r="G17" s="70"/>
      <c r="H17" s="70"/>
      <c r="I17" s="70"/>
      <c r="J17" s="70"/>
      <c r="K17" s="70"/>
      <c r="L17" s="71"/>
      <c r="M17" s="107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9"/>
      <c r="AF17" s="16"/>
    </row>
    <row r="18" spans="2:32" ht="28.5" customHeight="1" thickBot="1">
      <c r="B18" s="15"/>
      <c r="C18" s="69"/>
      <c r="D18" s="70"/>
      <c r="E18" s="70"/>
      <c r="F18" s="70"/>
      <c r="G18" s="70"/>
      <c r="H18" s="70"/>
      <c r="I18" s="70"/>
      <c r="J18" s="70"/>
      <c r="K18" s="70"/>
      <c r="L18" s="71"/>
      <c r="M18" s="110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2"/>
      <c r="AF18" s="16"/>
    </row>
    <row r="19" spans="2:32">
      <c r="B19" s="15"/>
      <c r="C19" s="46"/>
      <c r="D19" s="46"/>
      <c r="E19" s="46"/>
      <c r="F19" s="46"/>
      <c r="G19" s="46"/>
      <c r="H19" s="46"/>
      <c r="I19" s="46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16"/>
    </row>
    <row r="20" spans="2:32">
      <c r="B20" s="15"/>
      <c r="C20" s="56" t="s">
        <v>327</v>
      </c>
      <c r="D20" s="2"/>
      <c r="E20" s="2"/>
      <c r="F20" s="88"/>
      <c r="G20" s="89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45"/>
      <c r="AF20" s="16"/>
    </row>
    <row r="21" spans="2:32">
      <c r="B21" s="15"/>
      <c r="C21" s="56" t="s">
        <v>328</v>
      </c>
      <c r="D21" s="2"/>
      <c r="E21" s="2"/>
      <c r="F21" s="88"/>
      <c r="G21" s="89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45"/>
      <c r="AF21" s="16"/>
    </row>
    <row r="22" spans="2:32">
      <c r="B22" s="15"/>
      <c r="C22" s="5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45"/>
      <c r="AF22" s="16"/>
    </row>
    <row r="23" spans="2:32">
      <c r="B23" s="15"/>
      <c r="C23" s="56" t="s">
        <v>329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45"/>
      <c r="AF23" s="16"/>
    </row>
    <row r="24" spans="2:32" ht="12" customHeight="1">
      <c r="B24" s="15"/>
      <c r="C24" s="9" t="s">
        <v>330</v>
      </c>
      <c r="D24" s="2"/>
      <c r="E24" s="2"/>
      <c r="F24" s="2"/>
      <c r="G24" s="2"/>
      <c r="H24" s="2"/>
      <c r="I24" s="2"/>
      <c r="J24" s="2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2"/>
      <c r="AF24" s="16"/>
    </row>
    <row r="25" spans="2:32">
      <c r="B25" s="15"/>
      <c r="C25" s="9" t="s">
        <v>331</v>
      </c>
      <c r="D25" s="2"/>
      <c r="E25" s="2"/>
      <c r="F25" s="2"/>
      <c r="G25" s="2"/>
      <c r="H25" s="2"/>
      <c r="I25" s="2"/>
      <c r="J25" s="2"/>
      <c r="K25" s="68"/>
      <c r="L25" s="68"/>
      <c r="M25" s="68"/>
      <c r="N25" s="68"/>
      <c r="O25" s="68"/>
      <c r="P25" s="68"/>
      <c r="Q25" s="68"/>
      <c r="R25" s="68"/>
      <c r="S25" s="68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16"/>
    </row>
    <row r="26" spans="2:32">
      <c r="B26" s="15"/>
      <c r="C26" s="9" t="s">
        <v>334</v>
      </c>
      <c r="D26" s="2"/>
      <c r="E26" s="2"/>
      <c r="F26" s="2"/>
      <c r="G26" s="2"/>
      <c r="H26" s="2"/>
      <c r="I26" s="2"/>
      <c r="J26" s="2"/>
      <c r="K26" s="68"/>
      <c r="L26" s="68"/>
      <c r="M26" s="68"/>
      <c r="N26" s="68"/>
      <c r="O26" s="68"/>
      <c r="P26" s="68"/>
      <c r="Q26" s="68"/>
      <c r="R26" s="68"/>
      <c r="S26" s="68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16"/>
    </row>
    <row r="27" spans="2:32">
      <c r="B27" s="15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16"/>
    </row>
    <row r="28" spans="2:32" s="14" customFormat="1">
      <c r="B28" s="8"/>
      <c r="C28" s="9" t="s">
        <v>3</v>
      </c>
      <c r="D28" s="9"/>
      <c r="E28" s="9"/>
      <c r="F28" s="9"/>
      <c r="G28" s="17"/>
      <c r="H28" s="17"/>
      <c r="I28" s="59">
        <v>1000</v>
      </c>
      <c r="J28" s="59"/>
      <c r="K28" s="59"/>
      <c r="L28" s="59"/>
      <c r="M28" s="59"/>
      <c r="N28" s="59"/>
      <c r="O28" s="59"/>
      <c r="P28" s="9"/>
      <c r="Q28" s="58" t="str">
        <f>PesosMN(I28)</f>
        <v>( UN MIL PESOS 00/100 M.N.)</v>
      </c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13"/>
    </row>
    <row r="29" spans="2:32" ht="13.5" customHeight="1">
      <c r="B29" s="15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8"/>
      <c r="O29" s="18"/>
      <c r="P29" s="18"/>
      <c r="Q29" s="57" t="s">
        <v>4</v>
      </c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19"/>
    </row>
    <row r="30" spans="2:32" ht="4.5" customHeight="1">
      <c r="B30" s="15"/>
      <c r="Q30" s="1"/>
      <c r="R30" s="1"/>
      <c r="S30" s="1"/>
      <c r="T30" s="1"/>
      <c r="U30" s="1"/>
      <c r="V30" s="1"/>
      <c r="W30" s="21"/>
      <c r="X30" s="1"/>
      <c r="Y30" s="1"/>
      <c r="Z30" s="1"/>
      <c r="AA30" s="1"/>
      <c r="AB30" s="1"/>
      <c r="AC30" s="1"/>
      <c r="AD30" s="1"/>
      <c r="AE30" s="1"/>
      <c r="AF30" s="22"/>
    </row>
    <row r="31" spans="2:32" s="12" customFormat="1" ht="15" customHeight="1">
      <c r="B31" s="23"/>
      <c r="C31" s="9"/>
      <c r="D31" s="9"/>
      <c r="E31" s="75" t="s">
        <v>332</v>
      </c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9"/>
      <c r="Q31" s="9"/>
      <c r="R31" s="9"/>
      <c r="S31" s="24"/>
      <c r="T31" s="75" t="s">
        <v>7</v>
      </c>
      <c r="U31" s="75"/>
      <c r="V31" s="75"/>
      <c r="W31" s="75"/>
      <c r="X31" s="75"/>
      <c r="Y31" s="24"/>
      <c r="Z31" s="24"/>
      <c r="AA31" s="75" t="s">
        <v>8</v>
      </c>
      <c r="AB31" s="75"/>
      <c r="AC31" s="75"/>
      <c r="AD31" s="75"/>
      <c r="AE31" s="75"/>
      <c r="AF31" s="13"/>
    </row>
    <row r="32" spans="2:32" s="12" customFormat="1" ht="11.25">
      <c r="B32" s="23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24"/>
      <c r="Y32" s="24"/>
      <c r="Z32" s="24"/>
      <c r="AA32" s="24"/>
      <c r="AB32" s="9"/>
      <c r="AC32" s="9"/>
      <c r="AD32" s="9"/>
      <c r="AE32" s="9"/>
      <c r="AF32" s="13"/>
    </row>
    <row r="33" spans="2:32" s="12" customFormat="1" ht="11.25">
      <c r="B33" s="23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24"/>
      <c r="Y33" s="24"/>
      <c r="Z33" s="24"/>
      <c r="AA33" s="24"/>
      <c r="AB33" s="9"/>
      <c r="AC33" s="9"/>
      <c r="AD33" s="9"/>
      <c r="AE33" s="9"/>
      <c r="AF33" s="13"/>
    </row>
    <row r="34" spans="2:32" s="12" customFormat="1" ht="11.25">
      <c r="B34" s="23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0"/>
      <c r="R34" s="9"/>
      <c r="S34" s="9"/>
      <c r="T34" s="9"/>
      <c r="U34" s="9"/>
      <c r="V34" s="9"/>
      <c r="W34" s="9"/>
      <c r="X34" s="24"/>
      <c r="Y34" s="24"/>
      <c r="Z34" s="24"/>
      <c r="AA34" s="24"/>
      <c r="AB34" s="9"/>
      <c r="AC34" s="9"/>
      <c r="AD34" s="9"/>
      <c r="AE34" s="9"/>
      <c r="AF34" s="13"/>
    </row>
    <row r="35" spans="2:32" s="12" customFormat="1" ht="11.25">
      <c r="B35" s="23"/>
      <c r="C35" s="9"/>
      <c r="D35" s="9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9"/>
      <c r="Q35" s="9"/>
      <c r="R35" s="9"/>
      <c r="S35" s="9"/>
      <c r="T35" s="11"/>
      <c r="U35" s="11"/>
      <c r="V35" s="11"/>
      <c r="W35" s="11"/>
      <c r="X35" s="11"/>
      <c r="Y35" s="24"/>
      <c r="Z35" s="24"/>
      <c r="AA35" s="11"/>
      <c r="AB35" s="11"/>
      <c r="AC35" s="11"/>
      <c r="AD35" s="11"/>
      <c r="AE35" s="11"/>
      <c r="AF35" s="13"/>
    </row>
    <row r="36" spans="2:32" s="12" customFormat="1" ht="36.75" customHeight="1">
      <c r="B36" s="23"/>
      <c r="C36" s="9"/>
      <c r="D36" s="9"/>
      <c r="E36" s="76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24"/>
      <c r="Q36" s="24"/>
      <c r="R36" s="24"/>
      <c r="S36" s="9"/>
      <c r="T36" s="78"/>
      <c r="U36" s="78"/>
      <c r="V36" s="78"/>
      <c r="W36" s="78"/>
      <c r="X36" s="78"/>
      <c r="Y36" s="24"/>
      <c r="Z36" s="24"/>
      <c r="AA36" s="78"/>
      <c r="AB36" s="78"/>
      <c r="AC36" s="78"/>
      <c r="AD36" s="78"/>
      <c r="AE36" s="78"/>
      <c r="AF36" s="13"/>
    </row>
    <row r="37" spans="2:32" s="3" customFormat="1" ht="4.5" customHeight="1">
      <c r="B37" s="2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9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16"/>
    </row>
    <row r="38" spans="2:32" s="3" customFormat="1" ht="11.25">
      <c r="B38" s="25"/>
      <c r="C38" s="85" t="s">
        <v>9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7"/>
      <c r="AF38" s="16"/>
    </row>
    <row r="39" spans="2:32" s="3" customFormat="1" ht="11.25">
      <c r="B39" s="25"/>
      <c r="C39" s="26"/>
      <c r="D39" s="27"/>
      <c r="E39" s="27" t="s">
        <v>10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8"/>
      <c r="AF39" s="16"/>
    </row>
    <row r="40" spans="2:32" s="3" customFormat="1" ht="11.25">
      <c r="B40" s="25"/>
      <c r="C40" s="26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8"/>
      <c r="AF40" s="16"/>
    </row>
    <row r="41" spans="2:32" s="3" customFormat="1" ht="23.25" customHeight="1">
      <c r="B41" s="25"/>
      <c r="C41" s="26"/>
      <c r="D41" s="27"/>
      <c r="E41" s="29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30"/>
      <c r="U41" s="27"/>
      <c r="V41" s="27"/>
      <c r="W41" s="27"/>
      <c r="X41" s="27"/>
      <c r="Y41" s="27"/>
      <c r="Z41" s="27"/>
      <c r="AA41" s="27"/>
      <c r="AB41" s="27"/>
      <c r="AC41" s="27"/>
      <c r="AD41" s="96" t="s">
        <v>338</v>
      </c>
      <c r="AE41" s="97"/>
      <c r="AF41" s="16"/>
    </row>
    <row r="42" spans="2:32" s="3" customFormat="1" ht="12.75">
      <c r="B42" s="25"/>
      <c r="C42" s="26"/>
      <c r="D42" s="27"/>
      <c r="E42" s="27" t="s">
        <v>11</v>
      </c>
      <c r="F42" s="88"/>
      <c r="G42" s="89"/>
      <c r="H42" s="27"/>
      <c r="I42" s="27"/>
      <c r="J42" s="27"/>
      <c r="K42" s="27"/>
      <c r="L42" s="27"/>
      <c r="M42" s="31" t="s">
        <v>12</v>
      </c>
      <c r="N42" s="27"/>
      <c r="O42" s="90"/>
      <c r="P42" s="91"/>
      <c r="Q42" s="91"/>
      <c r="R42" s="27"/>
      <c r="S42" s="27"/>
      <c r="T42" s="31"/>
      <c r="U42" s="27"/>
      <c r="V42" s="27"/>
      <c r="W42" s="27"/>
      <c r="X42" s="27"/>
      <c r="Y42" s="92"/>
      <c r="Z42" s="92"/>
      <c r="AA42" s="92"/>
      <c r="AB42" s="92"/>
      <c r="AC42" s="92"/>
      <c r="AD42" s="92"/>
      <c r="AE42" s="93"/>
      <c r="AF42" s="16"/>
    </row>
    <row r="43" spans="2:32" s="3" customFormat="1" ht="11.25">
      <c r="B43" s="25"/>
      <c r="C43" s="26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8"/>
      <c r="AF43" s="16"/>
    </row>
    <row r="44" spans="2:32" s="3" customFormat="1" ht="6.75" customHeight="1">
      <c r="B44" s="25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8"/>
      <c r="AF44" s="16"/>
    </row>
    <row r="45" spans="2:32" s="3" customFormat="1" ht="11.25">
      <c r="B45" s="25"/>
      <c r="C45" s="32"/>
      <c r="D45" s="33"/>
      <c r="E45" s="27" t="s">
        <v>18</v>
      </c>
      <c r="F45" s="88"/>
      <c r="G45" s="89"/>
      <c r="H45" s="33"/>
      <c r="I45" s="33"/>
      <c r="J45" s="33" t="s">
        <v>19</v>
      </c>
      <c r="K45" s="33"/>
      <c r="L45" s="33"/>
      <c r="M45" s="33"/>
      <c r="N45" s="33"/>
      <c r="O45" s="33"/>
      <c r="P45" s="33"/>
      <c r="Q45" s="33"/>
      <c r="R45" s="33"/>
      <c r="S45" s="33"/>
      <c r="T45" s="92" t="s">
        <v>13</v>
      </c>
      <c r="U45" s="92"/>
      <c r="V45" s="92"/>
      <c r="W45" s="92"/>
      <c r="X45" s="33"/>
      <c r="Y45" s="92" t="s">
        <v>336</v>
      </c>
      <c r="Z45" s="92"/>
      <c r="AA45" s="92"/>
      <c r="AB45" s="92"/>
      <c r="AC45" s="33"/>
      <c r="AD45" s="33"/>
      <c r="AE45" s="34"/>
      <c r="AF45" s="16"/>
    </row>
    <row r="46" spans="2:32" s="3" customFormat="1" ht="11.25">
      <c r="B46" s="25"/>
      <c r="C46" s="26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8"/>
      <c r="AF46" s="16"/>
    </row>
    <row r="47" spans="2:32" s="3" customFormat="1" ht="11.25">
      <c r="B47" s="25"/>
      <c r="C47" s="26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35"/>
      <c r="W47" s="27"/>
      <c r="X47" s="27"/>
      <c r="Y47" s="27"/>
      <c r="Z47" s="27"/>
      <c r="AA47" s="35"/>
      <c r="AB47" s="27"/>
      <c r="AC47" s="27"/>
      <c r="AD47" s="27"/>
      <c r="AE47" s="36"/>
      <c r="AF47" s="16"/>
    </row>
    <row r="48" spans="2:32" s="3" customFormat="1" ht="11.25">
      <c r="B48" s="25"/>
      <c r="C48" s="26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8"/>
      <c r="AF48" s="16"/>
    </row>
    <row r="49" spans="2:32" s="3" customFormat="1" ht="11.25"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37"/>
      <c r="U49" s="37"/>
      <c r="V49" s="37"/>
      <c r="W49" s="37"/>
      <c r="X49" s="27"/>
      <c r="Y49" s="37"/>
      <c r="Z49" s="37"/>
      <c r="AA49" s="37"/>
      <c r="AB49" s="37"/>
      <c r="AC49" s="27"/>
      <c r="AD49" s="37"/>
      <c r="AE49" s="38"/>
      <c r="AF49" s="16"/>
    </row>
    <row r="50" spans="2:32" s="3" customFormat="1" ht="27.75" customHeight="1">
      <c r="B50" s="25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94" t="s">
        <v>335</v>
      </c>
      <c r="U50" s="95"/>
      <c r="V50" s="95"/>
      <c r="W50" s="95"/>
      <c r="X50" s="27"/>
      <c r="Y50" s="94" t="s">
        <v>337</v>
      </c>
      <c r="Z50" s="95"/>
      <c r="AA50" s="95"/>
      <c r="AB50" s="95"/>
      <c r="AC50" s="33"/>
      <c r="AD50" s="96" t="s">
        <v>333</v>
      </c>
      <c r="AE50" s="97"/>
      <c r="AF50" s="16"/>
    </row>
    <row r="51" spans="2:32" s="3" customFormat="1" ht="7.5" customHeight="1">
      <c r="B51" s="25"/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1"/>
      <c r="AF51" s="16"/>
    </row>
    <row r="52" spans="2:32" s="3" customFormat="1" ht="3.75" customHeight="1">
      <c r="B52" s="25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16"/>
    </row>
    <row r="53" spans="2:32" s="3" customFormat="1" ht="3" customHeight="1">
      <c r="B53" s="25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16"/>
    </row>
    <row r="54" spans="2:32" s="3" customFormat="1" ht="33.75" customHeight="1">
      <c r="B54" s="25"/>
      <c r="C54" s="79" t="s">
        <v>20</v>
      </c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1"/>
      <c r="AF54" s="16"/>
    </row>
    <row r="55" spans="2:32" s="3" customFormat="1" ht="9" customHeight="1">
      <c r="B55" s="25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16"/>
    </row>
    <row r="56" spans="2:32" s="3" customFormat="1" ht="18" customHeight="1">
      <c r="B56" s="25"/>
      <c r="C56" s="82" t="s">
        <v>14</v>
      </c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16"/>
    </row>
    <row r="57" spans="2:32" ht="3" customHeight="1" thickBot="1">
      <c r="B57" s="43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44"/>
    </row>
  </sheetData>
  <mergeCells count="44">
    <mergeCell ref="N10:X10"/>
    <mergeCell ref="F20:G20"/>
    <mergeCell ref="F21:G21"/>
    <mergeCell ref="K24:AD24"/>
    <mergeCell ref="M14:AE18"/>
    <mergeCell ref="A1:AE1"/>
    <mergeCell ref="A2:AE2"/>
    <mergeCell ref="H9:U9"/>
    <mergeCell ref="AD9:AE9"/>
    <mergeCell ref="C6:AF6"/>
    <mergeCell ref="R8:AE8"/>
    <mergeCell ref="X9:AA9"/>
    <mergeCell ref="C54:AE54"/>
    <mergeCell ref="C56:AE56"/>
    <mergeCell ref="C57:AE57"/>
    <mergeCell ref="C38:AE38"/>
    <mergeCell ref="F42:G42"/>
    <mergeCell ref="O42:Q42"/>
    <mergeCell ref="Y42:AE42"/>
    <mergeCell ref="T45:W45"/>
    <mergeCell ref="T50:W50"/>
    <mergeCell ref="AD50:AE50"/>
    <mergeCell ref="F45:G45"/>
    <mergeCell ref="Y45:AB45"/>
    <mergeCell ref="Y50:AB50"/>
    <mergeCell ref="AD41:AE41"/>
    <mergeCell ref="E31:O31"/>
    <mergeCell ref="T31:X31"/>
    <mergeCell ref="AA31:AE31"/>
    <mergeCell ref="E36:O36"/>
    <mergeCell ref="T36:X36"/>
    <mergeCell ref="AA36:AE36"/>
    <mergeCell ref="Q29:AE29"/>
    <mergeCell ref="Q28:AE28"/>
    <mergeCell ref="I28:O28"/>
    <mergeCell ref="M13:AE13"/>
    <mergeCell ref="C13:L13"/>
    <mergeCell ref="C14:L14"/>
    <mergeCell ref="K25:S25"/>
    <mergeCell ref="K26:S26"/>
    <mergeCell ref="C15:L15"/>
    <mergeCell ref="C16:L16"/>
    <mergeCell ref="C17:L17"/>
    <mergeCell ref="C18:L18"/>
  </mergeCells>
  <pageMargins left="0.70866141732283472" right="0.70866141732283472" top="0.74803149606299213" bottom="0.74803149606299213" header="0.31496062992125984" footer="0.31496062992125984"/>
  <pageSetup scale="60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Hoja2!$A$2:$A$249</xm:f>
          </x14:formula1>
          <xm:sqref>C15</xm:sqref>
        </x14:dataValidation>
        <x14:dataValidation type="list" allowBlank="1" showInputMessage="1" showErrorMessage="1">
          <x14:formula1>
            <xm:f>Hoja3!$A$2:$A$38</xm:f>
          </x14:formula1>
          <xm:sqref>C17:C18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38" workbookViewId="0">
      <selection activeCell="A2" sqref="A2:A249"/>
    </sheetView>
  </sheetViews>
  <sheetFormatPr baseColWidth="10" defaultColWidth="11.42578125" defaultRowHeight="15"/>
  <cols>
    <col min="1" max="1" width="81" customWidth="1"/>
    <col min="2" max="2" width="11.85546875" style="54" bestFit="1" customWidth="1"/>
    <col min="3" max="3" width="11.85546875" bestFit="1" customWidth="1"/>
  </cols>
  <sheetData>
    <row r="1" spans="1:3">
      <c r="B1" s="53" t="s">
        <v>22</v>
      </c>
      <c r="C1" s="47" t="s">
        <v>23</v>
      </c>
    </row>
    <row r="2" spans="1:3">
      <c r="A2" s="55" t="s">
        <v>83</v>
      </c>
      <c r="B2" s="54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>
      <c r="A3" s="55" t="s">
        <v>84</v>
      </c>
      <c r="B3" s="54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>
      <c r="A4" s="55" t="s">
        <v>85</v>
      </c>
      <c r="B4" s="54">
        <f t="shared" si="1"/>
        <v>2120</v>
      </c>
      <c r="C4" t="str">
        <f t="shared" si="0"/>
        <v xml:space="preserve"> Materiales Y Útiles De Impresión Y Reproducción</v>
      </c>
    </row>
    <row r="5" spans="1:3">
      <c r="A5" s="55" t="s">
        <v>86</v>
      </c>
      <c r="B5" s="54">
        <f t="shared" si="1"/>
        <v>2130</v>
      </c>
      <c r="C5" t="str">
        <f t="shared" si="0"/>
        <v xml:space="preserve"> Material Estadístico Y Geográfico</v>
      </c>
    </row>
    <row r="6" spans="1:3">
      <c r="A6" s="55" t="s">
        <v>87</v>
      </c>
      <c r="B6" s="54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>
      <c r="A7" s="55" t="s">
        <v>88</v>
      </c>
      <c r="B7" s="54">
        <f>Limpia(A7,1)</f>
        <v>2150</v>
      </c>
      <c r="C7" t="str">
        <f>Limpia(A7,2)</f>
        <v xml:space="preserve"> Material Impreso E Información Digital</v>
      </c>
    </row>
    <row r="8" spans="1:3">
      <c r="A8" s="55" t="s">
        <v>89</v>
      </c>
      <c r="B8" s="54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s="55" t="s">
        <v>90</v>
      </c>
      <c r="B9" s="54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s="55" t="s">
        <v>91</v>
      </c>
      <c r="B10" s="54">
        <f t="shared" si="2"/>
        <v>2200</v>
      </c>
      <c r="C10" t="str">
        <f t="shared" si="3"/>
        <v xml:space="preserve"> Alimentos Y Utensilios</v>
      </c>
    </row>
    <row r="11" spans="1:3">
      <c r="A11" s="55" t="s">
        <v>92</v>
      </c>
      <c r="B11" s="54">
        <f t="shared" si="2"/>
        <v>2210</v>
      </c>
      <c r="C11" t="str">
        <f t="shared" si="3"/>
        <v xml:space="preserve"> Productos Alimenticios Para Personas</v>
      </c>
    </row>
    <row r="12" spans="1:3">
      <c r="A12" s="55" t="s">
        <v>93</v>
      </c>
      <c r="B12" s="54">
        <f t="shared" si="2"/>
        <v>2220</v>
      </c>
      <c r="C12" t="str">
        <f t="shared" si="3"/>
        <v xml:space="preserve"> Productos Alimenticios Para Animales</v>
      </c>
    </row>
    <row r="13" spans="1:3">
      <c r="A13" s="55" t="s">
        <v>94</v>
      </c>
      <c r="B13" s="54">
        <f t="shared" si="2"/>
        <v>2230</v>
      </c>
      <c r="C13" t="str">
        <f t="shared" si="3"/>
        <v xml:space="preserve"> Utensilios Para El Servicio De Alimentación</v>
      </c>
    </row>
    <row r="14" spans="1:3">
      <c r="A14" s="55" t="s">
        <v>95</v>
      </c>
      <c r="B14" s="5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s="55" t="s">
        <v>96</v>
      </c>
      <c r="B15" s="54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s="55" t="s">
        <v>97</v>
      </c>
      <c r="B16" s="54">
        <f t="shared" si="2"/>
        <v>2320</v>
      </c>
      <c r="C16" t="str">
        <f t="shared" si="3"/>
        <v xml:space="preserve"> Insumos Textiles Adquiridos Como Materia Prima</v>
      </c>
    </row>
    <row r="17" spans="1:3">
      <c r="A17" s="55" t="s">
        <v>98</v>
      </c>
      <c r="B17" s="54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s="55" t="s">
        <v>99</v>
      </c>
      <c r="B18" s="54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s="55" t="s">
        <v>100</v>
      </c>
      <c r="B19" s="54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s="55" t="s">
        <v>101</v>
      </c>
      <c r="B20" s="54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s="55" t="s">
        <v>102</v>
      </c>
      <c r="B21" s="54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s="55" t="s">
        <v>103</v>
      </c>
      <c r="B22" s="54">
        <f t="shared" si="2"/>
        <v>2380</v>
      </c>
      <c r="C22" t="str">
        <f t="shared" si="3"/>
        <v xml:space="preserve"> Mercancías Adquiridas Para Su Comercialización</v>
      </c>
    </row>
    <row r="23" spans="1:3">
      <c r="A23" s="55" t="s">
        <v>104</v>
      </c>
      <c r="B23" s="54">
        <f t="shared" si="2"/>
        <v>2390</v>
      </c>
      <c r="C23" t="str">
        <f t="shared" si="3"/>
        <v xml:space="preserve"> Otros Productos Adquiridos Como Materia Prima</v>
      </c>
    </row>
    <row r="24" spans="1:3">
      <c r="A24" s="55" t="s">
        <v>105</v>
      </c>
      <c r="B24" s="5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s="55" t="s">
        <v>106</v>
      </c>
      <c r="B25" s="54">
        <f t="shared" si="2"/>
        <v>2410</v>
      </c>
      <c r="C25" t="str">
        <f t="shared" si="3"/>
        <v xml:space="preserve"> Productos Minerales No Metálicos</v>
      </c>
    </row>
    <row r="26" spans="1:3">
      <c r="A26" s="55" t="s">
        <v>107</v>
      </c>
      <c r="B26" s="54">
        <f t="shared" si="2"/>
        <v>2420</v>
      </c>
      <c r="C26" t="str">
        <f t="shared" si="3"/>
        <v xml:space="preserve"> Cemento Y Productos De Concreto</v>
      </c>
    </row>
    <row r="27" spans="1:3">
      <c r="A27" s="55" t="s">
        <v>108</v>
      </c>
      <c r="B27" s="54">
        <f t="shared" si="2"/>
        <v>2430</v>
      </c>
      <c r="C27" t="str">
        <f t="shared" si="3"/>
        <v xml:space="preserve"> Cal, Yeso Y Productos De Yeso</v>
      </c>
    </row>
    <row r="28" spans="1:3">
      <c r="A28" s="55" t="s">
        <v>109</v>
      </c>
      <c r="B28" s="54">
        <f t="shared" si="2"/>
        <v>2440</v>
      </c>
      <c r="C28" t="str">
        <f t="shared" si="3"/>
        <v xml:space="preserve"> Madera Y Productos De Madera</v>
      </c>
    </row>
    <row r="29" spans="1:3">
      <c r="A29" s="55" t="s">
        <v>110</v>
      </c>
      <c r="B29" s="54">
        <f t="shared" si="2"/>
        <v>2450</v>
      </c>
      <c r="C29" t="str">
        <f t="shared" si="3"/>
        <v xml:space="preserve"> Vidrio Y Productos De Vidrio</v>
      </c>
    </row>
    <row r="30" spans="1:3">
      <c r="A30" s="55" t="s">
        <v>111</v>
      </c>
      <c r="B30" s="54">
        <f t="shared" si="2"/>
        <v>2460</v>
      </c>
      <c r="C30" t="str">
        <f t="shared" si="3"/>
        <v xml:space="preserve"> Material Eléctrico Y Electrónico</v>
      </c>
    </row>
    <row r="31" spans="1:3">
      <c r="A31" s="55" t="s">
        <v>112</v>
      </c>
      <c r="B31" s="54">
        <f t="shared" si="2"/>
        <v>2470</v>
      </c>
      <c r="C31" t="str">
        <f t="shared" si="3"/>
        <v xml:space="preserve"> Artículos Metálicos Para La Construcción</v>
      </c>
    </row>
    <row r="32" spans="1:3">
      <c r="A32" s="55" t="s">
        <v>113</v>
      </c>
      <c r="B32" s="54">
        <f t="shared" si="2"/>
        <v>2480</v>
      </c>
      <c r="C32" t="str">
        <f t="shared" si="3"/>
        <v xml:space="preserve"> Materiales Complementarios</v>
      </c>
    </row>
    <row r="33" spans="1:3">
      <c r="A33" s="55" t="s">
        <v>114</v>
      </c>
      <c r="B33" s="54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s="55" t="s">
        <v>115</v>
      </c>
      <c r="B34" s="5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s="55" t="s">
        <v>116</v>
      </c>
      <c r="B35" s="54">
        <f t="shared" si="2"/>
        <v>2510</v>
      </c>
      <c r="C35" t="str">
        <f t="shared" si="3"/>
        <v xml:space="preserve"> Productos Químicos Básicos</v>
      </c>
    </row>
    <row r="36" spans="1:3">
      <c r="A36" s="55" t="s">
        <v>117</v>
      </c>
      <c r="B36" s="54">
        <f t="shared" si="2"/>
        <v>2520</v>
      </c>
      <c r="C36" t="str">
        <f t="shared" si="3"/>
        <v xml:space="preserve"> Fertilizantes, Pesticidas Y Otros Agroquímicos</v>
      </c>
    </row>
    <row r="37" spans="1:3">
      <c r="A37" s="55" t="s">
        <v>118</v>
      </c>
      <c r="B37" s="54">
        <f t="shared" si="2"/>
        <v>2530</v>
      </c>
      <c r="C37" t="str">
        <f t="shared" si="3"/>
        <v xml:space="preserve"> Medicinas Y Productos Farmacéuticos</v>
      </c>
    </row>
    <row r="38" spans="1:3">
      <c r="A38" s="55" t="s">
        <v>119</v>
      </c>
      <c r="B38" s="54">
        <f t="shared" si="2"/>
        <v>2540</v>
      </c>
      <c r="C38" t="str">
        <f t="shared" si="3"/>
        <v xml:space="preserve"> Materiales, Accesorios Y Suministros Médicos</v>
      </c>
    </row>
    <row r="39" spans="1:3">
      <c r="A39" s="55" t="s">
        <v>120</v>
      </c>
      <c r="B39" s="54">
        <f t="shared" si="2"/>
        <v>2550</v>
      </c>
      <c r="C39" t="str">
        <f t="shared" si="3"/>
        <v xml:space="preserve"> Materiales, Accesorios Y Suministros De Laboratorio</v>
      </c>
    </row>
    <row r="40" spans="1:3">
      <c r="A40" s="55" t="s">
        <v>121</v>
      </c>
      <c r="B40" s="54">
        <f t="shared" si="2"/>
        <v>2560</v>
      </c>
      <c r="C40" t="str">
        <f t="shared" si="3"/>
        <v xml:space="preserve"> Fibras Sintéticas, Hules, Plásticos Y Derivados</v>
      </c>
    </row>
    <row r="41" spans="1:3">
      <c r="A41" s="55" t="s">
        <v>122</v>
      </c>
      <c r="B41" s="54">
        <f t="shared" si="2"/>
        <v>2590</v>
      </c>
      <c r="C41" t="str">
        <f t="shared" si="3"/>
        <v xml:space="preserve"> Otros Productos Químicos</v>
      </c>
    </row>
    <row r="42" spans="1:3">
      <c r="A42" s="55" t="s">
        <v>123</v>
      </c>
      <c r="B42" s="54">
        <f t="shared" si="2"/>
        <v>2600</v>
      </c>
      <c r="C42" t="str">
        <f t="shared" si="3"/>
        <v xml:space="preserve"> Combustibles, Lubricantes Y Aditivos</v>
      </c>
    </row>
    <row r="43" spans="1:3">
      <c r="A43" s="55" t="s">
        <v>124</v>
      </c>
      <c r="B43" s="54">
        <f t="shared" si="2"/>
        <v>2610</v>
      </c>
      <c r="C43" t="str">
        <f t="shared" si="3"/>
        <v xml:space="preserve"> Combustibles, Lubricantes Y Aditivos</v>
      </c>
    </row>
    <row r="44" spans="1:3">
      <c r="A44" s="55" t="s">
        <v>125</v>
      </c>
      <c r="B44" s="54">
        <f t="shared" si="2"/>
        <v>2620</v>
      </c>
      <c r="C44" t="str">
        <f t="shared" si="3"/>
        <v xml:space="preserve"> Carbón Y Sus Derivados</v>
      </c>
    </row>
    <row r="45" spans="1:3">
      <c r="A45" s="55" t="s">
        <v>126</v>
      </c>
      <c r="B45" s="54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s="55" t="s">
        <v>127</v>
      </c>
      <c r="B46" s="54">
        <f t="shared" si="2"/>
        <v>2710</v>
      </c>
      <c r="C46" t="str">
        <f t="shared" si="3"/>
        <v xml:space="preserve"> Vestuario Y Uniformes</v>
      </c>
    </row>
    <row r="47" spans="1:3">
      <c r="A47" s="55" t="s">
        <v>128</v>
      </c>
      <c r="B47" s="54">
        <f t="shared" si="2"/>
        <v>2720</v>
      </c>
      <c r="C47" t="str">
        <f t="shared" si="3"/>
        <v xml:space="preserve"> Prendas De Seguridad Y Protección Personal</v>
      </c>
    </row>
    <row r="48" spans="1:3">
      <c r="A48" s="55" t="s">
        <v>129</v>
      </c>
      <c r="B48" s="54">
        <f t="shared" si="2"/>
        <v>2730</v>
      </c>
      <c r="C48" t="str">
        <f t="shared" si="3"/>
        <v xml:space="preserve"> Artículos Deportivos</v>
      </c>
    </row>
    <row r="49" spans="1:3">
      <c r="A49" s="55" t="s">
        <v>130</v>
      </c>
      <c r="B49" s="54">
        <f t="shared" si="2"/>
        <v>2740</v>
      </c>
      <c r="C49" t="str">
        <f t="shared" si="3"/>
        <v xml:space="preserve"> Productos Textiles</v>
      </c>
    </row>
    <row r="50" spans="1:3">
      <c r="A50" s="55" t="s">
        <v>131</v>
      </c>
      <c r="B50" s="54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s="55" t="s">
        <v>132</v>
      </c>
      <c r="B51" s="54">
        <f t="shared" si="2"/>
        <v>2800</v>
      </c>
      <c r="C51" t="str">
        <f t="shared" si="3"/>
        <v xml:space="preserve"> Materiales Y Suministros Para Seguridad</v>
      </c>
    </row>
    <row r="52" spans="1:3">
      <c r="A52" s="55" t="s">
        <v>133</v>
      </c>
      <c r="B52" s="54">
        <f t="shared" si="2"/>
        <v>2810</v>
      </c>
      <c r="C52" t="str">
        <f t="shared" si="3"/>
        <v xml:space="preserve"> Sustancias Y Materiales Explosivos</v>
      </c>
    </row>
    <row r="53" spans="1:3">
      <c r="A53" s="55" t="s">
        <v>134</v>
      </c>
      <c r="B53" s="54">
        <f t="shared" si="2"/>
        <v>2820</v>
      </c>
      <c r="C53" t="str">
        <f t="shared" si="3"/>
        <v xml:space="preserve"> Materiales De Seguridad Pública</v>
      </c>
    </row>
    <row r="54" spans="1:3">
      <c r="A54" s="55" t="s">
        <v>135</v>
      </c>
      <c r="B54" s="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s="55" t="s">
        <v>136</v>
      </c>
      <c r="B55" s="54">
        <f t="shared" si="2"/>
        <v>2900</v>
      </c>
      <c r="C55" t="str">
        <f t="shared" si="3"/>
        <v xml:space="preserve"> Herramientas, Refacciones Y Accesorios Menores</v>
      </c>
    </row>
    <row r="56" spans="1:3">
      <c r="A56" s="55" t="s">
        <v>137</v>
      </c>
      <c r="B56" s="54">
        <f t="shared" si="2"/>
        <v>2910</v>
      </c>
      <c r="C56" t="str">
        <f t="shared" si="3"/>
        <v xml:space="preserve"> Herramientas Menores</v>
      </c>
    </row>
    <row r="57" spans="1:3">
      <c r="A57" s="55" t="s">
        <v>138</v>
      </c>
      <c r="B57" s="54">
        <f t="shared" si="2"/>
        <v>2920</v>
      </c>
      <c r="C57" t="str">
        <f t="shared" si="3"/>
        <v xml:space="preserve"> Refacciones Y Accesorios Menores De Edificios</v>
      </c>
    </row>
    <row r="58" spans="1:3">
      <c r="A58" s="55" t="s">
        <v>139</v>
      </c>
      <c r="B58" s="54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s="55" t="s">
        <v>140</v>
      </c>
      <c r="B59" s="54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s="55" t="s">
        <v>141</v>
      </c>
      <c r="B60" s="54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s="55" t="s">
        <v>142</v>
      </c>
      <c r="B61" s="54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s="55" t="s">
        <v>143</v>
      </c>
      <c r="B62" s="54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s="55" t="s">
        <v>144</v>
      </c>
      <c r="B63" s="54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s="55" t="s">
        <v>145</v>
      </c>
      <c r="B64" s="5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s="55" t="s">
        <v>146</v>
      </c>
      <c r="B65" s="54">
        <f t="shared" si="4"/>
        <v>3000</v>
      </c>
      <c r="C65" t="str">
        <f t="shared" si="5"/>
        <v xml:space="preserve"> Servicios Generales</v>
      </c>
    </row>
    <row r="66" spans="1:3">
      <c r="A66" s="55" t="s">
        <v>147</v>
      </c>
      <c r="B66" s="54">
        <f t="shared" si="4"/>
        <v>3100</v>
      </c>
      <c r="C66" t="str">
        <f t="shared" si="5"/>
        <v xml:space="preserve"> Servicios Básicos</v>
      </c>
    </row>
    <row r="67" spans="1:3">
      <c r="A67" s="55" t="s">
        <v>148</v>
      </c>
      <c r="B67" s="54">
        <f t="shared" si="4"/>
        <v>3110</v>
      </c>
      <c r="C67" t="str">
        <f t="shared" si="5"/>
        <v xml:space="preserve"> Energía Eléctrica</v>
      </c>
    </row>
    <row r="68" spans="1:3">
      <c r="A68" s="55" t="s">
        <v>24</v>
      </c>
      <c r="B68" s="54">
        <f t="shared" si="4"/>
        <v>3120</v>
      </c>
      <c r="C68" t="str">
        <f t="shared" si="5"/>
        <v xml:space="preserve"> Gas</v>
      </c>
    </row>
    <row r="69" spans="1:3">
      <c r="A69" s="55" t="s">
        <v>25</v>
      </c>
      <c r="B69" s="54">
        <f t="shared" si="4"/>
        <v>3130</v>
      </c>
      <c r="C69" t="str">
        <f t="shared" si="5"/>
        <v xml:space="preserve"> Agua</v>
      </c>
    </row>
    <row r="70" spans="1:3">
      <c r="A70" s="55" t="s">
        <v>149</v>
      </c>
      <c r="B70" s="54">
        <f t="shared" si="4"/>
        <v>3140</v>
      </c>
      <c r="C70" t="str">
        <f t="shared" si="5"/>
        <v xml:space="preserve"> Telefonía Tradicional</v>
      </c>
    </row>
    <row r="71" spans="1:3">
      <c r="A71" s="55" t="s">
        <v>150</v>
      </c>
      <c r="B71" s="54">
        <f t="shared" si="4"/>
        <v>3150</v>
      </c>
      <c r="C71" t="str">
        <f t="shared" si="5"/>
        <v xml:space="preserve"> Telefonía Celular</v>
      </c>
    </row>
    <row r="72" spans="1:3">
      <c r="A72" s="55" t="s">
        <v>151</v>
      </c>
      <c r="B72" s="54">
        <f t="shared" si="4"/>
        <v>3160</v>
      </c>
      <c r="C72" t="str">
        <f t="shared" si="5"/>
        <v xml:space="preserve"> Servicios De Telecomunicaciones Y Satélites</v>
      </c>
    </row>
    <row r="73" spans="1:3">
      <c r="A73" s="55" t="s">
        <v>152</v>
      </c>
      <c r="B73" s="54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s="55" t="s">
        <v>153</v>
      </c>
      <c r="B74" s="54">
        <f t="shared" si="4"/>
        <v>3180</v>
      </c>
      <c r="C74" t="str">
        <f t="shared" si="5"/>
        <v xml:space="preserve"> Servicios Postales Y Telegráficos</v>
      </c>
    </row>
    <row r="75" spans="1:3">
      <c r="A75" s="55" t="s">
        <v>154</v>
      </c>
      <c r="B75" s="54">
        <f t="shared" si="4"/>
        <v>3190</v>
      </c>
      <c r="C75" t="str">
        <f t="shared" si="5"/>
        <v xml:space="preserve"> Servicios Integrales Y Otros Servicios</v>
      </c>
    </row>
    <row r="76" spans="1:3">
      <c r="A76" s="55" t="s">
        <v>155</v>
      </c>
      <c r="B76" s="54">
        <f t="shared" si="4"/>
        <v>3200</v>
      </c>
      <c r="C76" t="str">
        <f t="shared" si="5"/>
        <v xml:space="preserve"> Servicios De Arrendamiento</v>
      </c>
    </row>
    <row r="77" spans="1:3">
      <c r="A77" s="55" t="s">
        <v>156</v>
      </c>
      <c r="B77" s="54">
        <f t="shared" si="4"/>
        <v>3210</v>
      </c>
      <c r="C77" t="str">
        <f t="shared" si="5"/>
        <v xml:space="preserve"> Arrendamiento De Terrenos</v>
      </c>
    </row>
    <row r="78" spans="1:3">
      <c r="A78" s="55" t="s">
        <v>157</v>
      </c>
      <c r="B78" s="54">
        <f t="shared" si="4"/>
        <v>3220</v>
      </c>
      <c r="C78" t="str">
        <f t="shared" si="5"/>
        <v xml:space="preserve"> Arrendamiento De Edificios</v>
      </c>
    </row>
    <row r="79" spans="1:3">
      <c r="A79" s="55" t="s">
        <v>158</v>
      </c>
      <c r="B79" s="54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s="55" t="s">
        <v>159</v>
      </c>
      <c r="B80" s="54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s="55" t="s">
        <v>160</v>
      </c>
      <c r="B81" s="54">
        <f t="shared" si="4"/>
        <v>3250</v>
      </c>
      <c r="C81" t="str">
        <f t="shared" si="5"/>
        <v xml:space="preserve"> Arrendamiento De Equipo De Transporte</v>
      </c>
    </row>
    <row r="82" spans="1:3">
      <c r="A82" s="55" t="s">
        <v>161</v>
      </c>
      <c r="B82" s="54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s="55" t="s">
        <v>162</v>
      </c>
      <c r="B83" s="54">
        <f t="shared" si="4"/>
        <v>3270</v>
      </c>
      <c r="C83" t="str">
        <f t="shared" si="5"/>
        <v xml:space="preserve"> Arrendamiento De Activos Intangibles</v>
      </c>
    </row>
    <row r="84" spans="1:3">
      <c r="A84" s="55" t="s">
        <v>163</v>
      </c>
      <c r="B84" s="54">
        <f t="shared" si="4"/>
        <v>3280</v>
      </c>
      <c r="C84" t="str">
        <f t="shared" si="5"/>
        <v xml:space="preserve"> Arrendamiento Financiero</v>
      </c>
    </row>
    <row r="85" spans="1:3">
      <c r="A85" s="55" t="s">
        <v>164</v>
      </c>
      <c r="B85" s="54">
        <f t="shared" si="4"/>
        <v>3290</v>
      </c>
      <c r="C85" t="str">
        <f t="shared" si="5"/>
        <v xml:space="preserve"> Otros Arrendamientos</v>
      </c>
    </row>
    <row r="86" spans="1:3">
      <c r="A86" s="55" t="s">
        <v>165</v>
      </c>
      <c r="B86" s="54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s="55" t="s">
        <v>166</v>
      </c>
      <c r="B87" s="54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s="55" t="s">
        <v>167</v>
      </c>
      <c r="B88" s="54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s="55" t="s">
        <v>168</v>
      </c>
      <c r="B89" s="54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s="55" t="s">
        <v>169</v>
      </c>
      <c r="B90" s="54">
        <f t="shared" si="4"/>
        <v>3340</v>
      </c>
      <c r="C90" t="str">
        <f t="shared" si="5"/>
        <v xml:space="preserve"> Servicios De Capacitación</v>
      </c>
    </row>
    <row r="91" spans="1:3">
      <c r="A91" s="55" t="s">
        <v>170</v>
      </c>
      <c r="B91" s="54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s="55" t="s">
        <v>171</v>
      </c>
      <c r="B92" s="54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s="55" t="s">
        <v>172</v>
      </c>
      <c r="B93" s="54">
        <f t="shared" si="4"/>
        <v>3370</v>
      </c>
      <c r="C93" t="str">
        <f t="shared" si="5"/>
        <v xml:space="preserve"> Servicios De Protección Y Seguridad</v>
      </c>
    </row>
    <row r="94" spans="1:3">
      <c r="A94" s="55" t="s">
        <v>173</v>
      </c>
      <c r="B94" s="54">
        <f t="shared" si="4"/>
        <v>3380</v>
      </c>
      <c r="C94" t="str">
        <f t="shared" si="5"/>
        <v xml:space="preserve"> Servicios De Vigilancia</v>
      </c>
    </row>
    <row r="95" spans="1:3">
      <c r="A95" s="55" t="s">
        <v>174</v>
      </c>
      <c r="B95" s="54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s="55" t="s">
        <v>175</v>
      </c>
      <c r="B96" s="54">
        <f t="shared" si="4"/>
        <v>3400</v>
      </c>
      <c r="C96" t="str">
        <f t="shared" si="5"/>
        <v xml:space="preserve"> Servicios Financieros, Bancarios Y Comerciales</v>
      </c>
    </row>
    <row r="97" spans="1:3">
      <c r="A97" s="55" t="s">
        <v>176</v>
      </c>
      <c r="B97" s="54">
        <f t="shared" si="4"/>
        <v>3410</v>
      </c>
      <c r="C97" t="str">
        <f t="shared" si="5"/>
        <v xml:space="preserve"> Servicios Financieros Y Bancarios</v>
      </c>
    </row>
    <row r="98" spans="1:3">
      <c r="A98" s="55" t="s">
        <v>177</v>
      </c>
      <c r="B98" s="54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s="55" t="s">
        <v>178</v>
      </c>
      <c r="B99" s="54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s="55" t="s">
        <v>179</v>
      </c>
      <c r="B100" s="54">
        <f t="shared" si="4"/>
        <v>3440</v>
      </c>
      <c r="C100" t="str">
        <f t="shared" si="5"/>
        <v xml:space="preserve"> Seguros De Responsabilidad Patrimonial Y Fianzas</v>
      </c>
    </row>
    <row r="101" spans="1:3">
      <c r="A101" s="55" t="s">
        <v>180</v>
      </c>
      <c r="B101" s="54">
        <f t="shared" si="4"/>
        <v>3450</v>
      </c>
      <c r="C101" t="str">
        <f t="shared" si="5"/>
        <v xml:space="preserve"> Seguros De Bienes Patrimoniales</v>
      </c>
    </row>
    <row r="102" spans="1:3">
      <c r="A102" s="55" t="s">
        <v>181</v>
      </c>
      <c r="B102" s="54">
        <f t="shared" si="4"/>
        <v>3460</v>
      </c>
      <c r="C102" t="str">
        <f t="shared" si="5"/>
        <v xml:space="preserve"> Almacenaje, Envase Y Embalaje</v>
      </c>
    </row>
    <row r="103" spans="1:3">
      <c r="A103" s="55" t="s">
        <v>182</v>
      </c>
      <c r="B103" s="54">
        <f t="shared" si="4"/>
        <v>3470</v>
      </c>
      <c r="C103" t="str">
        <f t="shared" si="5"/>
        <v xml:space="preserve"> Fletes Y Maniobras</v>
      </c>
    </row>
    <row r="104" spans="1:3">
      <c r="A104" s="55" t="s">
        <v>183</v>
      </c>
      <c r="B104" s="54">
        <f t="shared" si="4"/>
        <v>3480</v>
      </c>
      <c r="C104" t="str">
        <f t="shared" si="5"/>
        <v xml:space="preserve"> Comisiones Por Ventas</v>
      </c>
    </row>
    <row r="105" spans="1:3">
      <c r="A105" s="55" t="s">
        <v>184</v>
      </c>
      <c r="B105" s="54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s="55" t="s">
        <v>185</v>
      </c>
      <c r="B106" s="54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s="55" t="s">
        <v>186</v>
      </c>
      <c r="B107" s="54">
        <f t="shared" si="4"/>
        <v>3510</v>
      </c>
      <c r="C107" t="str">
        <f t="shared" si="5"/>
        <v xml:space="preserve"> Conservación Y Mantenimiento Menor De Inmuebles</v>
      </c>
    </row>
    <row r="108" spans="1:3">
      <c r="A108" s="55" t="s">
        <v>187</v>
      </c>
      <c r="B108" s="54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s="55" t="s">
        <v>188</v>
      </c>
      <c r="B109" s="54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s="55" t="s">
        <v>189</v>
      </c>
      <c r="B110" s="54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s="55" t="s">
        <v>190</v>
      </c>
      <c r="B111" s="54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s="55" t="s">
        <v>191</v>
      </c>
      <c r="B112" s="54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s="55" t="s">
        <v>192</v>
      </c>
      <c r="B113" s="54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s="55" t="s">
        <v>193</v>
      </c>
      <c r="B114" s="54">
        <f t="shared" si="4"/>
        <v>3580</v>
      </c>
      <c r="C114" t="str">
        <f t="shared" si="5"/>
        <v xml:space="preserve"> Servicios De Limpieza Y Manejo De Desechos</v>
      </c>
    </row>
    <row r="115" spans="1:3">
      <c r="A115" s="55" t="s">
        <v>194</v>
      </c>
      <c r="B115" s="54">
        <f t="shared" si="4"/>
        <v>3590</v>
      </c>
      <c r="C115" t="str">
        <f t="shared" si="5"/>
        <v xml:space="preserve"> Servicios De Jardinería Y Fumigación</v>
      </c>
    </row>
    <row r="116" spans="1:3">
      <c r="A116" s="55" t="s">
        <v>195</v>
      </c>
      <c r="B116" s="54">
        <f t="shared" si="4"/>
        <v>3600</v>
      </c>
      <c r="C116" t="str">
        <f t="shared" si="5"/>
        <v xml:space="preserve"> Servicios De Comunicación Social Y Publicidad</v>
      </c>
    </row>
    <row r="117" spans="1:3">
      <c r="A117" s="55" t="s">
        <v>196</v>
      </c>
      <c r="B117" s="54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s="55" t="s">
        <v>197</v>
      </c>
      <c r="B118" s="54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s="55" t="s">
        <v>198</v>
      </c>
      <c r="B119" s="54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s="55" t="s">
        <v>199</v>
      </c>
      <c r="B120" s="54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s="55" t="s">
        <v>200</v>
      </c>
      <c r="B121" s="54">
        <f t="shared" si="6"/>
        <v>3640</v>
      </c>
      <c r="C121" t="str">
        <f t="shared" si="7"/>
        <v xml:space="preserve"> Servicios De Revelado De Fotografías</v>
      </c>
    </row>
    <row r="122" spans="1:3">
      <c r="A122" s="55" t="s">
        <v>201</v>
      </c>
      <c r="B122" s="54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s="55" t="s">
        <v>202</v>
      </c>
      <c r="B123" s="54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s="55" t="s">
        <v>203</v>
      </c>
      <c r="B124" s="54">
        <f t="shared" si="6"/>
        <v>3690</v>
      </c>
      <c r="C124" t="str">
        <f t="shared" si="7"/>
        <v xml:space="preserve"> Otros Servicios De Información</v>
      </c>
    </row>
    <row r="125" spans="1:3">
      <c r="A125" s="55" t="s">
        <v>204</v>
      </c>
      <c r="B125" s="54">
        <f t="shared" si="6"/>
        <v>3700</v>
      </c>
      <c r="C125" t="str">
        <f t="shared" si="7"/>
        <v xml:space="preserve"> Servicios De Traslado Y Viáticos</v>
      </c>
    </row>
    <row r="126" spans="1:3">
      <c r="A126" s="55" t="s">
        <v>205</v>
      </c>
      <c r="B126" s="54">
        <f t="shared" si="6"/>
        <v>3710</v>
      </c>
      <c r="C126" t="str">
        <f t="shared" si="7"/>
        <v xml:space="preserve"> Pasajes Aéreos</v>
      </c>
    </row>
    <row r="127" spans="1:3">
      <c r="A127" s="55" t="s">
        <v>206</v>
      </c>
      <c r="B127" s="54">
        <f t="shared" si="6"/>
        <v>3720</v>
      </c>
      <c r="C127" t="str">
        <f t="shared" si="7"/>
        <v xml:space="preserve"> Pasajes Terrestres</v>
      </c>
    </row>
    <row r="128" spans="1:3">
      <c r="A128" s="55" t="s">
        <v>207</v>
      </c>
      <c r="B128" s="54">
        <f t="shared" si="6"/>
        <v>3730</v>
      </c>
      <c r="C128" t="str">
        <f t="shared" si="7"/>
        <v xml:space="preserve"> Pasajes Marítimos, Lacustres Y Fluviales</v>
      </c>
    </row>
    <row r="129" spans="1:3">
      <c r="A129" s="55" t="s">
        <v>26</v>
      </c>
      <c r="B129" s="54">
        <f t="shared" si="6"/>
        <v>3740</v>
      </c>
      <c r="C129" t="str">
        <f t="shared" si="7"/>
        <v xml:space="preserve"> Autotransporte</v>
      </c>
    </row>
    <row r="130" spans="1:3">
      <c r="A130" s="55" t="s">
        <v>208</v>
      </c>
      <c r="B130" s="54">
        <f t="shared" si="6"/>
        <v>3750</v>
      </c>
      <c r="C130" t="str">
        <f t="shared" si="7"/>
        <v xml:space="preserve"> Viáticos En El País</v>
      </c>
    </row>
    <row r="131" spans="1:3">
      <c r="A131" s="55" t="s">
        <v>209</v>
      </c>
      <c r="B131" s="54">
        <f t="shared" si="6"/>
        <v>3760</v>
      </c>
      <c r="C131" t="str">
        <f t="shared" si="7"/>
        <v xml:space="preserve"> Viáticos En El Extranjero</v>
      </c>
    </row>
    <row r="132" spans="1:3">
      <c r="A132" s="55" t="s">
        <v>210</v>
      </c>
      <c r="B132" s="54">
        <f t="shared" si="6"/>
        <v>3770</v>
      </c>
      <c r="C132" t="str">
        <f t="shared" si="7"/>
        <v xml:space="preserve"> Gastos De Instalación Y Traslado De Menaje</v>
      </c>
    </row>
    <row r="133" spans="1:3">
      <c r="A133" s="55" t="s">
        <v>211</v>
      </c>
      <c r="B133" s="54">
        <f t="shared" si="6"/>
        <v>3780</v>
      </c>
      <c r="C133" t="str">
        <f t="shared" si="7"/>
        <v xml:space="preserve"> Servicios Integrales De Traslado Y Viáticos</v>
      </c>
    </row>
    <row r="134" spans="1:3">
      <c r="A134" s="55" t="s">
        <v>212</v>
      </c>
      <c r="B134" s="54">
        <f t="shared" si="6"/>
        <v>3790</v>
      </c>
      <c r="C134" t="str">
        <f t="shared" si="7"/>
        <v xml:space="preserve"> Otros Servicios De Traslado Y Hospedaje</v>
      </c>
    </row>
    <row r="135" spans="1:3">
      <c r="A135" s="55" t="s">
        <v>213</v>
      </c>
      <c r="B135" s="54">
        <f t="shared" si="6"/>
        <v>3800</v>
      </c>
      <c r="C135" t="str">
        <f t="shared" si="7"/>
        <v xml:space="preserve"> Servicios Oficiales</v>
      </c>
    </row>
    <row r="136" spans="1:3">
      <c r="A136" s="55" t="s">
        <v>214</v>
      </c>
      <c r="B136" s="54">
        <f t="shared" si="6"/>
        <v>3810</v>
      </c>
      <c r="C136" t="str">
        <f t="shared" si="7"/>
        <v xml:space="preserve"> Gastos De Ceremonial</v>
      </c>
    </row>
    <row r="137" spans="1:3">
      <c r="A137" s="55" t="s">
        <v>215</v>
      </c>
      <c r="B137" s="54">
        <f t="shared" si="6"/>
        <v>3820</v>
      </c>
      <c r="C137" t="str">
        <f t="shared" si="7"/>
        <v xml:space="preserve"> Gastos De Orden Social Y Cultural</v>
      </c>
    </row>
    <row r="138" spans="1:3">
      <c r="A138" s="55" t="s">
        <v>216</v>
      </c>
      <c r="B138" s="54">
        <f t="shared" si="6"/>
        <v>3830</v>
      </c>
      <c r="C138" t="str">
        <f t="shared" si="7"/>
        <v xml:space="preserve"> Congresos Y Convenciones</v>
      </c>
    </row>
    <row r="139" spans="1:3">
      <c r="A139" s="55" t="s">
        <v>27</v>
      </c>
      <c r="B139" s="54">
        <f t="shared" si="6"/>
        <v>3840</v>
      </c>
      <c r="C139" t="str">
        <f t="shared" si="7"/>
        <v xml:space="preserve"> Exposiciones</v>
      </c>
    </row>
    <row r="140" spans="1:3">
      <c r="A140" s="55" t="s">
        <v>217</v>
      </c>
      <c r="B140" s="54">
        <f t="shared" si="6"/>
        <v>3850</v>
      </c>
      <c r="C140" t="str">
        <f t="shared" si="7"/>
        <v xml:space="preserve"> Gastos De Representación</v>
      </c>
    </row>
    <row r="141" spans="1:3">
      <c r="A141" s="55" t="s">
        <v>218</v>
      </c>
      <c r="B141" s="54">
        <f t="shared" si="6"/>
        <v>3900</v>
      </c>
      <c r="C141" t="str">
        <f t="shared" si="7"/>
        <v xml:space="preserve"> Otros Servicios Generales</v>
      </c>
    </row>
    <row r="142" spans="1:3">
      <c r="A142" s="55" t="s">
        <v>219</v>
      </c>
      <c r="B142" s="54">
        <f t="shared" si="6"/>
        <v>3910</v>
      </c>
      <c r="C142" t="str">
        <f t="shared" si="7"/>
        <v xml:space="preserve"> Servicios Funerarios Y De Cementerios</v>
      </c>
    </row>
    <row r="143" spans="1:3">
      <c r="A143" s="55" t="s">
        <v>220</v>
      </c>
      <c r="B143" s="54">
        <f t="shared" si="6"/>
        <v>3920</v>
      </c>
      <c r="C143" t="str">
        <f t="shared" si="7"/>
        <v xml:space="preserve"> Impuestos Y Derechos</v>
      </c>
    </row>
    <row r="144" spans="1:3">
      <c r="A144" s="55" t="s">
        <v>221</v>
      </c>
      <c r="B144" s="54">
        <f t="shared" si="6"/>
        <v>3930</v>
      </c>
      <c r="C144" t="str">
        <f t="shared" si="7"/>
        <v xml:space="preserve"> Impuestos Y Derechos De Importación</v>
      </c>
    </row>
    <row r="145" spans="1:3">
      <c r="A145" s="55" t="s">
        <v>222</v>
      </c>
      <c r="B145" s="54">
        <f t="shared" si="6"/>
        <v>3940</v>
      </c>
      <c r="C145" t="str">
        <f t="shared" si="7"/>
        <v xml:space="preserve"> Sentencias Y Resoluciones Judiciales</v>
      </c>
    </row>
    <row r="146" spans="1:3">
      <c r="A146" s="55" t="s">
        <v>223</v>
      </c>
      <c r="B146" s="54">
        <f t="shared" si="6"/>
        <v>3950</v>
      </c>
      <c r="C146" t="str">
        <f t="shared" si="7"/>
        <v xml:space="preserve"> Penas, Multas, Accesorios Y Actualizaciones</v>
      </c>
    </row>
    <row r="147" spans="1:3">
      <c r="A147" s="55" t="s">
        <v>224</v>
      </c>
      <c r="B147" s="54">
        <f t="shared" si="6"/>
        <v>3960</v>
      </c>
      <c r="C147" t="str">
        <f t="shared" si="7"/>
        <v xml:space="preserve"> Otros Gastos Por Responsabilidades</v>
      </c>
    </row>
    <row r="148" spans="1:3">
      <c r="A148" s="55" t="s">
        <v>225</v>
      </c>
      <c r="B148" s="54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s="55" t="s">
        <v>226</v>
      </c>
      <c r="B149" s="54">
        <f t="shared" si="6"/>
        <v>3990</v>
      </c>
      <c r="C149" t="str">
        <f t="shared" si="7"/>
        <v xml:space="preserve"> Otros Servicios Generales</v>
      </c>
    </row>
    <row r="150" spans="1:3">
      <c r="A150" s="55" t="s">
        <v>227</v>
      </c>
      <c r="B150" s="54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s="55" t="s">
        <v>228</v>
      </c>
      <c r="B151" s="54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s="55" t="s">
        <v>229</v>
      </c>
      <c r="B152" s="54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s="55" t="s">
        <v>230</v>
      </c>
      <c r="B153" s="54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s="55" t="s">
        <v>231</v>
      </c>
      <c r="B154" s="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s="55" t="s">
        <v>232</v>
      </c>
      <c r="B155" s="54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s="55" t="s">
        <v>233</v>
      </c>
      <c r="B156" s="54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s="55" t="s">
        <v>234</v>
      </c>
      <c r="B157" s="54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s="55" t="s">
        <v>235</v>
      </c>
      <c r="B158" s="54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s="55" t="s">
        <v>236</v>
      </c>
      <c r="B159" s="54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s="55" t="s">
        <v>237</v>
      </c>
      <c r="B160" s="54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s="55" t="s">
        <v>238</v>
      </c>
      <c r="B161" s="54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s="55" t="s">
        <v>239</v>
      </c>
      <c r="B162" s="54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s="55" t="s">
        <v>240</v>
      </c>
      <c r="B163" s="54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s="55" t="s">
        <v>241</v>
      </c>
      <c r="B164" s="5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s="55" t="s">
        <v>242</v>
      </c>
      <c r="B165" s="54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s="55" t="s">
        <v>243</v>
      </c>
      <c r="B166" s="54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s="55" t="s">
        <v>244</v>
      </c>
      <c r="B167" s="54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s="55" t="s">
        <v>245</v>
      </c>
      <c r="B168" s="54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s="55" t="s">
        <v>246</v>
      </c>
      <c r="B169" s="54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s="55" t="s">
        <v>247</v>
      </c>
      <c r="B170" s="54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s="55" t="s">
        <v>248</v>
      </c>
      <c r="B171" s="54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s="55" t="s">
        <v>249</v>
      </c>
      <c r="B172" s="54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s="55" t="s">
        <v>250</v>
      </c>
      <c r="B173" s="54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s="55" t="s">
        <v>251</v>
      </c>
      <c r="B174" s="5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s="55" t="s">
        <v>252</v>
      </c>
      <c r="B175" s="54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s="55" t="s">
        <v>253</v>
      </c>
      <c r="B176" s="54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s="55" t="s">
        <v>254</v>
      </c>
      <c r="B177" s="54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s="55" t="s">
        <v>255</v>
      </c>
      <c r="B178" s="54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s="55" t="s">
        <v>256</v>
      </c>
      <c r="B179" s="54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s="55" t="s">
        <v>257</v>
      </c>
      <c r="B180" s="54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s="55" t="s">
        <v>258</v>
      </c>
      <c r="B181" s="54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s="55" t="s">
        <v>259</v>
      </c>
      <c r="B182" s="54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s="55" t="s">
        <v>260</v>
      </c>
      <c r="B183" s="54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s="55" t="s">
        <v>261</v>
      </c>
      <c r="B184" s="5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s="55" t="s">
        <v>262</v>
      </c>
      <c r="B185" s="54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s="55" t="s">
        <v>263</v>
      </c>
      <c r="B186" s="54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s="55" t="s">
        <v>264</v>
      </c>
      <c r="B187" s="54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s="55" t="s">
        <v>265</v>
      </c>
      <c r="B188" s="54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s="55" t="s">
        <v>266</v>
      </c>
      <c r="B189" s="54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s="55" t="s">
        <v>267</v>
      </c>
      <c r="B190" s="54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s="55" t="s">
        <v>268</v>
      </c>
      <c r="B191" s="54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s="55" t="s">
        <v>269</v>
      </c>
      <c r="B192" s="54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s="55" t="s">
        <v>270</v>
      </c>
      <c r="B193" s="54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s="55" t="s">
        <v>271</v>
      </c>
      <c r="B194" s="5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s="55" t="s">
        <v>272</v>
      </c>
      <c r="B195" s="54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s="55" t="s">
        <v>273</v>
      </c>
      <c r="B196" s="54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s="55" t="s">
        <v>274</v>
      </c>
      <c r="B197" s="54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s="55" t="s">
        <v>275</v>
      </c>
      <c r="B198" s="54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s="55" t="s">
        <v>276</v>
      </c>
      <c r="B199" s="54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s="55" t="s">
        <v>277</v>
      </c>
      <c r="B200" s="54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s="55" t="s">
        <v>278</v>
      </c>
      <c r="B201" s="54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s="55" t="s">
        <v>279</v>
      </c>
      <c r="B202" s="54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s="55" t="s">
        <v>280</v>
      </c>
      <c r="B203" s="54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s="55" t="s">
        <v>281</v>
      </c>
      <c r="B204" s="5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s="55" t="s">
        <v>282</v>
      </c>
      <c r="B205" s="54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s="55" t="s">
        <v>283</v>
      </c>
      <c r="B206" s="54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s="55" t="s">
        <v>284</v>
      </c>
      <c r="B207" s="54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s="55" t="s">
        <v>285</v>
      </c>
      <c r="B208" s="54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s="55" t="s">
        <v>286</v>
      </c>
      <c r="B209" s="54">
        <f t="shared" si="10"/>
        <v>4200</v>
      </c>
      <c r="C209" t="str">
        <f t="shared" si="11"/>
        <v xml:space="preserve"> Transferencias Al Resto Del Sector Público</v>
      </c>
    </row>
    <row r="210" spans="1:3">
      <c r="A210" s="55" t="s">
        <v>287</v>
      </c>
      <c r="B210" s="54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s="55" t="s">
        <v>288</v>
      </c>
      <c r="B211" s="54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s="55" t="s">
        <v>289</v>
      </c>
      <c r="B212" s="54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s="55" t="s">
        <v>290</v>
      </c>
      <c r="B213" s="54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s="55" t="s">
        <v>291</v>
      </c>
      <c r="B214" s="5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s="55" t="s">
        <v>292</v>
      </c>
      <c r="B215" s="54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s="55" t="s">
        <v>293</v>
      </c>
      <c r="B216" s="54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s="55" t="s">
        <v>294</v>
      </c>
      <c r="B217" s="54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s="55" t="s">
        <v>295</v>
      </c>
      <c r="B218" s="54">
        <f t="shared" si="10"/>
        <v>4300</v>
      </c>
      <c r="C218" t="str">
        <f t="shared" si="11"/>
        <v xml:space="preserve"> Subsidios Y Subvenciones</v>
      </c>
    </row>
    <row r="219" spans="1:3">
      <c r="A219" s="55" t="s">
        <v>296</v>
      </c>
      <c r="B219" s="54">
        <f t="shared" si="10"/>
        <v>4310</v>
      </c>
      <c r="C219" t="str">
        <f t="shared" si="11"/>
        <v xml:space="preserve"> Subsidios A La Producción</v>
      </c>
    </row>
    <row r="220" spans="1:3">
      <c r="A220" s="55" t="s">
        <v>297</v>
      </c>
      <c r="B220" s="54">
        <f t="shared" si="10"/>
        <v>4320</v>
      </c>
      <c r="C220" t="str">
        <f t="shared" si="11"/>
        <v xml:space="preserve"> Subsidios A La Distribución</v>
      </c>
    </row>
    <row r="221" spans="1:3">
      <c r="A221" s="55" t="s">
        <v>298</v>
      </c>
      <c r="B221" s="54">
        <f t="shared" si="10"/>
        <v>4330</v>
      </c>
      <c r="C221" t="str">
        <f t="shared" si="11"/>
        <v xml:space="preserve"> Subsidios A La Inversión</v>
      </c>
    </row>
    <row r="222" spans="1:3">
      <c r="A222" s="55" t="s">
        <v>299</v>
      </c>
      <c r="B222" s="54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s="55" t="s">
        <v>300</v>
      </c>
      <c r="B223" s="54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s="55" t="s">
        <v>301</v>
      </c>
      <c r="B224" s="54">
        <f t="shared" si="10"/>
        <v>4360</v>
      </c>
      <c r="C224" t="str">
        <f t="shared" si="11"/>
        <v xml:space="preserve"> Subsidios A La Vivienda</v>
      </c>
    </row>
    <row r="225" spans="1:3">
      <c r="A225" s="55" t="s">
        <v>302</v>
      </c>
      <c r="B225" s="54">
        <f t="shared" si="10"/>
        <v>4370</v>
      </c>
      <c r="C225" t="str">
        <f t="shared" si="11"/>
        <v xml:space="preserve"> Subvenciones Al Consumo</v>
      </c>
    </row>
    <row r="226" spans="1:3">
      <c r="A226" s="55" t="s">
        <v>303</v>
      </c>
      <c r="B226" s="54">
        <f t="shared" si="10"/>
        <v>4400</v>
      </c>
      <c r="C226" t="str">
        <f t="shared" si="11"/>
        <v xml:space="preserve"> Ayudas Sociales</v>
      </c>
    </row>
    <row r="227" spans="1:3">
      <c r="A227" s="55" t="s">
        <v>304</v>
      </c>
      <c r="B227" s="54">
        <f t="shared" si="10"/>
        <v>4410</v>
      </c>
      <c r="C227" t="str">
        <f t="shared" si="11"/>
        <v xml:space="preserve"> Ayudas Sociales A Personas</v>
      </c>
    </row>
    <row r="228" spans="1:3">
      <c r="A228" s="55" t="s">
        <v>305</v>
      </c>
      <c r="B228" s="54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s="55" t="s">
        <v>306</v>
      </c>
      <c r="B229" s="54">
        <f t="shared" si="10"/>
        <v>4430</v>
      </c>
      <c r="C229" t="str">
        <f t="shared" si="11"/>
        <v xml:space="preserve"> Ayudas Sociales A Instituciones De Enseñanza</v>
      </c>
    </row>
    <row r="230" spans="1:3">
      <c r="A230" s="55" t="s">
        <v>307</v>
      </c>
      <c r="B230" s="54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s="55" t="s">
        <v>308</v>
      </c>
      <c r="B231" s="54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s="55" t="s">
        <v>309</v>
      </c>
      <c r="B232" s="54">
        <f t="shared" si="10"/>
        <v>4460</v>
      </c>
      <c r="C232" t="str">
        <f t="shared" si="11"/>
        <v xml:space="preserve"> Ayudas Sociales A Cooperativas</v>
      </c>
    </row>
    <row r="233" spans="1:3">
      <c r="A233" s="55" t="s">
        <v>310</v>
      </c>
      <c r="B233" s="54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s="55" t="s">
        <v>311</v>
      </c>
      <c r="B234" s="5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s="55" t="s">
        <v>312</v>
      </c>
      <c r="B235" s="54">
        <f t="shared" si="10"/>
        <v>4500</v>
      </c>
      <c r="C235" t="str">
        <f t="shared" si="11"/>
        <v xml:space="preserve"> Pensiones Y Jubilaciones</v>
      </c>
    </row>
    <row r="236" spans="1:3">
      <c r="A236" s="55" t="s">
        <v>28</v>
      </c>
      <c r="B236" s="54">
        <f t="shared" si="10"/>
        <v>4510</v>
      </c>
      <c r="C236" t="str">
        <f t="shared" si="11"/>
        <v xml:space="preserve"> Pensiones</v>
      </c>
    </row>
    <row r="237" spans="1:3">
      <c r="A237" s="55" t="s">
        <v>29</v>
      </c>
      <c r="B237" s="54">
        <f t="shared" si="10"/>
        <v>4520</v>
      </c>
      <c r="C237" t="str">
        <f t="shared" si="11"/>
        <v xml:space="preserve"> Jubilaciones</v>
      </c>
    </row>
    <row r="238" spans="1:3">
      <c r="A238" s="55" t="s">
        <v>313</v>
      </c>
      <c r="B238" s="54">
        <f t="shared" si="10"/>
        <v>4590</v>
      </c>
      <c r="C238" t="str">
        <f t="shared" si="11"/>
        <v xml:space="preserve"> Otras Pensiones Y Jubilaciones</v>
      </c>
    </row>
    <row r="239" spans="1:3">
      <c r="A239" s="55" t="s">
        <v>314</v>
      </c>
      <c r="B239" s="54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s="55" t="s">
        <v>315</v>
      </c>
      <c r="B240" s="54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s="55" t="s">
        <v>316</v>
      </c>
      <c r="B241" s="54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s="55" t="s">
        <v>317</v>
      </c>
      <c r="B242" s="54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s="55" t="s">
        <v>318</v>
      </c>
      <c r="B243" s="54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s="55" t="s">
        <v>319</v>
      </c>
      <c r="B244" s="5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s="55" t="s">
        <v>320</v>
      </c>
      <c r="B245" s="54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s="55" t="s">
        <v>321</v>
      </c>
      <c r="B246" s="54">
        <f t="shared" si="10"/>
        <v>4900</v>
      </c>
      <c r="C246" t="str">
        <f t="shared" si="11"/>
        <v xml:space="preserve"> Transferencias Al Exterior</v>
      </c>
    </row>
    <row r="247" spans="1:3">
      <c r="A247" s="55" t="s">
        <v>322</v>
      </c>
      <c r="B247" s="54">
        <f t="shared" si="10"/>
        <v>4910</v>
      </c>
      <c r="C247" t="str">
        <f t="shared" si="11"/>
        <v xml:space="preserve"> Transferencias Para Gobiernos Extranjeros</v>
      </c>
    </row>
    <row r="248" spans="1:3">
      <c r="A248" s="55" t="s">
        <v>323</v>
      </c>
      <c r="B248" s="54">
        <f t="shared" si="10"/>
        <v>4920</v>
      </c>
      <c r="C248" t="str">
        <f t="shared" si="11"/>
        <v xml:space="preserve"> Transferencias Para Organismos Internacionales</v>
      </c>
    </row>
    <row r="249" spans="1:3">
      <c r="A249" s="55" t="s">
        <v>324</v>
      </c>
      <c r="B249" s="54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8"/>
  <sheetViews>
    <sheetView topLeftCell="A8" workbookViewId="0">
      <selection activeCell="I25" sqref="I25:O25"/>
    </sheetView>
  </sheetViews>
  <sheetFormatPr baseColWidth="10" defaultRowHeight="15"/>
  <cols>
    <col min="1" max="1" width="23.5703125" style="48" bestFit="1" customWidth="1"/>
    <col min="2" max="2" width="37.7109375" bestFit="1" customWidth="1"/>
  </cols>
  <sheetData>
    <row r="1" spans="1:3">
      <c r="A1" s="48" t="s">
        <v>30</v>
      </c>
      <c r="B1" t="s">
        <v>31</v>
      </c>
      <c r="C1" t="s">
        <v>80</v>
      </c>
    </row>
    <row r="2" spans="1:3">
      <c r="A2" t="s">
        <v>32</v>
      </c>
      <c r="B2" s="49" t="s">
        <v>33</v>
      </c>
      <c r="C2">
        <v>1520811100</v>
      </c>
    </row>
    <row r="3" spans="1:3">
      <c r="A3" t="s">
        <v>34</v>
      </c>
      <c r="B3" s="50"/>
    </row>
    <row r="4" spans="1:3">
      <c r="A4" t="s">
        <v>35</v>
      </c>
      <c r="B4" s="50"/>
    </row>
    <row r="5" spans="1:3">
      <c r="A5" t="s">
        <v>36</v>
      </c>
      <c r="B5" s="50" t="s">
        <v>37</v>
      </c>
    </row>
    <row r="6" spans="1:3">
      <c r="A6" t="s">
        <v>38</v>
      </c>
      <c r="B6" s="51" t="s">
        <v>39</v>
      </c>
    </row>
    <row r="7" spans="1:3">
      <c r="A7" t="s">
        <v>40</v>
      </c>
      <c r="B7" s="51" t="s">
        <v>41</v>
      </c>
    </row>
    <row r="8" spans="1:3">
      <c r="A8" t="s">
        <v>42</v>
      </c>
      <c r="B8" s="51" t="s">
        <v>43</v>
      </c>
    </row>
    <row r="9" spans="1:3">
      <c r="A9" t="s">
        <v>44</v>
      </c>
      <c r="B9" s="51" t="s">
        <v>45</v>
      </c>
    </row>
    <row r="10" spans="1:3">
      <c r="A10" t="s">
        <v>46</v>
      </c>
      <c r="B10" s="49" t="s">
        <v>33</v>
      </c>
    </row>
    <row r="11" spans="1:3">
      <c r="A11" t="s">
        <v>47</v>
      </c>
      <c r="B11" s="51" t="s">
        <v>48</v>
      </c>
    </row>
    <row r="12" spans="1:3">
      <c r="A12" t="s">
        <v>49</v>
      </c>
      <c r="B12" s="51" t="s">
        <v>48</v>
      </c>
    </row>
    <row r="13" spans="1:3">
      <c r="A13" t="s">
        <v>50</v>
      </c>
      <c r="B13" s="51" t="s">
        <v>48</v>
      </c>
    </row>
    <row r="14" spans="1:3">
      <c r="A14" t="s">
        <v>51</v>
      </c>
      <c r="B14" s="49" t="s">
        <v>52</v>
      </c>
    </row>
    <row r="15" spans="1:3">
      <c r="A15" t="s">
        <v>53</v>
      </c>
      <c r="B15" s="49" t="s">
        <v>52</v>
      </c>
    </row>
    <row r="16" spans="1:3">
      <c r="A16" t="s">
        <v>54</v>
      </c>
      <c r="B16" s="49" t="s">
        <v>52</v>
      </c>
    </row>
    <row r="17" spans="1:2">
      <c r="A17" t="s">
        <v>55</v>
      </c>
      <c r="B17" s="52" t="s">
        <v>56</v>
      </c>
    </row>
    <row r="18" spans="1:2">
      <c r="A18" t="s">
        <v>57</v>
      </c>
      <c r="B18" s="51" t="s">
        <v>58</v>
      </c>
    </row>
    <row r="19" spans="1:2">
      <c r="A19" t="s">
        <v>59</v>
      </c>
      <c r="B19" s="49" t="s">
        <v>60</v>
      </c>
    </row>
    <row r="20" spans="1:2">
      <c r="A20" t="s">
        <v>61</v>
      </c>
      <c r="B20" s="49" t="s">
        <v>60</v>
      </c>
    </row>
    <row r="21" spans="1:2">
      <c r="A21" t="s">
        <v>62</v>
      </c>
      <c r="B21" s="49" t="s">
        <v>60</v>
      </c>
    </row>
    <row r="22" spans="1:2">
      <c r="A22" t="s">
        <v>63</v>
      </c>
      <c r="B22" s="51" t="s">
        <v>39</v>
      </c>
    </row>
    <row r="23" spans="1:2">
      <c r="A23" t="s">
        <v>64</v>
      </c>
      <c r="B23" s="51" t="s">
        <v>39</v>
      </c>
    </row>
    <row r="24" spans="1:2">
      <c r="A24" t="s">
        <v>65</v>
      </c>
      <c r="B24" s="52" t="s">
        <v>66</v>
      </c>
    </row>
    <row r="25" spans="1:2">
      <c r="A25" t="s">
        <v>67</v>
      </c>
      <c r="B25" s="52" t="s">
        <v>66</v>
      </c>
    </row>
    <row r="26" spans="1:2">
      <c r="A26" t="s">
        <v>68</v>
      </c>
      <c r="B26" s="49" t="s">
        <v>52</v>
      </c>
    </row>
    <row r="27" spans="1:2">
      <c r="A27" t="s">
        <v>69</v>
      </c>
      <c r="B27" s="51" t="s">
        <v>48</v>
      </c>
    </row>
    <row r="28" spans="1:2">
      <c r="A28" t="s">
        <v>81</v>
      </c>
      <c r="B28" s="51"/>
    </row>
    <row r="29" spans="1:2">
      <c r="A29" t="s">
        <v>70</v>
      </c>
      <c r="B29" s="49" t="s">
        <v>60</v>
      </c>
    </row>
    <row r="30" spans="1:2">
      <c r="A30" t="s">
        <v>71</v>
      </c>
      <c r="B30" s="49" t="s">
        <v>60</v>
      </c>
    </row>
    <row r="31" spans="1:2">
      <c r="A31" t="s">
        <v>72</v>
      </c>
      <c r="B31" s="49" t="s">
        <v>60</v>
      </c>
    </row>
    <row r="32" spans="1:2">
      <c r="A32" t="s">
        <v>73</v>
      </c>
      <c r="B32" s="49" t="s">
        <v>60</v>
      </c>
    </row>
    <row r="33" spans="1:2">
      <c r="A33" t="s">
        <v>74</v>
      </c>
      <c r="B33" s="49" t="s">
        <v>60</v>
      </c>
    </row>
    <row r="34" spans="1:2">
      <c r="A34" t="s">
        <v>75</v>
      </c>
      <c r="B34" s="49" t="s">
        <v>52</v>
      </c>
    </row>
    <row r="35" spans="1:2">
      <c r="A35" t="s">
        <v>76</v>
      </c>
      <c r="B35" s="49" t="s">
        <v>52</v>
      </c>
    </row>
    <row r="36" spans="1:2">
      <c r="A36" t="s">
        <v>77</v>
      </c>
    </row>
    <row r="37" spans="1:2">
      <c r="A37" t="s">
        <v>78</v>
      </c>
    </row>
    <row r="38" spans="1:2">
      <c r="A38" t="s">
        <v>79</v>
      </c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  <row r="44" spans="1:2">
      <c r="A44"/>
    </row>
    <row r="45" spans="1:2">
      <c r="A45"/>
    </row>
    <row r="46" spans="1:2">
      <c r="A46"/>
    </row>
    <row r="47" spans="1:2">
      <c r="A47"/>
    </row>
    <row r="48" spans="1:2">
      <c r="A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SSP_2020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Ilayali Pimentel Redondo</dc:creator>
  <cp:lastModifiedBy>negonzalez</cp:lastModifiedBy>
  <cp:lastPrinted>2020-02-26T03:38:09Z</cp:lastPrinted>
  <dcterms:created xsi:type="dcterms:W3CDTF">2020-02-26T03:36:23Z</dcterms:created>
  <dcterms:modified xsi:type="dcterms:W3CDTF">2020-03-04T18:57:31Z</dcterms:modified>
</cp:coreProperties>
</file>