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2030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21" i="21"/>
  <c r="C100" i="21"/>
  <c r="B226" i="21"/>
  <c r="C51" i="21"/>
  <c r="B196" i="21"/>
  <c r="B202" i="21"/>
  <c r="B239" i="21"/>
  <c r="C167" i="21"/>
  <c r="B99" i="21"/>
  <c r="C241" i="21"/>
  <c r="B90" i="21"/>
  <c r="B72" i="21"/>
  <c r="C196" i="21"/>
  <c r="B122" i="21"/>
  <c r="B67" i="21"/>
  <c r="B178" i="21"/>
  <c r="B130" i="21"/>
  <c r="B44" i="21"/>
  <c r="B68" i="21"/>
  <c r="C227" i="21"/>
  <c r="B144" i="21"/>
  <c r="B119" i="21"/>
  <c r="B185" i="21"/>
  <c r="B39" i="21"/>
  <c r="C71" i="21"/>
  <c r="C118" i="21"/>
  <c r="B146" i="21"/>
  <c r="B116" i="21"/>
  <c r="C114" i="21"/>
  <c r="B22" i="21"/>
  <c r="B200" i="21"/>
  <c r="C111" i="21"/>
  <c r="C151" i="21"/>
  <c r="C194" i="21"/>
  <c r="B187" i="21"/>
  <c r="C7" i="21"/>
  <c r="C140" i="21"/>
  <c r="B13" i="21"/>
  <c r="B101" i="21"/>
  <c r="C58" i="21"/>
  <c r="C79" i="21"/>
  <c r="B232" i="21"/>
  <c r="B120" i="21"/>
  <c r="B234" i="21"/>
  <c r="C178" i="21"/>
  <c r="B81" i="21"/>
  <c r="C88" i="21"/>
  <c r="C184" i="21"/>
  <c r="B117" i="21"/>
  <c r="B194" i="21"/>
  <c r="C24" i="21"/>
  <c r="B24" i="21"/>
  <c r="B91" i="21"/>
  <c r="C248" i="21"/>
  <c r="B103" i="21"/>
  <c r="C247" i="21"/>
  <c r="C245" i="21"/>
  <c r="C154" i="21"/>
  <c r="C74" i="21"/>
  <c r="C18" i="21"/>
  <c r="B78" i="21"/>
  <c r="B50" i="21"/>
  <c r="B228" i="21"/>
  <c r="B139" i="21"/>
  <c r="B171" i="21"/>
  <c r="C54" i="21"/>
  <c r="C107" i="21"/>
  <c r="C6" i="21"/>
  <c r="B197" i="21"/>
  <c r="B42" i="21"/>
  <c r="B113" i="21"/>
  <c r="B9" i="21"/>
  <c r="C139" i="21"/>
  <c r="B58" i="21"/>
  <c r="C147" i="21"/>
  <c r="C185" i="21"/>
  <c r="B167" i="21"/>
  <c r="B145" i="21"/>
  <c r="C138" i="21"/>
  <c r="B75" i="21"/>
  <c r="C240" i="21"/>
  <c r="C192" i="21"/>
  <c r="C113" i="21"/>
  <c r="C61" i="21"/>
  <c r="B80" i="21"/>
  <c r="C182" i="21"/>
  <c r="B129" i="21"/>
  <c r="B110" i="21"/>
  <c r="B166" i="21"/>
  <c r="C137" i="21"/>
  <c r="B40" i="21"/>
  <c r="C73" i="21"/>
  <c r="B108" i="21"/>
  <c r="C141" i="21"/>
  <c r="B76" i="21"/>
  <c r="C87" i="21"/>
  <c r="B175" i="21"/>
  <c r="B63" i="21"/>
  <c r="B147" i="21"/>
  <c r="C157" i="21"/>
  <c r="C191" i="21"/>
  <c r="B128" i="21"/>
  <c r="C220" i="21"/>
  <c r="C49" i="21"/>
  <c r="C116" i="21"/>
  <c r="C10" i="21"/>
  <c r="B151" i="21"/>
  <c r="B229" i="21"/>
  <c r="C91" i="21"/>
  <c r="B18" i="21"/>
  <c r="B237" i="21"/>
  <c r="C202" i="21"/>
  <c r="C175" i="21"/>
  <c r="C161" i="21"/>
  <c r="B245" i="21"/>
  <c r="C34" i="21"/>
  <c r="B43" i="21"/>
  <c r="B111" i="21"/>
  <c r="B97" i="21"/>
  <c r="B10" i="21"/>
  <c r="C244" i="21"/>
  <c r="B107" i="21"/>
  <c r="B198" i="21"/>
  <c r="C174" i="21"/>
  <c r="C121" i="21"/>
  <c r="B100" i="21"/>
  <c r="C5" i="21"/>
  <c r="C112" i="21"/>
  <c r="B127" i="21"/>
  <c r="B46" i="21"/>
  <c r="C162" i="21"/>
  <c r="B84" i="21"/>
  <c r="B38" i="21"/>
  <c r="B53" i="21"/>
  <c r="B85" i="21"/>
  <c r="C56" i="21"/>
  <c r="B143" i="21"/>
  <c r="C216" i="21"/>
  <c r="B17" i="21"/>
  <c r="B201" i="21"/>
  <c r="B230" i="21"/>
  <c r="B235" i="21"/>
  <c r="C153" i="21"/>
  <c r="B14" i="21"/>
  <c r="B123" i="21"/>
  <c r="B136" i="21"/>
  <c r="B153" i="21"/>
  <c r="C223" i="21"/>
  <c r="B188" i="21"/>
  <c r="B221" i="21"/>
  <c r="C69" i="21"/>
  <c r="C150" i="21"/>
  <c r="B25" i="21"/>
  <c r="B164" i="21"/>
  <c r="C164" i="21"/>
  <c r="B32" i="21"/>
  <c r="B204" i="21"/>
  <c r="B242" i="21"/>
  <c r="B7" i="21"/>
  <c r="B169" i="21"/>
  <c r="C43" i="21"/>
  <c r="C31" i="21"/>
  <c r="C219" i="21"/>
  <c r="C146" i="21"/>
  <c r="B214" i="21"/>
  <c r="C80" i="21"/>
  <c r="B33" i="21"/>
  <c r="C94" i="21"/>
  <c r="B28" i="21"/>
  <c r="B65" i="21"/>
  <c r="B60" i="21"/>
  <c r="B219" i="21"/>
  <c r="C41" i="21"/>
  <c r="B87" i="21"/>
  <c r="B236" i="21"/>
  <c r="C211" i="21"/>
  <c r="B93" i="21"/>
  <c r="C170" i="21"/>
  <c r="C207" i="21"/>
  <c r="C53" i="21"/>
  <c r="C48" i="21"/>
  <c r="C13" i="21"/>
  <c r="C12" i="21"/>
  <c r="C172" i="21"/>
  <c r="C183" i="21"/>
  <c r="B173" i="21"/>
  <c r="C213" i="21"/>
  <c r="B134" i="21"/>
  <c r="C238" i="21"/>
  <c r="B36" i="21"/>
  <c r="C130" i="21"/>
  <c r="C81" i="21"/>
  <c r="C30" i="21"/>
  <c r="C92" i="21"/>
  <c r="C52" i="21"/>
  <c r="B199" i="21"/>
  <c r="B158" i="21"/>
  <c r="C47" i="21"/>
  <c r="C50" i="21"/>
  <c r="C199" i="21"/>
  <c r="C39" i="21"/>
  <c r="C102" i="21"/>
  <c r="B247" i="21"/>
  <c r="C197" i="21"/>
  <c r="B41" i="21"/>
  <c r="B246" i="21"/>
  <c r="B140" i="21"/>
  <c r="C90" i="21"/>
  <c r="C37" i="21"/>
  <c r="C179" i="21"/>
  <c r="C95" i="21"/>
  <c r="B6" i="21"/>
  <c r="B168" i="21"/>
  <c r="B205" i="21"/>
  <c r="B165" i="21"/>
  <c r="C42" i="21"/>
  <c r="C152" i="21"/>
  <c r="B137" i="21"/>
  <c r="C115" i="21"/>
  <c r="C72" i="21"/>
  <c r="B135" i="21"/>
  <c r="B47" i="21"/>
  <c r="C75" i="21"/>
  <c r="B177" i="21"/>
  <c r="B183" i="21"/>
  <c r="C160" i="21"/>
  <c r="C235" i="21"/>
  <c r="C218" i="21"/>
  <c r="C173" i="21"/>
  <c r="B109" i="21"/>
  <c r="B182" i="21"/>
  <c r="C123" i="21"/>
  <c r="C122" i="21"/>
  <c r="B55" i="21"/>
  <c r="C136" i="21"/>
  <c r="B49" i="21"/>
  <c r="B215" i="21"/>
  <c r="C66" i="21"/>
  <c r="B133" i="21"/>
  <c r="B176" i="21"/>
  <c r="B157" i="21"/>
  <c r="C21" i="21"/>
  <c r="C190" i="21"/>
  <c r="C8" i="21"/>
  <c r="C142" i="21"/>
  <c r="C231" i="21"/>
  <c r="C212" i="21"/>
  <c r="C76" i="21"/>
  <c r="C29" i="21"/>
  <c r="C65" i="21"/>
  <c r="C89" i="21"/>
  <c r="B3" i="21"/>
  <c r="C204" i="21"/>
  <c r="B34" i="21"/>
  <c r="B191" i="21"/>
  <c r="B15" i="21"/>
  <c r="C55" i="21"/>
  <c r="B74" i="21"/>
  <c r="C163" i="21"/>
  <c r="C23" i="21"/>
  <c r="B124" i="21"/>
  <c r="C106" i="21"/>
  <c r="B211" i="21"/>
  <c r="C110" i="21"/>
  <c r="C171" i="21"/>
  <c r="C117" i="21"/>
  <c r="C2" i="21"/>
  <c r="B88" i="21"/>
  <c r="B218" i="21"/>
  <c r="B227" i="21"/>
  <c r="C226" i="21"/>
  <c r="B115" i="21"/>
  <c r="B51" i="21"/>
  <c r="C64" i="21"/>
  <c r="C131" i="21"/>
  <c r="B4" i="21"/>
  <c r="C166" i="21"/>
  <c r="B174" i="21"/>
  <c r="B141" i="21"/>
  <c r="B73" i="21"/>
  <c r="C214" i="21"/>
  <c r="B160" i="21"/>
  <c r="C3" i="21"/>
  <c r="B12" i="21"/>
  <c r="B52" i="21"/>
  <c r="C45" i="21"/>
  <c r="C97" i="21"/>
  <c r="C239" i="21"/>
  <c r="C20" i="21"/>
  <c r="C249" i="21"/>
  <c r="B192" i="21"/>
  <c r="C22" i="21"/>
  <c r="B152" i="21"/>
  <c r="B180" i="21"/>
  <c r="C67" i="21"/>
  <c r="B121" i="21"/>
  <c r="C144" i="21"/>
  <c r="C158" i="21"/>
  <c r="C82" i="21"/>
  <c r="B61" i="21"/>
  <c r="C126" i="21"/>
  <c r="B89" i="21"/>
  <c r="B142" i="21"/>
  <c r="B62" i="21"/>
  <c r="C60" i="21"/>
  <c r="B172" i="21"/>
  <c r="B132" i="21"/>
  <c r="C232" i="21"/>
  <c r="C205" i="21"/>
  <c r="C230" i="21"/>
  <c r="C180" i="21"/>
  <c r="C84" i="21"/>
  <c r="B82" i="21"/>
  <c r="B207" i="21"/>
  <c r="B86" i="21"/>
  <c r="B59" i="21"/>
  <c r="B26" i="21"/>
  <c r="B170" i="21"/>
  <c r="B241" i="21"/>
  <c r="B217" i="21"/>
  <c r="B203" i="21"/>
  <c r="C169" i="21"/>
  <c r="C103" i="21"/>
  <c r="C68" i="21"/>
  <c r="C32" i="21"/>
  <c r="C177" i="21"/>
  <c r="B112" i="21"/>
  <c r="B131" i="21"/>
  <c r="B54" i="21"/>
  <c r="C78" i="21"/>
  <c r="C228" i="21"/>
  <c r="B71" i="21"/>
  <c r="B210" i="21"/>
  <c r="B27" i="21"/>
  <c r="C44" i="21"/>
  <c r="C62" i="21"/>
  <c r="C233" i="21"/>
  <c r="B148" i="21"/>
  <c r="B159" i="21"/>
  <c r="B118" i="21"/>
  <c r="C63" i="21"/>
  <c r="B222" i="21"/>
  <c r="B5" i="21"/>
  <c r="B249" i="21"/>
  <c r="B66" i="21"/>
  <c r="C129" i="21"/>
  <c r="C203" i="21"/>
  <c r="B238" i="21"/>
  <c r="C149" i="21"/>
  <c r="C145" i="21"/>
  <c r="C14" i="21"/>
  <c r="C9" i="21"/>
  <c r="C28" i="21"/>
  <c r="B208" i="21"/>
  <c r="B104" i="21"/>
  <c r="C246" i="21"/>
  <c r="C119" i="21"/>
  <c r="B150" i="21"/>
  <c r="C242" i="21"/>
  <c r="C159" i="21"/>
  <c r="B11" i="21"/>
  <c r="C234" i="21"/>
  <c r="C195" i="21"/>
  <c r="C15" i="21"/>
  <c r="B209" i="21"/>
  <c r="B106" i="21"/>
  <c r="C209" i="21"/>
  <c r="C99" i="21"/>
  <c r="C156" i="21"/>
  <c r="C189" i="21"/>
  <c r="C221" i="21"/>
  <c r="C77" i="21"/>
  <c r="B95" i="21"/>
  <c r="B96" i="21"/>
  <c r="C108" i="21"/>
  <c r="C35" i="21"/>
  <c r="C33" i="21"/>
  <c r="B114" i="21"/>
  <c r="B126" i="21"/>
  <c r="B224" i="21"/>
  <c r="C155" i="21"/>
  <c r="B45" i="21"/>
  <c r="B23" i="21"/>
  <c r="B244" i="21"/>
  <c r="C181" i="21"/>
  <c r="C120" i="21"/>
  <c r="C176" i="21"/>
  <c r="C25" i="21"/>
  <c r="B2" i="21"/>
  <c r="C57" i="21"/>
  <c r="C133" i="21"/>
  <c r="B184" i="21"/>
  <c r="C206" i="21"/>
  <c r="C200" i="21"/>
  <c r="C132" i="21"/>
  <c r="B102" i="21"/>
  <c r="B231" i="21"/>
  <c r="C11" i="21"/>
  <c r="C201" i="21"/>
  <c r="C208" i="21"/>
  <c r="B189" i="21"/>
  <c r="B190" i="21"/>
  <c r="C83" i="21"/>
  <c r="C85" i="21"/>
  <c r="B105" i="21"/>
  <c r="C135" i="21"/>
  <c r="C101" i="21"/>
  <c r="C26" i="21"/>
  <c r="C236" i="21"/>
  <c r="B79" i="21"/>
  <c r="C210" i="21"/>
  <c r="C127" i="21"/>
  <c r="B94" i="21"/>
  <c r="B213" i="21"/>
  <c r="B186" i="21"/>
  <c r="B155" i="21"/>
  <c r="C217" i="21"/>
  <c r="B216" i="21"/>
  <c r="C222" i="21"/>
  <c r="B233" i="21"/>
  <c r="B181" i="21"/>
  <c r="B70" i="21"/>
  <c r="B195" i="21"/>
  <c r="B162" i="21"/>
  <c r="B69" i="21"/>
  <c r="B56" i="21"/>
  <c r="B35" i="21"/>
  <c r="C109" i="21"/>
  <c r="B240" i="21"/>
  <c r="B125" i="21"/>
  <c r="C224" i="21"/>
  <c r="B30" i="21"/>
  <c r="B83" i="21"/>
  <c r="B98" i="21"/>
  <c r="C237" i="21"/>
  <c r="C40" i="21"/>
  <c r="B149" i="21"/>
  <c r="C98" i="21"/>
  <c r="B163" i="21"/>
  <c r="C168" i="21"/>
  <c r="C143" i="21"/>
  <c r="B20" i="21"/>
  <c r="B193" i="21"/>
  <c r="C128" i="21"/>
  <c r="B138" i="21"/>
  <c r="C27" i="21"/>
  <c r="B161" i="21"/>
  <c r="C225" i="21"/>
  <c r="B31" i="21"/>
  <c r="C17" i="21"/>
  <c r="C38" i="21"/>
  <c r="B57" i="21"/>
  <c r="B156" i="21"/>
  <c r="C19" i="21"/>
  <c r="B179" i="21"/>
  <c r="C124" i="21"/>
  <c r="C93" i="21"/>
  <c r="C187" i="21"/>
  <c r="C4" i="21"/>
  <c r="B16" i="21"/>
  <c r="C148" i="21"/>
  <c r="C59" i="21"/>
  <c r="C36" i="21"/>
  <c r="C193" i="21"/>
  <c r="C104" i="21"/>
  <c r="C46" i="21"/>
  <c r="B29" i="21"/>
  <c r="B77" i="21"/>
  <c r="C16" i="21"/>
  <c r="B19" i="21"/>
  <c r="B225" i="21"/>
  <c r="C86" i="21"/>
  <c r="C134" i="21"/>
  <c r="B8" i="21"/>
  <c r="B220" i="21"/>
  <c r="B37" i="21"/>
  <c r="C215" i="21"/>
  <c r="C96" i="21"/>
  <c r="C198" i="21"/>
  <c r="B92" i="21"/>
  <c r="C188" i="21"/>
  <c r="B206" i="21"/>
  <c r="C243" i="21"/>
  <c r="C70" i="21"/>
  <c r="C165" i="21"/>
  <c r="B154" i="21"/>
  <c r="B223" i="21"/>
  <c r="C105" i="21"/>
  <c r="C229" i="21"/>
  <c r="B243" i="21"/>
  <c r="B212" i="21"/>
  <c r="C125" i="21"/>
  <c r="B64" i="21"/>
  <c r="B248" i="21"/>
  <c r="B48" i="21"/>
</calcChain>
</file>

<file path=xl/sharedStrings.xml><?xml version="1.0" encoding="utf-8"?>
<sst xmlns="http://schemas.openxmlformats.org/spreadsheetml/2006/main" count="1674" uniqueCount="953">
  <si>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</si>
  <si>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</si>
  <si>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</si>
  <si>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</si>
  <si>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</si>
  <si>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</si>
  <si>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</si>
  <si>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</si>
  <si>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</si>
  <si>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</si>
  <si>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</si>
  <si>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</si>
  <si>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</si>
  <si>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</si>
  <si>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</si>
  <si>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</si>
  <si>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</si>
  <si>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</si>
  <si>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</si>
  <si>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</si>
  <si>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</si>
  <si>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</si>
  <si>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</si>
  <si>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</si>
  <si>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</si>
  <si>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</si>
  <si>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</si>
  <si>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</si>
  <si>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</si>
  <si>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</si>
  <si>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</si>
  <si>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</si>
  <si>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</si>
  <si>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</si>
  <si>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</si>
  <si>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</si>
  <si>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</si>
  <si>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</si>
  <si>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</si>
  <si>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</si>
  <si>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</si>
  <si>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</si>
  <si>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</si>
  <si>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</si>
  <si>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</si>
  <si>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</si>
  <si>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</si>
  <si>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</si>
  <si>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</si>
  <si>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</si>
  <si>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</si>
  <si>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</si>
  <si>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</si>
  <si>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</si>
  <si>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</si>
  <si>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</si>
  <si>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</si>
  <si>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</si>
  <si>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</si>
  <si>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</si>
  <si>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</si>
  <si>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</si>
  <si>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</si>
  <si>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</si>
  <si>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</si>
  <si>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</si>
  <si>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</si>
  <si>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</si>
  <si>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</si>
  <si>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</si>
  <si>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</si>
  <si>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</si>
  <si>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</si>
  <si>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</si>
  <si>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</si>
  <si>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</si>
  <si>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</si>
  <si>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</si>
  <si>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</si>
  <si>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</si>
  <si>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</si>
  <si>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</si>
  <si>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</si>
  <si>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</si>
  <si>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</si>
  <si>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</si>
  <si>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</si>
  <si>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</si>
  <si>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</si>
  <si>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</si>
  <si>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</si>
  <si>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</si>
  <si>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</si>
  <si>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</si>
  <si>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</si>
  <si>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</si>
  <si>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</si>
  <si>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</si>
  <si>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</si>
  <si>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</si>
  <si>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</si>
  <si>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</si>
  <si>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</si>
  <si>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</si>
  <si>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</si>
  <si>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</si>
  <si>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</si>
  <si>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</si>
  <si>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</si>
  <si>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</si>
  <si>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</si>
  <si>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</si>
  <si>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</si>
  <si>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</si>
  <si>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</si>
  <si>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</si>
  <si>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</si>
  <si>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</si>
  <si>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</si>
  <si>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</si>
  <si>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</si>
  <si>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</si>
  <si>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</si>
  <si>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</si>
  <si>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</si>
  <si>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</si>
  <si>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</si>
  <si>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</si>
  <si>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</si>
  <si>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</si>
  <si>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</si>
  <si>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</si>
  <si>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</si>
  <si>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</si>
  <si>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</si>
  <si>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</si>
  <si>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</si>
  <si>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</si>
  <si>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</si>
  <si>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</si>
  <si>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</si>
  <si>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</si>
  <si>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</si>
  <si>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</si>
  <si>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</si>
  <si>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</si>
  <si>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</si>
  <si>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</si>
  <si>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</si>
  <si>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</si>
  <si>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</si>
  <si>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</si>
  <si>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</si>
  <si>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</si>
  <si>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</si>
  <si>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</si>
  <si>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</si>
  <si>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</si>
  <si>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</si>
  <si>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</si>
  <si>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</si>
  <si>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</si>
  <si>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</si>
  <si>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</si>
  <si>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</si>
  <si>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</si>
  <si>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</si>
  <si>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</si>
  <si>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</si>
  <si>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</si>
  <si>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</si>
  <si>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</si>
  <si>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</si>
  <si>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</si>
  <si>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</si>
  <si>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</si>
  <si>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</si>
  <si>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</si>
  <si>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</si>
  <si>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</si>
  <si>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</si>
  <si>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</si>
  <si>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</si>
  <si>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</si>
  <si>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</si>
  <si>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</si>
  <si>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</si>
  <si>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</si>
  <si>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</si>
  <si>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</si>
  <si>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</si>
  <si>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</si>
  <si>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</si>
  <si>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</si>
  <si>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</si>
  <si>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</si>
  <si>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</si>
  <si>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</si>
  <si>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</si>
  <si>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</si>
  <si>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</si>
  <si>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</si>
  <si>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</si>
  <si>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</si>
  <si>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</si>
  <si>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</si>
  <si>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</si>
  <si>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</si>
  <si>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</si>
  <si>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</si>
  <si>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</si>
  <si>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</si>
  <si>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</si>
  <si>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</si>
  <si>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</si>
  <si>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</si>
  <si>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</si>
  <si>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</si>
  <si>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</si>
  <si>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</si>
  <si>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</si>
  <si>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</si>
  <si>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</si>
  <si>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</si>
  <si>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</si>
  <si>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</si>
  <si>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</si>
  <si>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</si>
  <si>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</si>
  <si>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</si>
  <si>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</si>
  <si>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</si>
  <si>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</si>
  <si>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</si>
  <si>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</si>
  <si>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</si>
  <si>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</si>
  <si>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</si>
  <si>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</si>
  <si>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</si>
  <si>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</si>
  <si>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</si>
  <si>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</si>
  <si>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</si>
  <si>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</si>
  <si>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</si>
  <si>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</si>
  <si>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</si>
  <si>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</si>
  <si>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</si>
  <si>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</si>
  <si>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</si>
  <si>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</si>
  <si>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</si>
  <si>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</si>
  <si>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</si>
  <si>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</si>
  <si>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</si>
  <si>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</si>
  <si>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</si>
  <si>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</si>
  <si>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</si>
  <si>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</si>
  <si>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</si>
  <si>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</si>
  <si>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</si>
  <si>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</si>
  <si>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</si>
  <si>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</si>
  <si>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</si>
  <si>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</si>
  <si>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</si>
  <si>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</si>
  <si>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</si>
  <si>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</si>
  <si>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</si>
  <si>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</si>
  <si>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</si>
  <si>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</si>
  <si>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</si>
  <si>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</si>
  <si>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</si>
  <si>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</si>
  <si>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</si>
  <si>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</si>
  <si>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</si>
  <si>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</si>
  <si>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</si>
  <si>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</si>
  <si>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</si>
  <si>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</si>
  <si>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</si>
  <si>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</si>
  <si>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</si>
  <si>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</si>
  <si>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</si>
  <si>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</si>
  <si>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</si>
  <si>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</si>
  <si>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</si>
  <si>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</si>
  <si>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</si>
  <si>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</si>
  <si>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</si>
  <si>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</si>
  <si>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</si>
  <si>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</si>
  <si>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</si>
  <si>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</si>
  <si>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</si>
  <si>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</si>
  <si>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</si>
  <si>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</si>
  <si>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</si>
  <si>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</si>
  <si>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</si>
  <si>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</si>
  <si>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</si>
  <si>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</si>
  <si>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</si>
  <si>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</si>
  <si>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</si>
  <si>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</si>
  <si>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</si>
  <si>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</si>
  <si>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</si>
  <si>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</si>
  <si>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</si>
  <si>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</si>
  <si>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</si>
  <si>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</si>
  <si>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</si>
  <si>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</si>
  <si>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</si>
  <si>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</si>
  <si>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</si>
  <si>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</si>
  <si>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</si>
  <si>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</si>
  <si>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</si>
  <si>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</si>
  <si>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</si>
  <si>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</si>
  <si>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</si>
  <si>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</si>
  <si>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</si>
  <si>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</si>
  <si>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</si>
  <si>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</si>
  <si>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</si>
  <si>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</si>
  <si>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</si>
  <si>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</si>
  <si>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</si>
  <si>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</si>
  <si>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</si>
  <si>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</si>
  <si>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</si>
  <si>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</si>
  <si>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</si>
  <si>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</si>
  <si>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</si>
  <si>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</si>
  <si>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</si>
  <si>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</si>
  <si>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</si>
  <si>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</si>
  <si>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</si>
  <si>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</si>
  <si>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</si>
  <si>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</si>
  <si>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</si>
  <si>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</si>
  <si>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</si>
  <si>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</si>
  <si>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</si>
  <si>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</si>
  <si>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</si>
  <si>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</si>
  <si>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</si>
  <si>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</si>
  <si>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</si>
  <si>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</si>
  <si>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</si>
  <si>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</si>
  <si>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</si>
  <si>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</si>
  <si>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</si>
  <si>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</si>
  <si>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</si>
  <si>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</si>
  <si>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</si>
  <si>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</si>
  <si>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</si>
  <si>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</si>
  <si>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</si>
  <si>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</si>
  <si>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</si>
  <si>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</si>
  <si>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</si>
  <si>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</si>
  <si>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</si>
  <si>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</si>
  <si>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</si>
  <si>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</si>
  <si>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</si>
  <si>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</si>
  <si>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</si>
  <si>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</si>
  <si>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</si>
  <si>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</si>
  <si>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</si>
  <si>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</si>
  <si>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</si>
  <si>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</si>
  <si>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</si>
  <si>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</si>
  <si>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</si>
  <si>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</si>
  <si>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</si>
  <si>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</si>
  <si>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</si>
  <si>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</si>
  <si>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</si>
  <si>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</si>
  <si>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</si>
  <si>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</si>
  <si>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</si>
  <si>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</si>
  <si>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</si>
  <si>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</si>
  <si>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</si>
  <si>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</si>
  <si>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</si>
  <si>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</si>
  <si>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</si>
  <si>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</si>
  <si>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</si>
  <si>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</si>
  <si>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</si>
  <si>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</si>
  <si>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</si>
  <si>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</si>
  <si>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</si>
  <si>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</si>
  <si>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</si>
  <si>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</si>
  <si>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</si>
  <si>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</si>
  <si>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</si>
  <si>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</si>
  <si>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</si>
  <si>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</si>
  <si>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</si>
  <si>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</si>
  <si>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</si>
  <si>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</si>
  <si>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</si>
  <si>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</si>
  <si>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</si>
  <si>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</si>
  <si>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</si>
  <si>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</si>
  <si>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</si>
  <si>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</si>
  <si>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</si>
  <si>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</si>
  <si>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</si>
  <si>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</si>
  <si>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</si>
  <si>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</si>
  <si>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</si>
  <si>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</si>
  <si>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</si>
  <si>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</si>
  <si>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</si>
  <si>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</si>
  <si>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</si>
  <si>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</si>
  <si>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</si>
  <si>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</si>
  <si>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</si>
  <si>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</si>
  <si>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</si>
  <si>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</si>
  <si>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</si>
  <si>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</si>
  <si>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</si>
  <si>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</si>
  <si>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</si>
  <si>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</si>
  <si>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</si>
  <si>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</si>
  <si>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</si>
  <si>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</si>
  <si>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</si>
  <si>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</si>
  <si>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</si>
  <si>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</si>
  <si>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</si>
  <si>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</si>
  <si>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</si>
  <si>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</si>
  <si>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</si>
  <si>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</si>
  <si>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</si>
  <si>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</si>
  <si>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</si>
  <si>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</si>
  <si>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</si>
  <si>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</si>
  <si>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</si>
  <si>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</si>
  <si>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</si>
  <si>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</si>
  <si>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</si>
  <si>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</si>
  <si>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</si>
  <si>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</si>
  <si>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</si>
  <si>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</si>
  <si>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</si>
  <si>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</si>
  <si>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</si>
  <si>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</si>
  <si>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</si>
  <si>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</si>
  <si>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</si>
  <si>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</si>
  <si>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</si>
  <si>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</si>
  <si>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</si>
  <si>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</si>
  <si>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</si>
  <si>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</si>
  <si>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</si>
  <si>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</si>
  <si>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</si>
  <si>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</si>
  <si>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</si>
  <si>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</si>
  <si>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</si>
  <si>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</si>
  <si>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</si>
  <si>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</si>
  <si>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</si>
  <si>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</si>
  <si>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</si>
  <si>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</si>
  <si>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</si>
  <si>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</si>
  <si>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</si>
  <si>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</si>
  <si>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</si>
  <si>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</si>
  <si>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</si>
  <si>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</si>
  <si>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</si>
  <si>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</si>
  <si>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</si>
  <si>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</si>
  <si>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</si>
  <si>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</si>
  <si>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</si>
  <si>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</si>
  <si>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</si>
  <si>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</si>
  <si>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</si>
  <si>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</si>
  <si>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</si>
  <si>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</si>
  <si>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</si>
  <si>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</si>
  <si>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</si>
  <si>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</si>
  <si>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</si>
  <si>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</si>
  <si>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</si>
  <si>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</si>
  <si>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</si>
  <si>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</si>
  <si>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</si>
  <si>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</si>
  <si>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</si>
  <si>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</si>
  <si>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</si>
  <si>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</si>
  <si>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</si>
  <si>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</si>
  <si>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</si>
  <si>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</si>
  <si>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</si>
  <si>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</si>
  <si>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</si>
  <si>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</si>
  <si>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</si>
  <si>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</si>
  <si>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</si>
  <si>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</si>
  <si>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</si>
  <si>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</si>
  <si>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</si>
  <si>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</si>
  <si>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</si>
  <si>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</si>
  <si>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</si>
  <si>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</si>
  <si>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</si>
  <si>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</si>
  <si>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</si>
  <si>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</si>
  <si>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</si>
  <si>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</si>
  <si>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</si>
  <si>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</si>
  <si>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</si>
  <si>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</si>
  <si>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</si>
  <si>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</si>
  <si>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</si>
  <si>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</si>
  <si>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</si>
  <si>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</si>
  <si>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</si>
  <si>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</si>
  <si>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</si>
  <si>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</si>
  <si>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</si>
  <si>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</si>
  <si>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</si>
  <si>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</si>
  <si>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</si>
  <si>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</si>
  <si>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</si>
  <si>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</si>
  <si>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</si>
  <si>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</si>
  <si>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</si>
  <si>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</si>
  <si>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</si>
  <si>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</si>
  <si>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</si>
  <si>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</si>
  <si>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</si>
  <si>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</si>
  <si>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</si>
  <si>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</si>
  <si>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</si>
  <si>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</si>
  <si>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</si>
  <si>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</si>
  <si>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</si>
  <si>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</si>
  <si>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</si>
  <si>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</si>
  <si>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</si>
  <si>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</si>
  <si>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</si>
  <si>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</si>
  <si>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</si>
  <si>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</si>
  <si>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</si>
  <si>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</si>
  <si>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</si>
  <si>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</si>
  <si>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</si>
  <si>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</si>
  <si>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</si>
  <si>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</si>
  <si>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</si>
  <si>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</si>
  <si>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</si>
  <si>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</si>
  <si>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</si>
  <si>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</si>
  <si>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</si>
  <si>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</si>
  <si>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</si>
  <si>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</si>
  <si>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</si>
  <si>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</si>
  <si>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</si>
  <si>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</si>
  <si>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</si>
  <si>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</si>
  <si>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</si>
  <si>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</si>
  <si>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</si>
  <si>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</si>
  <si>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</si>
  <si>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</si>
  <si>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</si>
  <si>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</si>
  <si>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</si>
  <si>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</si>
  <si>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</si>
  <si>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</si>
  <si>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</si>
  <si>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</si>
  <si>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</si>
  <si>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</si>
  <si>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</si>
  <si>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</si>
  <si>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</si>
  <si>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</si>
  <si>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</si>
  <si>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</si>
  <si>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</si>
  <si>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</si>
  <si>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</si>
  <si>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</si>
  <si>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</si>
  <si>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</si>
  <si>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</si>
  <si>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</si>
  <si>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</si>
  <si>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</si>
  <si>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</si>
  <si>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</si>
  <si>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</si>
  <si>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</si>
  <si>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</si>
  <si>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</si>
  <si>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</si>
  <si>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</si>
  <si>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</si>
  <si>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</si>
  <si>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</si>
  <si>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</si>
  <si>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</si>
  <si>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</si>
  <si>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</si>
  <si>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</si>
  <si>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</si>
  <si>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</si>
  <si>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</si>
  <si>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</si>
  <si>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</si>
  <si>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</si>
  <si>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</si>
  <si>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</si>
  <si>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</si>
  <si>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</si>
  <si>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</si>
  <si>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</si>
  <si>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</si>
  <si>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</si>
  <si>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</si>
  <si>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</si>
  <si>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</si>
  <si>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</si>
  <si>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</si>
  <si>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</si>
  <si>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</si>
  <si>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</si>
  <si>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</si>
  <si>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</si>
  <si>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</si>
  <si>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</si>
  <si>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</si>
  <si>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</si>
  <si>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</si>
  <si>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</si>
  <si>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</si>
  <si>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</si>
  <si>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</si>
  <si>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</si>
  <si>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</si>
  <si>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</si>
  <si>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</si>
  <si>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</si>
  <si>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</si>
  <si>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</si>
  <si>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</si>
  <si>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</si>
  <si>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</si>
  <si>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</si>
  <si>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</si>
  <si>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</si>
  <si>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</si>
  <si>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</si>
  <si>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</si>
  <si>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</si>
  <si>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</si>
  <si>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</si>
  <si>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</si>
  <si>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</si>
  <si>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</si>
  <si>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</si>
  <si>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</si>
  <si>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</si>
  <si>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</si>
  <si>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</si>
  <si>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</si>
  <si>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</si>
  <si>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</si>
  <si>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</si>
  <si>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</si>
  <si>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</si>
  <si>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</si>
  <si>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</si>
  <si>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</si>
  <si>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</si>
  <si>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</si>
  <si>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</si>
  <si>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</si>
  <si>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</si>
  <si>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</si>
  <si>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</si>
  <si>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</si>
  <si>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</si>
  <si>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</si>
  <si>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</si>
  <si>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</si>
  <si>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</si>
  <si>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</si>
  <si>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</si>
  <si>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</si>
  <si>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</si>
  <si>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</si>
  <si>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</si>
  <si>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</si>
  <si>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</si>
  <si>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</si>
  <si>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</si>
  <si>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</si>
  <si>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</si>
  <si>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</si>
  <si>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</si>
  <si>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</si>
  <si>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</si>
  <si>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</si>
  <si>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</si>
  <si>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</si>
  <si>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</si>
  <si>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</si>
  <si>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</si>
  <si>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</si>
  <si>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</si>
  <si>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</si>
  <si>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</si>
  <si>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</si>
  <si>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</si>
  <si>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</si>
  <si>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</si>
  <si>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</si>
  <si>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</si>
  <si>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</si>
  <si>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</si>
  <si>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</si>
  <si>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</si>
  <si>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</si>
  <si>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</si>
  <si>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</si>
  <si>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</si>
  <si>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</si>
  <si>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</si>
  <si>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</si>
  <si>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</si>
  <si>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</si>
  <si>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</si>
  <si>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</si>
  <si>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</si>
  <si>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</si>
  <si>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</si>
  <si>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</si>
  <si>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</si>
  <si>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</si>
  <si>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</si>
  <si>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</si>
  <si>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</si>
  <si>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</si>
  <si>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</si>
  <si>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</si>
  <si>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</si>
  <si>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</si>
  <si>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</si>
  <si>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</si>
  <si>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</si>
  <si>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</si>
  <si>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</si>
  <si>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</si>
  <si>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</si>
  <si>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</si>
  <si>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</si>
  <si>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</si>
  <si>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</si>
  <si>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</si>
  <si>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</si>
  <si>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</si>
  <si>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</si>
  <si>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</si>
  <si>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</si>
  <si>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</si>
  <si>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</si>
  <si>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</si>
  <si>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</si>
  <si>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</si>
  <si>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</si>
  <si>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</si>
  <si>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</si>
  <si>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</si>
  <si>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</si>
  <si>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</si>
  <si>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</si>
  <si>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</si>
  <si>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</si>
  <si>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</si>
  <si>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</si>
  <si>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</si>
  <si>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</si>
  <si>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</si>
  <si>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</si>
  <si>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</si>
  <si>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</si>
  <si>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</si>
  <si>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</si>
  <si>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</si>
  <si>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</si>
  <si>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</si>
  <si>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</si>
  <si>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</si>
  <si>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</si>
  <si>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</si>
  <si>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</si>
  <si>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</si>
  <si>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</si>
  <si>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</si>
  <si>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</si>
  <si>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</si>
  <si>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</si>
  <si>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</si>
  <si>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</si>
  <si>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</si>
  <si>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</si>
  <si>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</si>
  <si>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</si>
  <si>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</si>
  <si>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</si>
  <si>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</si>
  <si>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</si>
  <si>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</si>
  <si>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</si>
  <si>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</si>
  <si>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</si>
  <si>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</si>
  <si>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</si>
  <si>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</si>
  <si>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</si>
  <si>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</si>
  <si>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</si>
  <si>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Lic. Ilayali Pimentel Redondo</t>
  </si>
  <si>
    <t>Directora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</si>
</sst>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3" xfId="0" applyFont="1" applyBorder="1" applyAlignment="1">
      <alignment wrapText="1"/>
    </xf>
    <xf numFmtId="0" fontId="9" fillId="0" borderId="23" xfId="0" applyFont="1" applyBorder="1" applyAlignment="1">
      <alignment horizont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7" fillId="0" borderId="0" xfId="0" applyFont="1" applyAlignment="1"/>
    <xf numFmtId="0" fontId="8" fillId="0" borderId="24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29" xfId="0" applyFont="1" applyBorder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20" fillId="0" borderId="15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2" fillId="0" borderId="20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1" fillId="0" borderId="12" xfId="0" applyFont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>
      <alignment horizontal="center" vertical="center" wrapText="1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5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3" fillId="0" borderId="0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6" fillId="0" borderId="12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18" fillId="0" borderId="21" xfId="0" applyFont="1" applyBorder="1" applyAlignment="1">
      <alignment horizontal="center"/>
    </xf>
    <xf numFmtId="0" fontId="18" fillId="0" borderId="0" xfId="0" applyFont="1" applyBorder="1" applyAlignment="1">
      <alignment horizontal="center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142875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69"/>
  <sheetViews>
    <sheetView tabSelected="1" zoomScaleNormal="100" workbookViewId="0">
      <selection activeCell="G41" sqref="G41:G42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94" t="s">
        <v>0</v>
      </c>
      <c r="G2" s="94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95" t="s">
        <v>2</v>
      </c>
      <c r="B9" s="95"/>
      <c r="C9" s="95"/>
      <c r="D9" s="95"/>
      <c r="E9" s="95"/>
      <c r="F9" s="95"/>
      <c r="G9" s="95"/>
    </row>
    <row r="10" spans="1:7" ht="24.75" customHeight="1" x14ac:dyDescent="0.25">
      <c r="A10" s="95" t="s">
        <v>3</v>
      </c>
      <c r="B10" s="95"/>
      <c r="C10" s="95"/>
      <c r="D10" s="95"/>
      <c r="E10" s="95"/>
      <c r="F10" s="95"/>
      <c r="G10" s="95"/>
    </row>
    <row r="11" spans="1:7" ht="18" x14ac:dyDescent="0.25">
      <c r="A11" s="5" t="s">
        <v>26</v>
      </c>
      <c r="B11" s="101" t="s">
        <v>945</v>
      </c>
      <c r="C11" s="101"/>
      <c r="D11" s="101"/>
      <c r="E11" s="101"/>
      <c r="F11" s="101"/>
      <c r="G11" s="101"/>
    </row>
    <row r="12" spans="1:7" ht="17.25" customHeight="1" x14ac:dyDescent="0.25">
      <c r="A12" s="96" t="s">
        <v>4</v>
      </c>
      <c r="B12" s="97"/>
      <c r="C12" s="97"/>
      <c r="D12" s="97"/>
      <c r="E12" s="97"/>
      <c r="F12" s="97"/>
      <c r="G12" s="98"/>
    </row>
    <row r="13" spans="1:7" x14ac:dyDescent="0.25">
      <c r="A13" s="70" t="s">
        <v>946</v>
      </c>
      <c r="B13" s="63"/>
      <c r="C13" s="63"/>
      <c r="D13" s="63"/>
      <c r="E13" s="63"/>
      <c r="F13" s="63"/>
      <c r="G13" s="63"/>
    </row>
    <row r="14" spans="1:7" ht="18.75" customHeight="1" x14ac:dyDescent="0.25">
      <c r="A14" s="70"/>
      <c r="B14" s="65"/>
      <c r="C14" s="65"/>
      <c r="D14" s="65"/>
      <c r="E14" s="65"/>
      <c r="F14" s="65"/>
      <c r="G14" s="65"/>
    </row>
    <row r="15" spans="1:7" x14ac:dyDescent="0.25">
      <c r="A15" s="70" t="s">
        <v>947</v>
      </c>
      <c r="B15" s="100" t="e">
        <f>VLOOKUP(B13,Hoja3!O2:P137,2,FALSE)</f>
        <v>#N/A</v>
      </c>
      <c r="C15" s="100"/>
      <c r="D15" s="100"/>
      <c r="E15" s="100"/>
      <c r="F15" s="100"/>
      <c r="G15" s="100"/>
    </row>
    <row r="16" spans="1:7" x14ac:dyDescent="0.25">
      <c r="A16" s="70"/>
      <c r="B16" s="69"/>
      <c r="C16" s="69"/>
      <c r="D16" s="69"/>
      <c r="E16" s="69"/>
      <c r="F16" s="69"/>
      <c r="G16" s="69"/>
    </row>
    <row r="17" spans="1:7" x14ac:dyDescent="0.25">
      <c r="A17" s="106" t="s">
        <v>950</v>
      </c>
      <c r="B17" s="100"/>
      <c r="C17" s="100"/>
      <c r="D17" s="100"/>
      <c r="E17" s="100"/>
      <c r="F17" s="100"/>
      <c r="G17" s="100"/>
    </row>
    <row r="18" spans="1:7" ht="21.75" customHeight="1" x14ac:dyDescent="0.25">
      <c r="A18" s="106"/>
      <c r="B18" s="69"/>
      <c r="C18" s="69"/>
      <c r="D18" s="69"/>
      <c r="E18" s="69"/>
      <c r="F18" s="69"/>
      <c r="G18" s="69"/>
    </row>
    <row r="19" spans="1:7" x14ac:dyDescent="0.25">
      <c r="A19" s="70" t="s">
        <v>5</v>
      </c>
      <c r="B19" s="100"/>
      <c r="C19" s="100"/>
      <c r="D19" s="100"/>
      <c r="E19" s="100"/>
      <c r="F19" s="100"/>
      <c r="G19" s="100"/>
    </row>
    <row r="20" spans="1:7" x14ac:dyDescent="0.25">
      <c r="A20" s="70"/>
      <c r="B20" s="69"/>
      <c r="C20" s="69"/>
      <c r="D20" s="69"/>
      <c r="E20" s="69"/>
      <c r="F20" s="69"/>
      <c r="G20" s="69"/>
    </row>
    <row r="21" spans="1:7" x14ac:dyDescent="0.25">
      <c r="A21" s="102" t="s">
        <v>948</v>
      </c>
      <c r="B21" s="66"/>
      <c r="C21" s="67"/>
      <c r="D21" s="67"/>
      <c r="E21" s="67"/>
      <c r="F21" s="67"/>
      <c r="G21" s="67"/>
    </row>
    <row r="22" spans="1:7" x14ac:dyDescent="0.25">
      <c r="A22" s="103"/>
      <c r="B22" s="68"/>
      <c r="C22" s="69"/>
      <c r="D22" s="69"/>
      <c r="E22" s="69"/>
      <c r="F22" s="69"/>
      <c r="G22" s="69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104"/>
      <c r="C24" s="104"/>
      <c r="D24" s="104"/>
      <c r="E24" s="104"/>
      <c r="F24" s="104"/>
      <c r="G24" s="32"/>
    </row>
    <row r="25" spans="1:7" ht="16.5" x14ac:dyDescent="0.3">
      <c r="A25" s="33"/>
      <c r="B25" s="105"/>
      <c r="C25" s="105"/>
      <c r="D25" s="105"/>
      <c r="E25" s="105"/>
      <c r="F25" s="105"/>
      <c r="G25" s="32"/>
    </row>
    <row r="26" spans="1:7" ht="16.5" x14ac:dyDescent="0.3">
      <c r="A26" s="99" t="s">
        <v>6</v>
      </c>
      <c r="B26" s="99"/>
      <c r="C26" s="99"/>
      <c r="D26" s="99"/>
      <c r="E26" s="99"/>
      <c r="F26" s="99"/>
      <c r="G26" s="99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3" t="s">
        <v>7</v>
      </c>
      <c r="B28" s="84"/>
      <c r="C28" s="84"/>
      <c r="D28" s="84"/>
      <c r="E28" s="84"/>
      <c r="F28" s="84"/>
      <c r="G28" s="85"/>
    </row>
    <row r="29" spans="1:7" x14ac:dyDescent="0.25">
      <c r="A29" s="70" t="s">
        <v>949</v>
      </c>
      <c r="B29" s="62"/>
      <c r="C29" s="63"/>
      <c r="D29" s="63"/>
      <c r="E29" s="63"/>
      <c r="F29" s="63"/>
      <c r="G29" s="63"/>
    </row>
    <row r="30" spans="1:7" x14ac:dyDescent="0.25">
      <c r="A30" s="70"/>
      <c r="B30" s="64"/>
      <c r="C30" s="65"/>
      <c r="D30" s="65"/>
      <c r="E30" s="65"/>
      <c r="F30" s="65"/>
      <c r="G30" s="65"/>
    </row>
    <row r="31" spans="1:7" x14ac:dyDescent="0.25">
      <c r="A31" s="70" t="s">
        <v>8</v>
      </c>
      <c r="B31" s="66"/>
      <c r="C31" s="67"/>
      <c r="D31" s="67"/>
      <c r="E31" s="67"/>
      <c r="F31" s="67"/>
      <c r="G31" s="67"/>
    </row>
    <row r="32" spans="1:7" x14ac:dyDescent="0.25">
      <c r="A32" s="70"/>
      <c r="B32" s="68"/>
      <c r="C32" s="69"/>
      <c r="D32" s="69"/>
      <c r="E32" s="69"/>
      <c r="F32" s="69"/>
      <c r="G32" s="69"/>
    </row>
    <row r="33" spans="1:8" x14ac:dyDescent="0.25">
      <c r="A33" s="71" t="s">
        <v>9</v>
      </c>
      <c r="B33" s="66"/>
      <c r="C33" s="67"/>
      <c r="D33" s="67"/>
      <c r="E33" s="67"/>
      <c r="F33" s="67"/>
      <c r="G33" s="67"/>
    </row>
    <row r="34" spans="1:8" s="3" customFormat="1" x14ac:dyDescent="0.25">
      <c r="A34" s="71"/>
      <c r="B34" s="68"/>
      <c r="C34" s="69"/>
      <c r="D34" s="69"/>
      <c r="E34" s="69"/>
      <c r="F34" s="69"/>
      <c r="G34" s="69"/>
    </row>
    <row r="35" spans="1:8" x14ac:dyDescent="0.25">
      <c r="A35" s="70" t="s">
        <v>10</v>
      </c>
      <c r="B35" s="74" t="s">
        <v>11</v>
      </c>
      <c r="C35" s="74"/>
      <c r="D35" s="74"/>
      <c r="E35" s="74"/>
      <c r="F35" s="74"/>
      <c r="G35" s="74"/>
    </row>
    <row r="36" spans="1:8" x14ac:dyDescent="0.25">
      <c r="A36" s="70"/>
      <c r="B36" s="74"/>
      <c r="C36" s="74"/>
      <c r="D36" s="74"/>
      <c r="E36" s="74"/>
      <c r="F36" s="74"/>
      <c r="G36" s="74"/>
    </row>
    <row r="37" spans="1:8" ht="47.25" customHeight="1" x14ac:dyDescent="0.25">
      <c r="A37" s="70"/>
      <c r="B37" s="74"/>
      <c r="C37" s="74"/>
      <c r="D37" s="74"/>
      <c r="E37" s="74"/>
      <c r="F37" s="74"/>
      <c r="G37" s="74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86" t="s">
        <v>12</v>
      </c>
      <c r="B39" s="87"/>
      <c r="C39" s="90" t="s">
        <v>13</v>
      </c>
      <c r="D39" s="91"/>
      <c r="E39" s="56" t="s">
        <v>14</v>
      </c>
      <c r="F39" s="56" t="s">
        <v>15</v>
      </c>
      <c r="G39" s="72" t="s">
        <v>16</v>
      </c>
    </row>
    <row r="40" spans="1:8" x14ac:dyDescent="0.25">
      <c r="A40" s="88"/>
      <c r="B40" s="89"/>
      <c r="C40" s="36" t="s">
        <v>17</v>
      </c>
      <c r="D40" s="36" t="s">
        <v>18</v>
      </c>
      <c r="E40" s="57"/>
      <c r="F40" s="57"/>
      <c r="G40" s="73"/>
    </row>
    <row r="41" spans="1:8" ht="15" customHeight="1" x14ac:dyDescent="0.25">
      <c r="A41" s="76"/>
      <c r="B41" s="76"/>
      <c r="C41" s="37"/>
      <c r="D41" s="38"/>
      <c r="E41" s="39"/>
      <c r="F41" s="40"/>
      <c r="G41" s="41"/>
    </row>
    <row r="42" spans="1:8" ht="15" customHeight="1" x14ac:dyDescent="0.25">
      <c r="A42" s="81"/>
      <c r="B42" s="82"/>
      <c r="C42" s="37"/>
      <c r="D42" s="38"/>
      <c r="E42" s="39"/>
      <c r="F42" s="40"/>
      <c r="G42" s="41"/>
    </row>
    <row r="43" spans="1:8" ht="15" customHeight="1" x14ac:dyDescent="0.25">
      <c r="A43" s="81"/>
      <c r="B43" s="82"/>
      <c r="C43" s="37"/>
      <c r="D43" s="38"/>
      <c r="E43" s="39"/>
      <c r="F43" s="40"/>
      <c r="G43" s="41"/>
    </row>
    <row r="44" spans="1:8" ht="15" customHeight="1" x14ac:dyDescent="0.25">
      <c r="A44" s="81"/>
      <c r="B44" s="82"/>
      <c r="C44" s="37"/>
      <c r="D44" s="38"/>
      <c r="E44" s="39"/>
      <c r="F44" s="40"/>
      <c r="G44" s="41"/>
    </row>
    <row r="45" spans="1:8" ht="15" customHeight="1" x14ac:dyDescent="0.25">
      <c r="A45" s="76"/>
      <c r="B45" s="76"/>
      <c r="C45" s="37"/>
      <c r="D45" s="38"/>
      <c r="E45" s="39"/>
      <c r="F45" s="40"/>
      <c r="G45" s="41"/>
    </row>
    <row r="46" spans="1:8" ht="15" customHeight="1" x14ac:dyDescent="0.25">
      <c r="A46" s="76"/>
      <c r="B46" s="76"/>
      <c r="C46" s="37"/>
      <c r="D46" s="38"/>
      <c r="E46" s="39"/>
      <c r="F46" s="40"/>
      <c r="G46" s="41"/>
    </row>
    <row r="47" spans="1:8" ht="15" customHeight="1" x14ac:dyDescent="0.25">
      <c r="A47" s="76"/>
      <c r="B47" s="76"/>
      <c r="C47" s="37"/>
      <c r="D47" s="38"/>
      <c r="E47" s="39"/>
      <c r="F47" s="40"/>
      <c r="G47" s="41"/>
    </row>
    <row r="48" spans="1:8" ht="15" customHeight="1" x14ac:dyDescent="0.25">
      <c r="A48" s="77"/>
      <c r="B48" s="77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19</v>
      </c>
      <c r="G49" s="43">
        <f>SUM(G41:G48)</f>
        <v>0</v>
      </c>
    </row>
    <row r="50" spans="1:7" ht="26.25" customHeight="1" x14ac:dyDescent="0.25">
      <c r="A50" s="28" t="s">
        <v>20</v>
      </c>
      <c r="B50" s="110" t="str">
        <f>Apalabra(G49)</f>
        <v/>
      </c>
      <c r="C50" s="111"/>
      <c r="D50" s="111"/>
      <c r="E50" s="111"/>
      <c r="F50" s="111"/>
      <c r="G50" s="111"/>
    </row>
    <row r="51" spans="1:7" ht="16.5" x14ac:dyDescent="0.3">
      <c r="A51" s="44"/>
      <c r="B51" s="45"/>
      <c r="C51" s="45"/>
      <c r="D51" s="45"/>
      <c r="E51" s="45"/>
      <c r="F51" s="31"/>
      <c r="G51" s="31"/>
    </row>
    <row r="52" spans="1:7" x14ac:dyDescent="0.25">
      <c r="A52" s="31"/>
      <c r="B52" s="31"/>
      <c r="C52" s="45"/>
      <c r="D52" s="45"/>
      <c r="E52" s="45"/>
      <c r="F52" s="31"/>
      <c r="G52" s="31"/>
    </row>
    <row r="53" spans="1:7" ht="16.5" x14ac:dyDescent="0.3">
      <c r="A53" s="46"/>
      <c r="B53" s="46"/>
      <c r="C53" s="45"/>
      <c r="D53" s="45"/>
      <c r="E53" s="45"/>
      <c r="F53" s="31"/>
      <c r="G53" s="31"/>
    </row>
    <row r="54" spans="1:7" ht="15.75" x14ac:dyDescent="0.25">
      <c r="A54" s="80" t="s">
        <v>21</v>
      </c>
      <c r="B54" s="80"/>
      <c r="C54" s="52"/>
      <c r="D54" s="52"/>
      <c r="E54" s="52"/>
      <c r="F54" s="53"/>
      <c r="G54" s="31"/>
    </row>
    <row r="55" spans="1:7" ht="15.75" x14ac:dyDescent="0.25">
      <c r="A55" s="54"/>
      <c r="B55" s="54"/>
      <c r="C55" s="52"/>
      <c r="D55" s="52"/>
      <c r="E55" s="52"/>
      <c r="F55" s="53"/>
      <c r="G55" s="31"/>
    </row>
    <row r="56" spans="1:7" ht="15.75" x14ac:dyDescent="0.25">
      <c r="A56" s="54"/>
      <c r="B56" s="54"/>
      <c r="C56" s="52"/>
      <c r="D56" s="52"/>
      <c r="E56" s="52"/>
      <c r="F56" s="53"/>
      <c r="G56" s="31"/>
    </row>
    <row r="57" spans="1:7" ht="15.75" x14ac:dyDescent="0.25">
      <c r="A57" s="55"/>
      <c r="B57" s="52"/>
      <c r="C57" s="52"/>
      <c r="D57" s="52"/>
      <c r="E57" s="52"/>
      <c r="F57" s="53"/>
      <c r="G57" s="31"/>
    </row>
    <row r="58" spans="1:7" ht="15.75" x14ac:dyDescent="0.25">
      <c r="A58" s="55"/>
      <c r="B58" s="52"/>
      <c r="C58" s="52"/>
      <c r="D58" s="52"/>
      <c r="E58" s="52"/>
      <c r="F58" s="53"/>
      <c r="G58" s="31"/>
    </row>
    <row r="59" spans="1:7" ht="15.75" x14ac:dyDescent="0.25">
      <c r="A59" s="55"/>
      <c r="B59" s="52"/>
      <c r="C59" s="52"/>
      <c r="D59" s="52"/>
      <c r="E59" s="52"/>
      <c r="F59" s="53"/>
      <c r="G59" s="31"/>
    </row>
    <row r="60" spans="1:7" ht="15.75" x14ac:dyDescent="0.25">
      <c r="A60" s="78"/>
      <c r="B60" s="79"/>
      <c r="C60" s="53"/>
      <c r="D60" s="58" t="s">
        <v>951</v>
      </c>
      <c r="E60" s="59"/>
      <c r="F60" s="59"/>
      <c r="G60" s="31"/>
    </row>
    <row r="61" spans="1:7" ht="15.75" x14ac:dyDescent="0.25">
      <c r="A61" s="60" t="s">
        <v>22</v>
      </c>
      <c r="B61" s="61"/>
      <c r="C61" s="53"/>
      <c r="D61" s="60" t="s">
        <v>23</v>
      </c>
      <c r="E61" s="61"/>
      <c r="F61" s="61"/>
      <c r="G61" s="31"/>
    </row>
    <row r="62" spans="1:7" ht="16.5" x14ac:dyDescent="0.25">
      <c r="A62" s="47"/>
      <c r="B62" s="47"/>
      <c r="C62" s="31"/>
      <c r="D62" s="92" t="s">
        <v>952</v>
      </c>
      <c r="E62" s="93"/>
      <c r="F62" s="93"/>
      <c r="G62" s="31"/>
    </row>
    <row r="63" spans="1:7" ht="38.25" customHeight="1" x14ac:dyDescent="0.25">
      <c r="A63" s="47"/>
      <c r="B63" s="47"/>
      <c r="C63" s="31"/>
      <c r="D63" s="93"/>
      <c r="E63" s="93"/>
      <c r="F63" s="93"/>
      <c r="G63" s="31"/>
    </row>
    <row r="64" spans="1:7" ht="16.5" x14ac:dyDescent="0.25">
      <c r="A64" s="47"/>
      <c r="B64" s="47"/>
      <c r="C64" s="31"/>
      <c r="D64" s="93"/>
      <c r="E64" s="93"/>
      <c r="F64" s="93"/>
      <c r="G64" s="31"/>
    </row>
    <row r="65" spans="1:7" ht="35.25" customHeight="1" x14ac:dyDescent="0.25">
      <c r="A65" s="47"/>
      <c r="B65" s="47"/>
      <c r="C65" s="31"/>
      <c r="D65" s="93"/>
      <c r="E65" s="93"/>
      <c r="F65" s="93"/>
      <c r="G65" s="31"/>
    </row>
    <row r="66" spans="1:7" ht="30.75" customHeight="1" x14ac:dyDescent="0.3">
      <c r="A66" s="48" t="s">
        <v>24</v>
      </c>
      <c r="B66" s="51"/>
      <c r="C66" s="51"/>
      <c r="D66" s="51"/>
      <c r="E66" s="50"/>
      <c r="F66" s="50"/>
      <c r="G66" s="50"/>
    </row>
    <row r="67" spans="1:7" ht="16.5" x14ac:dyDescent="0.3">
      <c r="A67" s="48"/>
      <c r="B67" s="49"/>
      <c r="C67" s="49"/>
      <c r="D67" s="49"/>
      <c r="E67" s="30"/>
      <c r="F67" s="31"/>
      <c r="G67" s="31"/>
    </row>
    <row r="68" spans="1:7" ht="16.5" x14ac:dyDescent="0.25">
      <c r="A68" s="47"/>
      <c r="B68" s="47"/>
      <c r="C68" s="31"/>
      <c r="D68" s="47"/>
      <c r="E68" s="47"/>
      <c r="F68" s="47"/>
      <c r="G68" s="31"/>
    </row>
    <row r="69" spans="1:7" ht="43.5" customHeight="1" x14ac:dyDescent="0.25">
      <c r="A69" s="75" t="s">
        <v>25</v>
      </c>
      <c r="B69" s="75"/>
      <c r="C69" s="75"/>
      <c r="D69" s="75"/>
      <c r="E69" s="75"/>
      <c r="F69" s="75"/>
      <c r="G69" s="75"/>
    </row>
  </sheetData>
  <sheetProtection algorithmName="SHA-512" hashValue="x22sKo/yXyDYQ/fDPD/5KQJLAOOWOY/2Tn8yJG68bM81F5myQVeSBhWVJec7TNZAVpAV7qcGJSitZbAxNezzCg==" saltValue="Abx4mwhY6pyL7HeWfLh54A==" spinCount="100000" sheet="1" formatCells="0" formatColumns="0" formatRows="0" insertColumns="0" insertRows="0" deleteColumns="0" deleteRows="0" sort="0" autoFilter="0" pivotTables="0"/>
  <mergeCells count="47">
    <mergeCell ref="D62:F65"/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B50:G50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27</v>
      </c>
      <c r="C1" s="6" t="s">
        <v>28</v>
      </c>
    </row>
    <row r="2" spans="1:3" x14ac:dyDescent="0.25">
      <c r="A2" s="1" t="s">
        <v>29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30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31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32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33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34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35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36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37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38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39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40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41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42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43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44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45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46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47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48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49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50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51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52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53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54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55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56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57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58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59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60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61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62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63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64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65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66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67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68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69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70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71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72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73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74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75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76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77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78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79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80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81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82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83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84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85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86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87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88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89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90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91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92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93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94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95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96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97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98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99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100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101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102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103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104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105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106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107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108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109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110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111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112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113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114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115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116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117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118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119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120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121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122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123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124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125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126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127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128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129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130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131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132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133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134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135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136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137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138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139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140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141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142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143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144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145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146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147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148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149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150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151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152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153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154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155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156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157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158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159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160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161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162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163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164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165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166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167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168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169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170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171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172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173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174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175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176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177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178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179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180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181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182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183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184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185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186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187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188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189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190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191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192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193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194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195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196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197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198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199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200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201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202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203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204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205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206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207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208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209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210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211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212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213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214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215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216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217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218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219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220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221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222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223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224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225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226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227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228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229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230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231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232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233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234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235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236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237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238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239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240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241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242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243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244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245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246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247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248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249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250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251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252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253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254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255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256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257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258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259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260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261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262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263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264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265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266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267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268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269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270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271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272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273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274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275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276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277</v>
      </c>
    </row>
    <row r="2" spans="1:1" x14ac:dyDescent="0.25">
      <c r="A2" s="1" t="s">
        <v>278</v>
      </c>
    </row>
    <row r="3" spans="1:1" x14ac:dyDescent="0.25">
      <c r="A3" s="1" t="s">
        <v>279</v>
      </c>
    </row>
    <row r="4" spans="1:1" x14ac:dyDescent="0.25">
      <c r="A4" s="1" t="s">
        <v>280</v>
      </c>
    </row>
    <row r="5" spans="1:1" x14ac:dyDescent="0.25">
      <c r="A5" s="1" t="s">
        <v>281</v>
      </c>
    </row>
    <row r="6" spans="1:1" x14ac:dyDescent="0.25">
      <c r="A6" s="1" t="s">
        <v>282</v>
      </c>
    </row>
    <row r="7" spans="1:1" x14ac:dyDescent="0.25">
      <c r="A7" s="1" t="s">
        <v>283</v>
      </c>
    </row>
    <row r="8" spans="1:1" x14ac:dyDescent="0.25">
      <c r="A8" s="1" t="s">
        <v>284</v>
      </c>
    </row>
    <row r="9" spans="1:1" x14ac:dyDescent="0.25">
      <c r="A9" s="1" t="s">
        <v>285</v>
      </c>
    </row>
    <row r="10" spans="1:1" x14ac:dyDescent="0.25">
      <c r="A10" s="1" t="s">
        <v>286</v>
      </c>
    </row>
    <row r="11" spans="1:1" x14ac:dyDescent="0.25">
      <c r="A11" s="1" t="s">
        <v>287</v>
      </c>
    </row>
    <row r="12" spans="1:1" x14ac:dyDescent="0.25">
      <c r="A12" s="1" t="s">
        <v>288</v>
      </c>
    </row>
    <row r="13" spans="1:1" x14ac:dyDescent="0.25">
      <c r="A13" s="1" t="s">
        <v>289</v>
      </c>
    </row>
    <row r="14" spans="1:1" x14ac:dyDescent="0.25">
      <c r="A14" s="1" t="s">
        <v>290</v>
      </c>
    </row>
    <row r="15" spans="1:1" x14ac:dyDescent="0.25">
      <c r="A15" s="1" t="s">
        <v>291</v>
      </c>
    </row>
    <row r="16" spans="1:1" x14ac:dyDescent="0.25">
      <c r="A16" s="1" t="s">
        <v>292</v>
      </c>
    </row>
    <row r="17" spans="1:1" x14ac:dyDescent="0.25">
      <c r="A17" s="1" t="s">
        <v>293</v>
      </c>
    </row>
    <row r="18" spans="1:1" x14ac:dyDescent="0.25">
      <c r="A18" s="1" t="s">
        <v>294</v>
      </c>
    </row>
    <row r="19" spans="1:1" x14ac:dyDescent="0.25">
      <c r="A19" s="1" t="s">
        <v>295</v>
      </c>
    </row>
    <row r="20" spans="1:1" x14ac:dyDescent="0.25">
      <c r="A20" s="1" t="s">
        <v>296</v>
      </c>
    </row>
    <row r="21" spans="1:1" x14ac:dyDescent="0.25">
      <c r="A21" s="1" t="s">
        <v>297</v>
      </c>
    </row>
    <row r="22" spans="1:1" x14ac:dyDescent="0.25">
      <c r="A22" s="1" t="s">
        <v>298</v>
      </c>
    </row>
    <row r="23" spans="1:1" x14ac:dyDescent="0.25">
      <c r="A23" s="1" t="s">
        <v>299</v>
      </c>
    </row>
    <row r="24" spans="1:1" x14ac:dyDescent="0.25">
      <c r="A24" s="1" t="s">
        <v>300</v>
      </c>
    </row>
    <row r="25" spans="1:1" x14ac:dyDescent="0.25">
      <c r="A25" s="1" t="s">
        <v>301</v>
      </c>
    </row>
    <row r="26" spans="1:1" x14ac:dyDescent="0.25">
      <c r="A26" s="1" t="s">
        <v>302</v>
      </c>
    </row>
    <row r="27" spans="1:1" x14ac:dyDescent="0.25">
      <c r="A27" s="1" t="s">
        <v>303</v>
      </c>
    </row>
    <row r="28" spans="1:1" x14ac:dyDescent="0.25">
      <c r="A28" s="1" t="s">
        <v>304</v>
      </c>
    </row>
    <row r="29" spans="1:1" x14ac:dyDescent="0.25">
      <c r="A29" s="1" t="s">
        <v>305</v>
      </c>
    </row>
    <row r="30" spans="1:1" x14ac:dyDescent="0.25">
      <c r="A30" s="1" t="s">
        <v>306</v>
      </c>
    </row>
    <row r="31" spans="1:1" x14ac:dyDescent="0.25">
      <c r="A31" s="1" t="s">
        <v>307</v>
      </c>
    </row>
    <row r="32" spans="1:1" x14ac:dyDescent="0.25">
      <c r="A32" s="1" t="s">
        <v>308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309</v>
      </c>
      <c r="C1" s="8" t="s">
        <v>310</v>
      </c>
      <c r="D1" s="8" t="s">
        <v>311</v>
      </c>
      <c r="E1" s="107" t="s">
        <v>312</v>
      </c>
      <c r="F1" s="108"/>
      <c r="G1" s="109"/>
      <c r="H1" s="8" t="s">
        <v>314</v>
      </c>
      <c r="I1" s="8" t="s">
        <v>315</v>
      </c>
      <c r="J1" s="8" t="s">
        <v>316</v>
      </c>
      <c r="K1" s="8" t="s">
        <v>317</v>
      </c>
      <c r="L1" s="8" t="s">
        <v>318</v>
      </c>
      <c r="M1" s="8" t="s">
        <v>319</v>
      </c>
      <c r="N1" s="8" t="s">
        <v>320</v>
      </c>
      <c r="O1" s="9" t="s">
        <v>321</v>
      </c>
      <c r="P1" s="10" t="s">
        <v>315</v>
      </c>
      <c r="Q1" s="8" t="s">
        <v>313</v>
      </c>
      <c r="R1" s="11" t="s">
        <v>322</v>
      </c>
      <c r="T1" s="9" t="s">
        <v>323</v>
      </c>
    </row>
    <row r="2" spans="1:20" ht="15.75" thickBot="1" x14ac:dyDescent="0.3">
      <c r="A2" s="12">
        <v>1</v>
      </c>
      <c r="B2" s="13">
        <v>10003659</v>
      </c>
      <c r="C2" s="13" t="s">
        <v>324</v>
      </c>
      <c r="D2" s="13">
        <v>10003659</v>
      </c>
      <c r="E2" s="13" t="s">
        <v>325</v>
      </c>
      <c r="F2" s="13" t="s">
        <v>326</v>
      </c>
      <c r="G2" s="13" t="s">
        <v>327</v>
      </c>
      <c r="H2" s="13">
        <v>30070448</v>
      </c>
      <c r="I2" s="13" t="s">
        <v>329</v>
      </c>
      <c r="J2" s="12" t="s">
        <v>330</v>
      </c>
      <c r="K2" s="12" t="s">
        <v>331</v>
      </c>
      <c r="L2" s="13" t="s">
        <v>332</v>
      </c>
      <c r="M2" s="13" t="s">
        <v>333</v>
      </c>
      <c r="N2" s="14" t="s">
        <v>334</v>
      </c>
      <c r="O2" s="15" t="str">
        <f t="shared" ref="O2:O33" si="0">CONCATENATE(E2,"    ",F2,"    ",G2)</f>
        <v>FERNANDO    OLIVERA    ROCHA</v>
      </c>
      <c r="P2" s="13" t="s">
        <v>329</v>
      </c>
      <c r="Q2" s="13" t="s">
        <v>328</v>
      </c>
      <c r="R2" s="16" t="str">
        <f>CONCATENATE(M2,L2,K29)</f>
        <v>C2101     GEGCF51002C2104 GEG</v>
      </c>
      <c r="T2" s="1" t="s">
        <v>335</v>
      </c>
    </row>
    <row r="3" spans="1:20" ht="15.75" thickBot="1" x14ac:dyDescent="0.3">
      <c r="A3" s="12">
        <v>2</v>
      </c>
      <c r="B3" s="13">
        <v>10003659</v>
      </c>
      <c r="C3" s="13" t="s">
        <v>324</v>
      </c>
      <c r="D3" s="13">
        <v>10003659</v>
      </c>
      <c r="E3" s="13" t="s">
        <v>336</v>
      </c>
      <c r="F3" s="13" t="s">
        <v>337</v>
      </c>
      <c r="G3" s="13" t="s">
        <v>338</v>
      </c>
      <c r="H3" s="13">
        <v>30070547</v>
      </c>
      <c r="I3" s="13" t="s">
        <v>340</v>
      </c>
      <c r="J3" s="12" t="s">
        <v>330</v>
      </c>
      <c r="K3" s="12" t="s">
        <v>331</v>
      </c>
      <c r="L3" s="13" t="s">
        <v>341</v>
      </c>
      <c r="M3" s="13" t="s">
        <v>333</v>
      </c>
      <c r="N3" s="14" t="s">
        <v>334</v>
      </c>
      <c r="O3" s="15" t="str">
        <f t="shared" si="0"/>
        <v>MARICARMEN    VELA    ESCAMILLA</v>
      </c>
      <c r="P3" s="13" t="s">
        <v>340</v>
      </c>
      <c r="Q3" s="13" t="s">
        <v>339</v>
      </c>
      <c r="R3" s="16" t="str">
        <f t="shared" ref="R3:R66" si="1">CONCATENATE(M3,L3,K30)</f>
        <v>C2101     GEGCF12028C2102 GEG</v>
      </c>
      <c r="T3" s="1" t="s">
        <v>322</v>
      </c>
    </row>
    <row r="4" spans="1:20" ht="15.75" thickBot="1" x14ac:dyDescent="0.3">
      <c r="A4" s="12">
        <v>3</v>
      </c>
      <c r="B4" s="13">
        <v>10003665</v>
      </c>
      <c r="C4" s="13" t="s">
        <v>342</v>
      </c>
      <c r="D4" s="13">
        <v>10003665</v>
      </c>
      <c r="E4" s="13" t="s">
        <v>343</v>
      </c>
      <c r="F4" s="13" t="s">
        <v>344</v>
      </c>
      <c r="G4" s="13" t="s">
        <v>345</v>
      </c>
      <c r="H4" s="13">
        <v>30070552</v>
      </c>
      <c r="I4" s="13" t="s">
        <v>347</v>
      </c>
      <c r="J4" s="12" t="s">
        <v>330</v>
      </c>
      <c r="K4" s="12" t="s">
        <v>331</v>
      </c>
      <c r="L4" s="13" t="s">
        <v>348</v>
      </c>
      <c r="M4" s="13" t="s">
        <v>333</v>
      </c>
      <c r="N4" s="14" t="s">
        <v>334</v>
      </c>
      <c r="O4" s="15" t="str">
        <f t="shared" si="0"/>
        <v>JUAN IVAN    GARCIA    REYNA</v>
      </c>
      <c r="P4" s="13" t="s">
        <v>347</v>
      </c>
      <c r="Q4" s="13" t="s">
        <v>346</v>
      </c>
      <c r="R4" s="16" t="str">
        <f t="shared" si="1"/>
        <v>C2101     GEGOS05002C2102 GEG</v>
      </c>
      <c r="T4" s="1" t="s">
        <v>349</v>
      </c>
    </row>
    <row r="5" spans="1:20" ht="15.75" thickBot="1" x14ac:dyDescent="0.3">
      <c r="A5" s="12">
        <v>4</v>
      </c>
      <c r="B5" s="13">
        <v>10003665</v>
      </c>
      <c r="C5" s="13" t="s">
        <v>342</v>
      </c>
      <c r="D5" s="13">
        <v>10003665</v>
      </c>
      <c r="E5" s="13" t="s">
        <v>350</v>
      </c>
      <c r="F5" s="13" t="s">
        <v>351</v>
      </c>
      <c r="G5" s="13" t="s">
        <v>352</v>
      </c>
      <c r="H5" s="13">
        <v>30070553</v>
      </c>
      <c r="I5" s="13" t="s">
        <v>354</v>
      </c>
      <c r="J5" s="12" t="s">
        <v>330</v>
      </c>
      <c r="K5" s="12" t="s">
        <v>355</v>
      </c>
      <c r="L5" s="13" t="s">
        <v>348</v>
      </c>
      <c r="M5" s="13" t="s">
        <v>333</v>
      </c>
      <c r="N5" s="14" t="s">
        <v>334</v>
      </c>
      <c r="O5" s="15" t="str">
        <f t="shared" si="0"/>
        <v>ERNESTO RAMON    COVARRUBIAS    MARTINEZ</v>
      </c>
      <c r="P5" s="13" t="s">
        <v>354</v>
      </c>
      <c r="Q5" s="13" t="s">
        <v>353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356</v>
      </c>
      <c r="D6" s="13">
        <v>10003654</v>
      </c>
      <c r="E6" s="13" t="s">
        <v>357</v>
      </c>
      <c r="F6" s="13" t="s">
        <v>352</v>
      </c>
      <c r="G6" s="13" t="s">
        <v>358</v>
      </c>
      <c r="H6" s="13">
        <v>30070555</v>
      </c>
      <c r="I6" s="13" t="s">
        <v>360</v>
      </c>
      <c r="J6" s="12" t="s">
        <v>330</v>
      </c>
      <c r="K6" s="12" t="s">
        <v>355</v>
      </c>
      <c r="L6" s="13" t="s">
        <v>361</v>
      </c>
      <c r="M6" s="13" t="s">
        <v>362</v>
      </c>
      <c r="N6" s="14" t="s">
        <v>334</v>
      </c>
      <c r="O6" s="15" t="str">
        <f t="shared" si="0"/>
        <v>ROGELIO    MARTINEZ    CABALLERO</v>
      </c>
      <c r="P6" s="13" t="s">
        <v>360</v>
      </c>
      <c r="Q6" s="13" t="s">
        <v>359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363</v>
      </c>
      <c r="D7" s="13">
        <v>10003653</v>
      </c>
      <c r="E7" s="13" t="s">
        <v>364</v>
      </c>
      <c r="F7" s="13" t="s">
        <v>365</v>
      </c>
      <c r="G7" s="13" t="s">
        <v>366</v>
      </c>
      <c r="H7" s="13">
        <v>30070556</v>
      </c>
      <c r="I7" s="13" t="s">
        <v>368</v>
      </c>
      <c r="J7" s="12" t="s">
        <v>330</v>
      </c>
      <c r="K7" s="12" t="s">
        <v>355</v>
      </c>
      <c r="L7" s="13" t="s">
        <v>361</v>
      </c>
      <c r="M7" s="13" t="s">
        <v>369</v>
      </c>
      <c r="N7" s="14" t="s">
        <v>334</v>
      </c>
      <c r="O7" s="15" t="str">
        <f t="shared" si="0"/>
        <v>FRIDA XIMENA    HUETT    LOPEZ</v>
      </c>
      <c r="P7" s="13" t="s">
        <v>368</v>
      </c>
      <c r="Q7" s="13" t="s">
        <v>367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370</v>
      </c>
      <c r="D8" s="13">
        <v>10003661</v>
      </c>
      <c r="E8" s="13" t="s">
        <v>371</v>
      </c>
      <c r="F8" s="13" t="s">
        <v>372</v>
      </c>
      <c r="G8" s="13" t="s">
        <v>373</v>
      </c>
      <c r="H8" s="13">
        <v>30070557</v>
      </c>
      <c r="I8" s="13" t="s">
        <v>375</v>
      </c>
      <c r="J8" s="12" t="s">
        <v>330</v>
      </c>
      <c r="K8" s="12" t="s">
        <v>376</v>
      </c>
      <c r="L8" s="13" t="s">
        <v>361</v>
      </c>
      <c r="M8" s="13" t="s">
        <v>369</v>
      </c>
      <c r="N8" s="14" t="s">
        <v>334</v>
      </c>
      <c r="O8" s="15" t="str">
        <f t="shared" si="0"/>
        <v>MANUEL    CAMACHO    PICHARDO</v>
      </c>
      <c r="P8" s="13" t="s">
        <v>375</v>
      </c>
      <c r="Q8" s="13" t="s">
        <v>374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363</v>
      </c>
      <c r="D9" s="13">
        <v>10003653</v>
      </c>
      <c r="E9" s="13" t="s">
        <v>377</v>
      </c>
      <c r="F9" s="13" t="s">
        <v>378</v>
      </c>
      <c r="G9" s="13" t="s">
        <v>379</v>
      </c>
      <c r="H9" s="13">
        <v>30070562</v>
      </c>
      <c r="I9" s="13" t="s">
        <v>381</v>
      </c>
      <c r="J9" s="12" t="s">
        <v>330</v>
      </c>
      <c r="K9" s="12" t="s">
        <v>331</v>
      </c>
      <c r="L9" s="13" t="s">
        <v>382</v>
      </c>
      <c r="M9" s="13" t="s">
        <v>369</v>
      </c>
      <c r="N9" s="14" t="s">
        <v>334</v>
      </c>
      <c r="O9" s="15" t="str">
        <f t="shared" si="0"/>
        <v>MARIA DE LOURDES    PONCE DE LEON    MIRELES</v>
      </c>
      <c r="P9" s="13" t="s">
        <v>381</v>
      </c>
      <c r="Q9" s="13" t="s">
        <v>380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383</v>
      </c>
      <c r="D10" s="13">
        <v>10003652</v>
      </c>
      <c r="E10" s="13" t="s">
        <v>384</v>
      </c>
      <c r="F10" s="13" t="s">
        <v>385</v>
      </c>
      <c r="G10" s="13" t="s">
        <v>386</v>
      </c>
      <c r="H10" s="13">
        <v>30070566</v>
      </c>
      <c r="I10" s="13" t="s">
        <v>388</v>
      </c>
      <c r="J10" s="12" t="s">
        <v>330</v>
      </c>
      <c r="K10" s="12" t="s">
        <v>331</v>
      </c>
      <c r="L10" s="13" t="s">
        <v>389</v>
      </c>
      <c r="M10" s="13" t="s">
        <v>369</v>
      </c>
      <c r="N10" s="14" t="s">
        <v>334</v>
      </c>
      <c r="O10" s="15" t="str">
        <f t="shared" si="0"/>
        <v>TERESITA DE JESUS    TAVARES    GAYTAN</v>
      </c>
      <c r="P10" s="13" t="s">
        <v>388</v>
      </c>
      <c r="Q10" s="13" t="s">
        <v>387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390</v>
      </c>
      <c r="D11" s="13">
        <v>10003662</v>
      </c>
      <c r="E11" s="13" t="s">
        <v>391</v>
      </c>
      <c r="F11" s="13" t="s">
        <v>392</v>
      </c>
      <c r="G11" s="13" t="s">
        <v>393</v>
      </c>
      <c r="H11" s="13">
        <v>30070572</v>
      </c>
      <c r="I11" s="13" t="s">
        <v>395</v>
      </c>
      <c r="J11" s="12" t="s">
        <v>330</v>
      </c>
      <c r="K11" s="12" t="s">
        <v>331</v>
      </c>
      <c r="L11" s="13" t="s">
        <v>361</v>
      </c>
      <c r="M11" s="13" t="s">
        <v>396</v>
      </c>
      <c r="N11" s="14" t="s">
        <v>334</v>
      </c>
      <c r="O11" s="15" t="str">
        <f t="shared" si="0"/>
        <v>ADRIANA    COLLAZO    VALADEZ</v>
      </c>
      <c r="P11" s="13" t="s">
        <v>395</v>
      </c>
      <c r="Q11" s="13" t="s">
        <v>394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397</v>
      </c>
      <c r="D12" s="13">
        <v>10003660</v>
      </c>
      <c r="E12" s="13" t="s">
        <v>398</v>
      </c>
      <c r="F12" s="13" t="s">
        <v>399</v>
      </c>
      <c r="G12" s="13" t="s">
        <v>400</v>
      </c>
      <c r="H12" s="13">
        <v>30070573</v>
      </c>
      <c r="I12" s="13" t="s">
        <v>402</v>
      </c>
      <c r="J12" s="12" t="s">
        <v>330</v>
      </c>
      <c r="K12" s="12" t="s">
        <v>331</v>
      </c>
      <c r="L12" s="13" t="s">
        <v>361</v>
      </c>
      <c r="M12" s="13" t="s">
        <v>396</v>
      </c>
      <c r="N12" s="14" t="s">
        <v>334</v>
      </c>
      <c r="O12" s="15" t="str">
        <f t="shared" si="0"/>
        <v>MIRIAM CECILIA    ADAME    ALCARAZ</v>
      </c>
      <c r="P12" s="13" t="s">
        <v>402</v>
      </c>
      <c r="Q12" s="13" t="s">
        <v>401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397</v>
      </c>
      <c r="D13" s="13">
        <v>10003660</v>
      </c>
      <c r="E13" s="13" t="s">
        <v>391</v>
      </c>
      <c r="F13" s="13" t="s">
        <v>403</v>
      </c>
      <c r="G13" s="13" t="s">
        <v>404</v>
      </c>
      <c r="H13" s="13">
        <v>30070574</v>
      </c>
      <c r="I13" s="13" t="s">
        <v>406</v>
      </c>
      <c r="J13" s="12" t="s">
        <v>330</v>
      </c>
      <c r="K13" s="12" t="s">
        <v>331</v>
      </c>
      <c r="L13" s="13" t="s">
        <v>382</v>
      </c>
      <c r="M13" s="13" t="s">
        <v>396</v>
      </c>
      <c r="N13" s="14" t="s">
        <v>334</v>
      </c>
      <c r="O13" s="15" t="str">
        <f t="shared" si="0"/>
        <v>ADRIANA    JARDON    SALAZAR</v>
      </c>
      <c r="P13" s="13" t="s">
        <v>406</v>
      </c>
      <c r="Q13" s="13" t="s">
        <v>405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390</v>
      </c>
      <c r="D14" s="13">
        <v>10003662</v>
      </c>
      <c r="E14" s="13" t="s">
        <v>407</v>
      </c>
      <c r="F14" s="13" t="s">
        <v>408</v>
      </c>
      <c r="G14" s="13" t="s">
        <v>409</v>
      </c>
      <c r="H14" s="13">
        <v>30070575</v>
      </c>
      <c r="I14" s="13" t="s">
        <v>411</v>
      </c>
      <c r="J14" s="12" t="s">
        <v>330</v>
      </c>
      <c r="K14" s="12" t="s">
        <v>376</v>
      </c>
      <c r="L14" s="13" t="s">
        <v>382</v>
      </c>
      <c r="M14" s="13" t="s">
        <v>396</v>
      </c>
      <c r="N14" s="14" t="s">
        <v>334</v>
      </c>
      <c r="O14" s="15" t="str">
        <f t="shared" si="0"/>
        <v>ABRAHAM RAFAEL    NAVARRO    GONZALEZ</v>
      </c>
      <c r="P14" s="13" t="s">
        <v>411</v>
      </c>
      <c r="Q14" s="13" t="s">
        <v>410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390</v>
      </c>
      <c r="D15" s="13">
        <v>10003662</v>
      </c>
      <c r="E15" s="13" t="s">
        <v>412</v>
      </c>
      <c r="F15" s="13" t="s">
        <v>413</v>
      </c>
      <c r="G15" s="13" t="s">
        <v>414</v>
      </c>
      <c r="H15" s="13">
        <v>30070576</v>
      </c>
      <c r="I15" s="13" t="s">
        <v>416</v>
      </c>
      <c r="J15" s="12" t="s">
        <v>330</v>
      </c>
      <c r="K15" s="12" t="s">
        <v>376</v>
      </c>
      <c r="L15" s="13" t="s">
        <v>382</v>
      </c>
      <c r="M15" s="13" t="s">
        <v>396</v>
      </c>
      <c r="N15" s="14" t="s">
        <v>334</v>
      </c>
      <c r="O15" s="15" t="str">
        <f t="shared" si="0"/>
        <v>JAZMIN MARGARITA    LEON    MANRIQUE</v>
      </c>
      <c r="P15" s="13" t="s">
        <v>416</v>
      </c>
      <c r="Q15" s="13" t="s">
        <v>415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417</v>
      </c>
      <c r="D16" s="13">
        <v>10003666</v>
      </c>
      <c r="E16" s="13" t="s">
        <v>418</v>
      </c>
      <c r="F16" s="13" t="s">
        <v>419</v>
      </c>
      <c r="G16" s="13" t="s">
        <v>420</v>
      </c>
      <c r="H16" s="13">
        <v>30070580</v>
      </c>
      <c r="I16" s="13" t="s">
        <v>388</v>
      </c>
      <c r="J16" s="12" t="s">
        <v>330</v>
      </c>
      <c r="K16" s="12" t="s">
        <v>376</v>
      </c>
      <c r="L16" s="13" t="s">
        <v>389</v>
      </c>
      <c r="M16" s="13" t="s">
        <v>396</v>
      </c>
      <c r="N16" s="14" t="s">
        <v>334</v>
      </c>
      <c r="O16" s="15" t="str">
        <f t="shared" si="0"/>
        <v>BETZAHIRA SARAI    MENDOZA    MONTOYA</v>
      </c>
      <c r="P16" s="13" t="s">
        <v>388</v>
      </c>
      <c r="Q16" s="13" t="s">
        <v>421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342</v>
      </c>
      <c r="D17" s="13">
        <v>10003665</v>
      </c>
      <c r="E17" s="13" t="s">
        <v>422</v>
      </c>
      <c r="F17" s="13" t="s">
        <v>423</v>
      </c>
      <c r="G17" s="13" t="s">
        <v>424</v>
      </c>
      <c r="H17" s="13">
        <v>30070589</v>
      </c>
      <c r="I17" s="13" t="s">
        <v>426</v>
      </c>
      <c r="J17" s="12" t="s">
        <v>330</v>
      </c>
      <c r="K17" s="12" t="s">
        <v>331</v>
      </c>
      <c r="L17" s="13" t="s">
        <v>427</v>
      </c>
      <c r="M17" s="13" t="s">
        <v>333</v>
      </c>
      <c r="N17" s="14" t="s">
        <v>334</v>
      </c>
      <c r="O17" s="15" t="str">
        <f t="shared" si="0"/>
        <v>LILIA ANAYANSI    TAPIA    CURIEL</v>
      </c>
      <c r="P17" s="13" t="s">
        <v>426</v>
      </c>
      <c r="Q17" s="13" t="s">
        <v>425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428</v>
      </c>
      <c r="D18" s="13">
        <v>10003664</v>
      </c>
      <c r="E18" s="13" t="s">
        <v>429</v>
      </c>
      <c r="F18" s="13" t="s">
        <v>430</v>
      </c>
      <c r="G18" s="13" t="s">
        <v>431</v>
      </c>
      <c r="H18" s="13">
        <v>30070590</v>
      </c>
      <c r="I18" s="13" t="s">
        <v>433</v>
      </c>
      <c r="J18" s="12" t="s">
        <v>330</v>
      </c>
      <c r="K18" s="12" t="s">
        <v>355</v>
      </c>
      <c r="L18" s="13" t="s">
        <v>434</v>
      </c>
      <c r="M18" s="13" t="s">
        <v>333</v>
      </c>
      <c r="N18" s="14" t="s">
        <v>334</v>
      </c>
      <c r="O18" s="15" t="str">
        <f t="shared" si="0"/>
        <v>ILIANA ALEJANDRA    BERNARDINO    CRUZ</v>
      </c>
      <c r="P18" s="13" t="s">
        <v>433</v>
      </c>
      <c r="Q18" s="13" t="s">
        <v>432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435</v>
      </c>
      <c r="D19" s="13">
        <v>10003656</v>
      </c>
      <c r="E19" s="13" t="s">
        <v>436</v>
      </c>
      <c r="F19" s="13" t="s">
        <v>437</v>
      </c>
      <c r="G19" s="13" t="s">
        <v>438</v>
      </c>
      <c r="H19" s="13">
        <v>30070591</v>
      </c>
      <c r="I19" s="13" t="s">
        <v>440</v>
      </c>
      <c r="J19" s="12" t="s">
        <v>330</v>
      </c>
      <c r="K19" s="12" t="s">
        <v>355</v>
      </c>
      <c r="L19" s="13" t="s">
        <v>361</v>
      </c>
      <c r="M19" s="13" t="s">
        <v>362</v>
      </c>
      <c r="N19" s="14" t="s">
        <v>334</v>
      </c>
      <c r="O19" s="15" t="str">
        <f t="shared" si="0"/>
        <v>JORGE LUIS    CABREJOS    SAMAME</v>
      </c>
      <c r="P19" s="13" t="s">
        <v>440</v>
      </c>
      <c r="Q19" s="13" t="s">
        <v>439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435</v>
      </c>
      <c r="D20" s="13">
        <v>10003656</v>
      </c>
      <c r="E20" s="13" t="s">
        <v>441</v>
      </c>
      <c r="F20" s="13" t="s">
        <v>442</v>
      </c>
      <c r="G20" s="13" t="s">
        <v>443</v>
      </c>
      <c r="H20" s="13">
        <v>30070592</v>
      </c>
      <c r="I20" s="13" t="s">
        <v>445</v>
      </c>
      <c r="J20" s="12" t="s">
        <v>330</v>
      </c>
      <c r="K20" s="12" t="s">
        <v>355</v>
      </c>
      <c r="L20" s="13" t="s">
        <v>382</v>
      </c>
      <c r="M20" s="13" t="s">
        <v>362</v>
      </c>
      <c r="N20" s="14" t="s">
        <v>334</v>
      </c>
      <c r="O20" s="15" t="str">
        <f t="shared" si="0"/>
        <v>JOSE MARIA    MELGAR    AZANZA</v>
      </c>
      <c r="P20" s="13" t="s">
        <v>445</v>
      </c>
      <c r="Q20" s="13" t="s">
        <v>444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435</v>
      </c>
      <c r="D21" s="13">
        <v>10003656</v>
      </c>
      <c r="E21" s="13" t="s">
        <v>446</v>
      </c>
      <c r="F21" s="13" t="s">
        <v>352</v>
      </c>
      <c r="G21" s="13" t="s">
        <v>447</v>
      </c>
      <c r="H21" s="13">
        <v>30070593</v>
      </c>
      <c r="I21" s="13" t="s">
        <v>449</v>
      </c>
      <c r="J21" s="12" t="s">
        <v>330</v>
      </c>
      <c r="K21" s="12" t="s">
        <v>376</v>
      </c>
      <c r="L21" s="13" t="s">
        <v>382</v>
      </c>
      <c r="M21" s="13" t="s">
        <v>362</v>
      </c>
      <c r="N21" s="14" t="s">
        <v>334</v>
      </c>
      <c r="O21" s="15" t="str">
        <f t="shared" si="0"/>
        <v>BRENDA BIBIANA    MARTINEZ    AGUADO</v>
      </c>
      <c r="P21" s="13" t="s">
        <v>449</v>
      </c>
      <c r="Q21" s="13" t="s">
        <v>448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324</v>
      </c>
      <c r="D22" s="13">
        <v>10003659</v>
      </c>
      <c r="E22" s="13" t="s">
        <v>450</v>
      </c>
      <c r="F22" s="13" t="s">
        <v>344</v>
      </c>
      <c r="G22" s="13" t="s">
        <v>451</v>
      </c>
      <c r="H22" s="13">
        <v>30070594</v>
      </c>
      <c r="I22" s="13" t="s">
        <v>453</v>
      </c>
      <c r="J22" s="12" t="s">
        <v>330</v>
      </c>
      <c r="K22" s="12" t="s">
        <v>376</v>
      </c>
      <c r="L22" s="13" t="s">
        <v>382</v>
      </c>
      <c r="M22" s="13" t="s">
        <v>333</v>
      </c>
      <c r="N22" s="14" t="s">
        <v>334</v>
      </c>
      <c r="O22" s="15" t="str">
        <f t="shared" si="0"/>
        <v>LUCIA GABRIELA    GARCIA    NIETO</v>
      </c>
      <c r="P22" s="13" t="s">
        <v>453</v>
      </c>
      <c r="Q22" s="13" t="s">
        <v>452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428</v>
      </c>
      <c r="D23" s="13">
        <v>10003664</v>
      </c>
      <c r="E23" s="13" t="s">
        <v>454</v>
      </c>
      <c r="F23" s="13" t="s">
        <v>455</v>
      </c>
      <c r="G23" s="13" t="s">
        <v>456</v>
      </c>
      <c r="H23" s="13">
        <v>30070595</v>
      </c>
      <c r="I23" s="13" t="s">
        <v>458</v>
      </c>
      <c r="J23" s="12" t="s">
        <v>330</v>
      </c>
      <c r="K23" s="12" t="s">
        <v>376</v>
      </c>
      <c r="L23" s="13" t="s">
        <v>382</v>
      </c>
      <c r="M23" s="13" t="s">
        <v>333</v>
      </c>
      <c r="N23" s="14" t="s">
        <v>334</v>
      </c>
      <c r="O23" s="15" t="str">
        <f t="shared" si="0"/>
        <v>ARACELI    ROSALES    SANTOYO</v>
      </c>
      <c r="P23" s="13" t="s">
        <v>458</v>
      </c>
      <c r="Q23" s="13" t="s">
        <v>457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342</v>
      </c>
      <c r="D24" s="13">
        <v>10003665</v>
      </c>
      <c r="E24" s="13" t="s">
        <v>459</v>
      </c>
      <c r="F24" s="13" t="s">
        <v>460</v>
      </c>
      <c r="G24" s="13" t="s">
        <v>461</v>
      </c>
      <c r="H24" s="13">
        <v>30070596</v>
      </c>
      <c r="I24" s="13" t="s">
        <v>463</v>
      </c>
      <c r="J24" s="12" t="s">
        <v>330</v>
      </c>
      <c r="K24" s="12" t="s">
        <v>376</v>
      </c>
      <c r="L24" s="13" t="s">
        <v>464</v>
      </c>
      <c r="M24" s="13" t="s">
        <v>333</v>
      </c>
      <c r="N24" s="14" t="s">
        <v>334</v>
      </c>
      <c r="O24" s="15" t="str">
        <f t="shared" si="0"/>
        <v>ALDO GENARO    SANCHEZ    RODRIGUEZ</v>
      </c>
      <c r="P24" s="13" t="s">
        <v>463</v>
      </c>
      <c r="Q24" s="13" t="s">
        <v>462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342</v>
      </c>
      <c r="D25" s="13">
        <v>10003665</v>
      </c>
      <c r="E25" s="13" t="s">
        <v>465</v>
      </c>
      <c r="F25" s="13" t="s">
        <v>366</v>
      </c>
      <c r="G25" s="13" t="s">
        <v>366</v>
      </c>
      <c r="H25" s="13">
        <v>30070597</v>
      </c>
      <c r="I25" s="13" t="s">
        <v>467</v>
      </c>
      <c r="J25" s="12" t="s">
        <v>330</v>
      </c>
      <c r="K25" s="12" t="s">
        <v>376</v>
      </c>
      <c r="L25" s="13" t="s">
        <v>464</v>
      </c>
      <c r="M25" s="13" t="s">
        <v>333</v>
      </c>
      <c r="N25" s="14" t="s">
        <v>334</v>
      </c>
      <c r="O25" s="15" t="str">
        <f t="shared" si="0"/>
        <v>ANGELICA    LOPEZ    LOPEZ</v>
      </c>
      <c r="P25" s="13" t="s">
        <v>467</v>
      </c>
      <c r="Q25" s="13" t="s">
        <v>466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324</v>
      </c>
      <c r="D26" s="13">
        <v>10003659</v>
      </c>
      <c r="E26" s="13" t="s">
        <v>468</v>
      </c>
      <c r="F26" s="13" t="s">
        <v>469</v>
      </c>
      <c r="G26" s="13" t="s">
        <v>470</v>
      </c>
      <c r="H26" s="13">
        <v>30070598</v>
      </c>
      <c r="I26" s="13" t="s">
        <v>472</v>
      </c>
      <c r="J26" s="12" t="s">
        <v>330</v>
      </c>
      <c r="K26" s="12" t="s">
        <v>376</v>
      </c>
      <c r="L26" s="13" t="s">
        <v>473</v>
      </c>
      <c r="M26" s="13" t="s">
        <v>333</v>
      </c>
      <c r="N26" s="14" t="s">
        <v>334</v>
      </c>
      <c r="O26" s="15" t="str">
        <f t="shared" si="0"/>
        <v>CARLOS ENRIQUE    RIVERA    CORDERO</v>
      </c>
      <c r="P26" s="13" t="s">
        <v>472</v>
      </c>
      <c r="Q26" s="13" t="s">
        <v>471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324</v>
      </c>
      <c r="D27" s="13">
        <v>10003659</v>
      </c>
      <c r="E27" s="13" t="s">
        <v>474</v>
      </c>
      <c r="F27" s="13" t="s">
        <v>475</v>
      </c>
      <c r="G27" s="13" t="s">
        <v>476</v>
      </c>
      <c r="H27" s="13">
        <v>30070599</v>
      </c>
      <c r="I27" s="13" t="s">
        <v>478</v>
      </c>
      <c r="J27" s="12" t="s">
        <v>330</v>
      </c>
      <c r="K27" s="12" t="s">
        <v>376</v>
      </c>
      <c r="L27" s="13" t="s">
        <v>389</v>
      </c>
      <c r="M27" s="13" t="s">
        <v>333</v>
      </c>
      <c r="N27" s="14" t="s">
        <v>334</v>
      </c>
      <c r="O27" s="15" t="str">
        <f t="shared" si="0"/>
        <v>FIDEL RAMIRO    GUERRA    VALLEJO</v>
      </c>
      <c r="P27" s="13" t="s">
        <v>478</v>
      </c>
      <c r="Q27" s="13" t="s">
        <v>477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324</v>
      </c>
      <c r="D28" s="13">
        <v>10003659</v>
      </c>
      <c r="E28" s="13" t="s">
        <v>479</v>
      </c>
      <c r="F28" s="13" t="s">
        <v>480</v>
      </c>
      <c r="G28" s="13" t="s">
        <v>481</v>
      </c>
      <c r="H28" s="13">
        <v>30070600</v>
      </c>
      <c r="I28" s="13" t="s">
        <v>483</v>
      </c>
      <c r="J28" s="12" t="s">
        <v>330</v>
      </c>
      <c r="K28" s="12" t="s">
        <v>331</v>
      </c>
      <c r="L28" s="13" t="s">
        <v>389</v>
      </c>
      <c r="M28" s="13" t="s">
        <v>333</v>
      </c>
      <c r="N28" s="14" t="s">
        <v>334</v>
      </c>
      <c r="O28" s="15" t="str">
        <f t="shared" si="0"/>
        <v>MARTHA PATRICIA    URRUTIA    CORTES</v>
      </c>
      <c r="P28" s="13" t="s">
        <v>483</v>
      </c>
      <c r="Q28" s="13" t="s">
        <v>482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435</v>
      </c>
      <c r="D29" s="13">
        <v>10003656</v>
      </c>
      <c r="E29" s="13" t="s">
        <v>484</v>
      </c>
      <c r="F29" s="13" t="s">
        <v>485</v>
      </c>
      <c r="G29" s="13" t="s">
        <v>344</v>
      </c>
      <c r="H29" s="13">
        <v>30070601</v>
      </c>
      <c r="I29" s="13" t="s">
        <v>487</v>
      </c>
      <c r="J29" s="12" t="s">
        <v>330</v>
      </c>
      <c r="K29" s="12" t="s">
        <v>355</v>
      </c>
      <c r="L29" s="13" t="s">
        <v>488</v>
      </c>
      <c r="M29" s="13" t="s">
        <v>362</v>
      </c>
      <c r="N29" s="14" t="s">
        <v>334</v>
      </c>
      <c r="O29" s="15" t="str">
        <f t="shared" si="0"/>
        <v>JOSE DANIEL    SALAS    GARCIA</v>
      </c>
      <c r="P29" s="13" t="s">
        <v>487</v>
      </c>
      <c r="Q29" s="13" t="s">
        <v>486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435</v>
      </c>
      <c r="D30" s="13">
        <v>10003656</v>
      </c>
      <c r="E30" s="13" t="s">
        <v>489</v>
      </c>
      <c r="F30" s="13" t="s">
        <v>490</v>
      </c>
      <c r="G30" s="13" t="s">
        <v>491</v>
      </c>
      <c r="H30" s="13">
        <v>30070602</v>
      </c>
      <c r="I30" s="13" t="s">
        <v>493</v>
      </c>
      <c r="J30" s="12" t="s">
        <v>330</v>
      </c>
      <c r="K30" s="12" t="s">
        <v>376</v>
      </c>
      <c r="L30" s="13" t="s">
        <v>494</v>
      </c>
      <c r="M30" s="13" t="s">
        <v>362</v>
      </c>
      <c r="N30" s="14" t="s">
        <v>334</v>
      </c>
      <c r="O30" s="15" t="str">
        <f t="shared" si="0"/>
        <v>J JESUS    BARBOSA    AVILA</v>
      </c>
      <c r="P30" s="13" t="s">
        <v>493</v>
      </c>
      <c r="Q30" s="13" t="s">
        <v>492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370</v>
      </c>
      <c r="D31" s="13">
        <v>10003661</v>
      </c>
      <c r="E31" s="13" t="s">
        <v>495</v>
      </c>
      <c r="F31" s="13" t="s">
        <v>496</v>
      </c>
      <c r="G31" s="13" t="s">
        <v>497</v>
      </c>
      <c r="H31" s="13">
        <v>30070603</v>
      </c>
      <c r="I31" s="13" t="s">
        <v>499</v>
      </c>
      <c r="J31" s="12" t="s">
        <v>330</v>
      </c>
      <c r="K31" s="12" t="s">
        <v>376</v>
      </c>
      <c r="L31" s="13" t="s">
        <v>382</v>
      </c>
      <c r="M31" s="13" t="s">
        <v>369</v>
      </c>
      <c r="N31" s="14" t="s">
        <v>334</v>
      </c>
      <c r="O31" s="15" t="str">
        <f t="shared" si="0"/>
        <v>ADRIANA LORENA    JASSO    MEDINA</v>
      </c>
      <c r="P31" s="13" t="s">
        <v>499</v>
      </c>
      <c r="Q31" s="13" t="s">
        <v>498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356</v>
      </c>
      <c r="D32" s="13">
        <v>10003654</v>
      </c>
      <c r="E32" s="13" t="s">
        <v>500</v>
      </c>
      <c r="F32" s="13" t="s">
        <v>501</v>
      </c>
      <c r="G32" s="13" t="s">
        <v>409</v>
      </c>
      <c r="H32" s="13">
        <v>30070604</v>
      </c>
      <c r="I32" s="13" t="s">
        <v>503</v>
      </c>
      <c r="J32" s="12" t="s">
        <v>330</v>
      </c>
      <c r="K32" s="12" t="s">
        <v>376</v>
      </c>
      <c r="L32" s="13" t="s">
        <v>382</v>
      </c>
      <c r="M32" s="13" t="s">
        <v>362</v>
      </c>
      <c r="N32" s="14" t="s">
        <v>334</v>
      </c>
      <c r="O32" s="15" t="str">
        <f t="shared" si="0"/>
        <v>DORIS LORENA    ALBA    GONZALEZ</v>
      </c>
      <c r="P32" s="13" t="s">
        <v>503</v>
      </c>
      <c r="Q32" s="13" t="s">
        <v>502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363</v>
      </c>
      <c r="D33" s="13">
        <v>10003653</v>
      </c>
      <c r="E33" s="13" t="s">
        <v>504</v>
      </c>
      <c r="F33" s="13" t="s">
        <v>505</v>
      </c>
      <c r="G33" s="13" t="s">
        <v>506</v>
      </c>
      <c r="H33" s="13">
        <v>30070605</v>
      </c>
      <c r="I33" s="13" t="s">
        <v>508</v>
      </c>
      <c r="J33" s="12" t="s">
        <v>330</v>
      </c>
      <c r="K33" s="12" t="s">
        <v>509</v>
      </c>
      <c r="L33" s="13" t="s">
        <v>382</v>
      </c>
      <c r="M33" s="13" t="s">
        <v>369</v>
      </c>
      <c r="N33" s="14" t="s">
        <v>334</v>
      </c>
      <c r="O33" s="15" t="str">
        <f t="shared" si="0"/>
        <v>CECILIA    TERAN    OLMOS</v>
      </c>
      <c r="P33" s="13" t="s">
        <v>508</v>
      </c>
      <c r="Q33" s="13" t="s">
        <v>507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370</v>
      </c>
      <c r="D34" s="13">
        <v>10003661</v>
      </c>
      <c r="E34" s="13" t="s">
        <v>510</v>
      </c>
      <c r="F34" s="13" t="s">
        <v>511</v>
      </c>
      <c r="G34" s="13" t="s">
        <v>512</v>
      </c>
      <c r="H34" s="13">
        <v>30070606</v>
      </c>
      <c r="I34" s="13" t="s">
        <v>514</v>
      </c>
      <c r="J34" s="12" t="s">
        <v>330</v>
      </c>
      <c r="K34" s="12" t="s">
        <v>331</v>
      </c>
      <c r="L34" s="13" t="s">
        <v>382</v>
      </c>
      <c r="M34" s="13" t="s">
        <v>369</v>
      </c>
      <c r="N34" s="14" t="s">
        <v>334</v>
      </c>
      <c r="O34" s="15" t="str">
        <f t="shared" ref="O34:O65" si="2">CONCATENATE(E34,"    ",F34,"    ",G34)</f>
        <v>LUIS ENRIQUE    FLORES    GRANADOS</v>
      </c>
      <c r="P34" s="13" t="s">
        <v>514</v>
      </c>
      <c r="Q34" s="13" t="s">
        <v>513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515</v>
      </c>
      <c r="D35" s="13">
        <v>10003657</v>
      </c>
      <c r="E35" s="13" t="s">
        <v>516</v>
      </c>
      <c r="F35" s="13" t="s">
        <v>517</v>
      </c>
      <c r="G35" s="13" t="s">
        <v>518</v>
      </c>
      <c r="H35" s="13">
        <v>30070607</v>
      </c>
      <c r="I35" s="13" t="s">
        <v>520</v>
      </c>
      <c r="J35" s="12" t="s">
        <v>330</v>
      </c>
      <c r="K35" s="12" t="s">
        <v>331</v>
      </c>
      <c r="L35" s="13" t="s">
        <v>521</v>
      </c>
      <c r="M35" s="13" t="s">
        <v>362</v>
      </c>
      <c r="N35" s="14" t="s">
        <v>334</v>
      </c>
      <c r="O35" s="15" t="str">
        <f t="shared" si="2"/>
        <v>OCTAVIO HUMBERTO    AGUILAR    MATA</v>
      </c>
      <c r="P35" s="13" t="s">
        <v>520</v>
      </c>
      <c r="Q35" s="13" t="s">
        <v>519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522</v>
      </c>
      <c r="D36" s="13">
        <v>10003655</v>
      </c>
      <c r="E36" s="13" t="s">
        <v>391</v>
      </c>
      <c r="F36" s="13" t="s">
        <v>523</v>
      </c>
      <c r="G36" s="13" t="s">
        <v>461</v>
      </c>
      <c r="H36" s="13">
        <v>30070608</v>
      </c>
      <c r="I36" s="13" t="s">
        <v>525</v>
      </c>
      <c r="J36" s="12" t="s">
        <v>330</v>
      </c>
      <c r="K36" s="12" t="s">
        <v>376</v>
      </c>
      <c r="L36" s="13" t="s">
        <v>361</v>
      </c>
      <c r="M36" s="13" t="s">
        <v>362</v>
      </c>
      <c r="N36" s="14" t="s">
        <v>334</v>
      </c>
      <c r="O36" s="15" t="str">
        <f t="shared" si="2"/>
        <v>ADRIANA    ISLAS    RODRIGUEZ</v>
      </c>
      <c r="P36" s="13" t="s">
        <v>525</v>
      </c>
      <c r="Q36" s="13" t="s">
        <v>524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526</v>
      </c>
      <c r="D37" s="13">
        <v>10003663</v>
      </c>
      <c r="E37" s="13" t="s">
        <v>527</v>
      </c>
      <c r="F37" s="13" t="s">
        <v>528</v>
      </c>
      <c r="G37" s="13" t="s">
        <v>366</v>
      </c>
      <c r="H37" s="13">
        <v>30070609</v>
      </c>
      <c r="I37" s="13" t="s">
        <v>530</v>
      </c>
      <c r="J37" s="12" t="s">
        <v>330</v>
      </c>
      <c r="K37" s="12" t="s">
        <v>331</v>
      </c>
      <c r="L37" s="13" t="s">
        <v>361</v>
      </c>
      <c r="M37" s="13" t="s">
        <v>362</v>
      </c>
      <c r="N37" s="14" t="s">
        <v>334</v>
      </c>
      <c r="O37" s="15" t="str">
        <f t="shared" si="2"/>
        <v>RICARDO    VAZQUEZ    LOPEZ</v>
      </c>
      <c r="P37" s="13" t="s">
        <v>530</v>
      </c>
      <c r="Q37" s="13" t="s">
        <v>529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522</v>
      </c>
      <c r="D38" s="13">
        <v>10003655</v>
      </c>
      <c r="E38" s="13" t="s">
        <v>531</v>
      </c>
      <c r="F38" s="13" t="s">
        <v>532</v>
      </c>
      <c r="G38" s="13" t="s">
        <v>533</v>
      </c>
      <c r="H38" s="13">
        <v>30070611</v>
      </c>
      <c r="I38" s="13" t="s">
        <v>535</v>
      </c>
      <c r="J38" s="12" t="s">
        <v>330</v>
      </c>
      <c r="K38" s="12" t="s">
        <v>355</v>
      </c>
      <c r="L38" s="13" t="s">
        <v>382</v>
      </c>
      <c r="M38" s="13" t="s">
        <v>362</v>
      </c>
      <c r="N38" s="14" t="s">
        <v>334</v>
      </c>
      <c r="O38" s="15" t="str">
        <f t="shared" si="2"/>
        <v>SERGIO KARLO    BELTRAN    LARA</v>
      </c>
      <c r="P38" s="13" t="s">
        <v>535</v>
      </c>
      <c r="Q38" s="13" t="s">
        <v>534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526</v>
      </c>
      <c r="D39" s="13">
        <v>10003663</v>
      </c>
      <c r="E39" s="13" t="s">
        <v>536</v>
      </c>
      <c r="F39" s="13" t="s">
        <v>537</v>
      </c>
      <c r="G39" s="13" t="s">
        <v>538</v>
      </c>
      <c r="H39" s="13">
        <v>30070612</v>
      </c>
      <c r="I39" s="13" t="s">
        <v>540</v>
      </c>
      <c r="J39" s="12" t="s">
        <v>330</v>
      </c>
      <c r="K39" s="12" t="s">
        <v>355</v>
      </c>
      <c r="L39" s="13" t="s">
        <v>382</v>
      </c>
      <c r="M39" s="13" t="s">
        <v>362</v>
      </c>
      <c r="N39" s="14" t="s">
        <v>334</v>
      </c>
      <c r="O39" s="15" t="str">
        <f t="shared" si="2"/>
        <v>MA CONSUELO    HERNANDEZ    PEREZ</v>
      </c>
      <c r="P39" s="13" t="s">
        <v>540</v>
      </c>
      <c r="Q39" s="13" t="s">
        <v>539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435</v>
      </c>
      <c r="D40" s="13">
        <v>10003656</v>
      </c>
      <c r="E40" s="13" t="s">
        <v>541</v>
      </c>
      <c r="F40" s="13" t="s">
        <v>542</v>
      </c>
      <c r="G40" s="13" t="s">
        <v>431</v>
      </c>
      <c r="H40" s="13">
        <v>30070613</v>
      </c>
      <c r="I40" s="13" t="s">
        <v>544</v>
      </c>
      <c r="J40" s="12" t="s">
        <v>330</v>
      </c>
      <c r="K40" s="12" t="s">
        <v>355</v>
      </c>
      <c r="L40" s="13" t="s">
        <v>382</v>
      </c>
      <c r="M40" s="13" t="s">
        <v>362</v>
      </c>
      <c r="N40" s="14" t="s">
        <v>334</v>
      </c>
      <c r="O40" s="15" t="str">
        <f t="shared" si="2"/>
        <v>MARISELA    CAMPOS    CRUZ</v>
      </c>
      <c r="P40" s="13" t="s">
        <v>544</v>
      </c>
      <c r="Q40" s="13" t="s">
        <v>543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526</v>
      </c>
      <c r="D41" s="13">
        <v>10003663</v>
      </c>
      <c r="E41" s="13" t="s">
        <v>545</v>
      </c>
      <c r="F41" s="13" t="s">
        <v>546</v>
      </c>
      <c r="G41" s="13" t="s">
        <v>547</v>
      </c>
      <c r="H41" s="13">
        <v>30070614</v>
      </c>
      <c r="I41" s="13" t="s">
        <v>549</v>
      </c>
      <c r="J41" s="12" t="s">
        <v>330</v>
      </c>
      <c r="K41" s="12" t="s">
        <v>331</v>
      </c>
      <c r="L41" s="13" t="s">
        <v>382</v>
      </c>
      <c r="M41" s="13" t="s">
        <v>362</v>
      </c>
      <c r="N41" s="14" t="s">
        <v>334</v>
      </c>
      <c r="O41" s="15" t="str">
        <f t="shared" si="2"/>
        <v>JONATHAN HAZAEL    MARES    MENDEZ</v>
      </c>
      <c r="P41" s="13" t="s">
        <v>549</v>
      </c>
      <c r="Q41" s="13" t="s">
        <v>548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515</v>
      </c>
      <c r="D42" s="13">
        <v>10003657</v>
      </c>
      <c r="E42" s="13" t="s">
        <v>550</v>
      </c>
      <c r="F42" s="13" t="s">
        <v>461</v>
      </c>
      <c r="G42" s="13" t="s">
        <v>551</v>
      </c>
      <c r="H42" s="13">
        <v>30070615</v>
      </c>
      <c r="I42" s="13" t="s">
        <v>388</v>
      </c>
      <c r="J42" s="12" t="s">
        <v>330</v>
      </c>
      <c r="K42" s="12" t="s">
        <v>376</v>
      </c>
      <c r="L42" s="13" t="s">
        <v>488</v>
      </c>
      <c r="M42" s="13" t="s">
        <v>362</v>
      </c>
      <c r="N42" s="14" t="s">
        <v>334</v>
      </c>
      <c r="O42" s="15" t="str">
        <f t="shared" si="2"/>
        <v>GLORIA    RODRIGUEZ    ZARATE</v>
      </c>
      <c r="P42" s="13" t="s">
        <v>388</v>
      </c>
      <c r="Q42" s="13" t="s">
        <v>552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417</v>
      </c>
      <c r="D43" s="13">
        <v>10003666</v>
      </c>
      <c r="E43" s="13" t="s">
        <v>553</v>
      </c>
      <c r="F43" s="13" t="s">
        <v>554</v>
      </c>
      <c r="G43" s="13" t="s">
        <v>537</v>
      </c>
      <c r="H43" s="13">
        <v>30070616</v>
      </c>
      <c r="I43" s="13" t="s">
        <v>556</v>
      </c>
      <c r="J43" s="12" t="s">
        <v>330</v>
      </c>
      <c r="K43" s="12" t="s">
        <v>355</v>
      </c>
      <c r="L43" s="13" t="s">
        <v>557</v>
      </c>
      <c r="M43" s="13" t="s">
        <v>396</v>
      </c>
      <c r="N43" s="14" t="s">
        <v>334</v>
      </c>
      <c r="O43" s="15" t="str">
        <f t="shared" si="2"/>
        <v>ROBERTO WILLEBALDO    CARDENAS    HERNANDEZ</v>
      </c>
      <c r="P43" s="13" t="s">
        <v>556</v>
      </c>
      <c r="Q43" s="13" t="s">
        <v>555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397</v>
      </c>
      <c r="D44" s="13">
        <v>10003660</v>
      </c>
      <c r="E44" s="13" t="s">
        <v>558</v>
      </c>
      <c r="F44" s="13" t="s">
        <v>559</v>
      </c>
      <c r="G44" s="13" t="s">
        <v>560</v>
      </c>
      <c r="H44" s="13">
        <v>30070617</v>
      </c>
      <c r="I44" s="13" t="s">
        <v>562</v>
      </c>
      <c r="J44" s="12" t="s">
        <v>330</v>
      </c>
      <c r="K44" s="12" t="s">
        <v>355</v>
      </c>
      <c r="L44" s="13" t="s">
        <v>488</v>
      </c>
      <c r="M44" s="13" t="s">
        <v>396</v>
      </c>
      <c r="N44" s="14" t="s">
        <v>334</v>
      </c>
      <c r="O44" s="15" t="str">
        <f t="shared" si="2"/>
        <v>LUZ MARGARITA    ROBLEDO    OLIVARES</v>
      </c>
      <c r="P44" s="13" t="s">
        <v>562</v>
      </c>
      <c r="Q44" s="13" t="s">
        <v>561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397</v>
      </c>
      <c r="D45" s="13">
        <v>10003660</v>
      </c>
      <c r="E45" s="13" t="s">
        <v>563</v>
      </c>
      <c r="F45" s="13" t="s">
        <v>564</v>
      </c>
      <c r="G45" s="13" t="s">
        <v>538</v>
      </c>
      <c r="H45" s="13">
        <v>30070618</v>
      </c>
      <c r="I45" s="13" t="s">
        <v>566</v>
      </c>
      <c r="J45" s="17" t="s">
        <v>330</v>
      </c>
      <c r="K45" s="17" t="s">
        <v>331</v>
      </c>
      <c r="L45" s="13" t="s">
        <v>567</v>
      </c>
      <c r="M45" s="13" t="s">
        <v>396</v>
      </c>
      <c r="N45" s="18" t="s">
        <v>334</v>
      </c>
      <c r="O45" s="15" t="str">
        <f t="shared" si="2"/>
        <v>IRAZEMA DEL ROCIO    ALVAREZ    PEREZ</v>
      </c>
      <c r="P45" s="13" t="s">
        <v>566</v>
      </c>
      <c r="Q45" s="13" t="s">
        <v>565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363</v>
      </c>
      <c r="D46" s="13">
        <v>10003653</v>
      </c>
      <c r="E46" s="13" t="s">
        <v>568</v>
      </c>
      <c r="F46" s="13" t="s">
        <v>569</v>
      </c>
      <c r="G46" s="13" t="s">
        <v>570</v>
      </c>
      <c r="H46" s="13">
        <v>30072744</v>
      </c>
      <c r="I46" s="13" t="s">
        <v>572</v>
      </c>
      <c r="J46" s="19"/>
      <c r="K46" s="19"/>
      <c r="L46" s="13" t="s">
        <v>573</v>
      </c>
      <c r="M46" s="13" t="s">
        <v>369</v>
      </c>
      <c r="N46" s="20" t="s">
        <v>334</v>
      </c>
      <c r="O46" s="15" t="str">
        <f t="shared" si="2"/>
        <v>PAOLA    RAMOS    VERA</v>
      </c>
      <c r="P46" s="13" t="s">
        <v>572</v>
      </c>
      <c r="Q46" s="13" t="s">
        <v>571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370</v>
      </c>
      <c r="D47" s="13">
        <v>10003661</v>
      </c>
      <c r="E47" s="13" t="s">
        <v>574</v>
      </c>
      <c r="F47" s="13" t="s">
        <v>366</v>
      </c>
      <c r="G47" s="13" t="s">
        <v>409</v>
      </c>
      <c r="H47" s="13">
        <v>30072749</v>
      </c>
      <c r="I47" s="13" t="s">
        <v>576</v>
      </c>
      <c r="J47" s="19"/>
      <c r="K47" s="19"/>
      <c r="L47" s="13" t="s">
        <v>488</v>
      </c>
      <c r="M47" s="13" t="s">
        <v>369</v>
      </c>
      <c r="N47" s="20" t="s">
        <v>334</v>
      </c>
      <c r="O47" s="15" t="str">
        <f t="shared" si="2"/>
        <v>TANIA LUCERO    LOPEZ    GONZALEZ</v>
      </c>
      <c r="P47" s="13" t="s">
        <v>576</v>
      </c>
      <c r="Q47" s="13" t="s">
        <v>575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324</v>
      </c>
      <c r="D48" s="13">
        <v>10003659</v>
      </c>
      <c r="E48" s="13" t="s">
        <v>577</v>
      </c>
      <c r="F48" s="13" t="s">
        <v>578</v>
      </c>
      <c r="G48" s="13" t="s">
        <v>344</v>
      </c>
      <c r="H48" s="13">
        <v>30077988</v>
      </c>
      <c r="I48" s="13" t="s">
        <v>580</v>
      </c>
      <c r="J48" s="19"/>
      <c r="K48" s="19"/>
      <c r="L48" s="13" t="s">
        <v>581</v>
      </c>
      <c r="M48" s="13" t="s">
        <v>333</v>
      </c>
      <c r="N48" s="20" t="s">
        <v>334</v>
      </c>
      <c r="O48" s="15" t="str">
        <f t="shared" si="2"/>
        <v>JUAN ANGEL    HORTA    GARCIA</v>
      </c>
      <c r="P48" s="13" t="s">
        <v>580</v>
      </c>
      <c r="Q48" s="13" t="s">
        <v>579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342</v>
      </c>
      <c r="D49" s="13">
        <v>10003665</v>
      </c>
      <c r="E49" s="13" t="s">
        <v>582</v>
      </c>
      <c r="F49" s="13" t="s">
        <v>409</v>
      </c>
      <c r="G49" s="13" t="s">
        <v>583</v>
      </c>
      <c r="H49" s="13">
        <v>30089403</v>
      </c>
      <c r="I49" s="13" t="s">
        <v>354</v>
      </c>
      <c r="J49" s="19"/>
      <c r="K49" s="19"/>
      <c r="L49" s="13" t="s">
        <v>348</v>
      </c>
      <c r="M49" s="13" t="s">
        <v>333</v>
      </c>
      <c r="N49" s="20" t="s">
        <v>334</v>
      </c>
      <c r="O49" s="15" t="str">
        <f t="shared" si="2"/>
        <v>ALVARO    GONZALEZ    ARREDONDO</v>
      </c>
      <c r="P49" s="13" t="s">
        <v>354</v>
      </c>
      <c r="Q49" s="13" t="s">
        <v>584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342</v>
      </c>
      <c r="D50" s="13">
        <v>10003665</v>
      </c>
      <c r="E50" s="13" t="s">
        <v>585</v>
      </c>
      <c r="F50" s="13" t="s">
        <v>456</v>
      </c>
      <c r="G50" s="13" t="s">
        <v>586</v>
      </c>
      <c r="H50" s="13">
        <v>30089404</v>
      </c>
      <c r="I50" s="13" t="s">
        <v>588</v>
      </c>
      <c r="J50" s="19"/>
      <c r="K50" s="19"/>
      <c r="L50" s="13" t="s">
        <v>348</v>
      </c>
      <c r="M50" s="13" t="s">
        <v>333</v>
      </c>
      <c r="N50" s="20" t="s">
        <v>334</v>
      </c>
      <c r="O50" s="15" t="str">
        <f t="shared" si="2"/>
        <v>DOLORES ARMANDO    SANTOYO    HIDALGO</v>
      </c>
      <c r="P50" s="13" t="s">
        <v>588</v>
      </c>
      <c r="Q50" s="13" t="s">
        <v>587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515</v>
      </c>
      <c r="D51" s="13">
        <v>10003657</v>
      </c>
      <c r="E51" s="13" t="s">
        <v>589</v>
      </c>
      <c r="F51" s="13" t="s">
        <v>590</v>
      </c>
      <c r="G51" s="13" t="s">
        <v>352</v>
      </c>
      <c r="H51" s="13">
        <v>30089405</v>
      </c>
      <c r="I51" s="13" t="s">
        <v>478</v>
      </c>
      <c r="J51" s="19"/>
      <c r="K51" s="19"/>
      <c r="L51" s="13" t="s">
        <v>389</v>
      </c>
      <c r="M51" s="13" t="s">
        <v>362</v>
      </c>
      <c r="N51" s="20" t="s">
        <v>334</v>
      </c>
      <c r="O51" s="15" t="str">
        <f t="shared" si="2"/>
        <v>LUIS ALBERTO    ESPINOZA    MARTINEZ</v>
      </c>
      <c r="P51" s="13" t="s">
        <v>478</v>
      </c>
      <c r="Q51" s="13" t="s">
        <v>591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342</v>
      </c>
      <c r="D52" s="13">
        <v>10003665</v>
      </c>
      <c r="E52" s="13" t="s">
        <v>592</v>
      </c>
      <c r="F52" s="13" t="s">
        <v>497</v>
      </c>
      <c r="G52" s="13" t="s">
        <v>551</v>
      </c>
      <c r="H52" s="13">
        <v>30089406</v>
      </c>
      <c r="I52" s="13" t="s">
        <v>594</v>
      </c>
      <c r="J52" s="19"/>
      <c r="K52" s="19"/>
      <c r="L52" s="13" t="s">
        <v>595</v>
      </c>
      <c r="M52" s="13" t="s">
        <v>333</v>
      </c>
      <c r="N52" s="20" t="s">
        <v>334</v>
      </c>
      <c r="O52" s="15" t="str">
        <f t="shared" si="2"/>
        <v>MA GUADALUPE    MEDINA    ZARATE</v>
      </c>
      <c r="P52" s="13" t="s">
        <v>594</v>
      </c>
      <c r="Q52" s="13" t="s">
        <v>593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324</v>
      </c>
      <c r="D53" s="13">
        <v>10003659</v>
      </c>
      <c r="E53" s="13" t="s">
        <v>596</v>
      </c>
      <c r="F53" s="13" t="s">
        <v>597</v>
      </c>
      <c r="G53" s="13" t="s">
        <v>598</v>
      </c>
      <c r="H53" s="13">
        <v>30089407</v>
      </c>
      <c r="I53" s="13" t="s">
        <v>600</v>
      </c>
      <c r="J53" s="19"/>
      <c r="K53" s="19"/>
      <c r="L53" s="13" t="s">
        <v>601</v>
      </c>
      <c r="M53" s="13" t="s">
        <v>333</v>
      </c>
      <c r="N53" s="20" t="s">
        <v>334</v>
      </c>
      <c r="O53" s="15" t="str">
        <f t="shared" si="2"/>
        <v>DULCE MARIA TERESITA    CABRERA    SOLANO</v>
      </c>
      <c r="P53" s="13" t="s">
        <v>600</v>
      </c>
      <c r="Q53" s="13" t="s">
        <v>599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342</v>
      </c>
      <c r="D54" s="13">
        <v>10003665</v>
      </c>
      <c r="E54" s="13" t="s">
        <v>602</v>
      </c>
      <c r="F54" s="13" t="s">
        <v>603</v>
      </c>
      <c r="G54" s="13" t="s">
        <v>604</v>
      </c>
      <c r="H54" s="13">
        <v>30089408</v>
      </c>
      <c r="I54" s="13" t="s">
        <v>606</v>
      </c>
      <c r="J54" s="19"/>
      <c r="K54" s="19"/>
      <c r="L54" s="13" t="s">
        <v>595</v>
      </c>
      <c r="M54" s="13" t="s">
        <v>333</v>
      </c>
      <c r="N54" s="20" t="s">
        <v>334</v>
      </c>
      <c r="O54" s="15" t="str">
        <f t="shared" si="2"/>
        <v>MONICA ISABEL    RICO    GAMIÑO</v>
      </c>
      <c r="P54" s="13" t="s">
        <v>606</v>
      </c>
      <c r="Q54" s="13" t="s">
        <v>605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428</v>
      </c>
      <c r="D55" s="13">
        <v>10003664</v>
      </c>
      <c r="E55" s="13" t="s">
        <v>607</v>
      </c>
      <c r="F55" s="13" t="s">
        <v>564</v>
      </c>
      <c r="G55" s="13" t="s">
        <v>344</v>
      </c>
      <c r="H55" s="13">
        <v>30089410</v>
      </c>
      <c r="I55" s="13" t="s">
        <v>609</v>
      </c>
      <c r="J55" s="19"/>
      <c r="K55" s="19"/>
      <c r="L55" s="13" t="s">
        <v>595</v>
      </c>
      <c r="M55" s="13" t="s">
        <v>333</v>
      </c>
      <c r="N55" s="20" t="s">
        <v>334</v>
      </c>
      <c r="O55" s="15" t="str">
        <f t="shared" si="2"/>
        <v>GRACIELA    ALVAREZ    GARCIA</v>
      </c>
      <c r="P55" s="13" t="s">
        <v>609</v>
      </c>
      <c r="Q55" s="13" t="s">
        <v>608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435</v>
      </c>
      <c r="D56" s="13">
        <v>10003656</v>
      </c>
      <c r="E56" s="13" t="s">
        <v>610</v>
      </c>
      <c r="F56" s="13" t="s">
        <v>611</v>
      </c>
      <c r="G56" s="13" t="s">
        <v>612</v>
      </c>
      <c r="H56" s="13">
        <v>30089411</v>
      </c>
      <c r="I56" s="13" t="s">
        <v>614</v>
      </c>
      <c r="J56" s="19"/>
      <c r="K56" s="19"/>
      <c r="L56" s="13" t="s">
        <v>595</v>
      </c>
      <c r="M56" s="13" t="s">
        <v>362</v>
      </c>
      <c r="N56" s="20" t="s">
        <v>334</v>
      </c>
      <c r="O56" s="15" t="str">
        <f t="shared" si="2"/>
        <v>GESARELA    MARISCAL    CALDERON</v>
      </c>
      <c r="P56" s="13" t="s">
        <v>614</v>
      </c>
      <c r="Q56" s="13" t="s">
        <v>613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342</v>
      </c>
      <c r="D57" s="13">
        <v>10003665</v>
      </c>
      <c r="E57" s="13" t="s">
        <v>615</v>
      </c>
      <c r="F57" s="13" t="s">
        <v>616</v>
      </c>
      <c r="G57" s="13" t="s">
        <v>617</v>
      </c>
      <c r="H57" s="13">
        <v>30089412</v>
      </c>
      <c r="I57" s="13" t="s">
        <v>619</v>
      </c>
      <c r="J57" s="19"/>
      <c r="K57" s="19"/>
      <c r="L57" s="13" t="s">
        <v>601</v>
      </c>
      <c r="M57" s="13" t="s">
        <v>333</v>
      </c>
      <c r="N57" s="20" t="s">
        <v>334</v>
      </c>
      <c r="O57" s="15" t="str">
        <f t="shared" si="2"/>
        <v>ARNULFO    OLVERA    NOVOA</v>
      </c>
      <c r="P57" s="13" t="s">
        <v>619</v>
      </c>
      <c r="Q57" s="13" t="s">
        <v>618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342</v>
      </c>
      <c r="D58" s="13">
        <v>10003665</v>
      </c>
      <c r="E58" s="13" t="s">
        <v>620</v>
      </c>
      <c r="F58" s="13" t="s">
        <v>621</v>
      </c>
      <c r="G58" s="13" t="s">
        <v>622</v>
      </c>
      <c r="H58" s="13">
        <v>30089413</v>
      </c>
      <c r="I58" s="13" t="s">
        <v>624</v>
      </c>
      <c r="J58" s="19"/>
      <c r="K58" s="19"/>
      <c r="L58" s="13" t="s">
        <v>601</v>
      </c>
      <c r="M58" s="13" t="s">
        <v>333</v>
      </c>
      <c r="N58" s="20" t="s">
        <v>334</v>
      </c>
      <c r="O58" s="15" t="str">
        <f t="shared" si="2"/>
        <v>JESSICA    AGUILERA    ZAVALA</v>
      </c>
      <c r="P58" s="13" t="s">
        <v>624</v>
      </c>
      <c r="Q58" s="13" t="s">
        <v>623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342</v>
      </c>
      <c r="D59" s="13">
        <v>10003665</v>
      </c>
      <c r="E59" s="13" t="s">
        <v>625</v>
      </c>
      <c r="F59" s="13" t="s">
        <v>461</v>
      </c>
      <c r="G59" s="13" t="s">
        <v>409</v>
      </c>
      <c r="H59" s="13">
        <v>30089414</v>
      </c>
      <c r="I59" s="13" t="s">
        <v>627</v>
      </c>
      <c r="J59" s="19"/>
      <c r="K59" s="19"/>
      <c r="L59" s="13" t="s">
        <v>601</v>
      </c>
      <c r="M59" s="13" t="s">
        <v>333</v>
      </c>
      <c r="N59" s="20" t="s">
        <v>334</v>
      </c>
      <c r="O59" s="15" t="str">
        <f t="shared" si="2"/>
        <v>LUZ JOHANA    RODRIGUEZ    GONZALEZ</v>
      </c>
      <c r="P59" s="13" t="s">
        <v>627</v>
      </c>
      <c r="Q59" s="13" t="s">
        <v>626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342</v>
      </c>
      <c r="D60" s="13">
        <v>10003665</v>
      </c>
      <c r="E60" s="13" t="s">
        <v>628</v>
      </c>
      <c r="F60" s="13" t="s">
        <v>569</v>
      </c>
      <c r="G60" s="13" t="s">
        <v>629</v>
      </c>
      <c r="H60" s="13">
        <v>30089415</v>
      </c>
      <c r="I60" s="13" t="s">
        <v>631</v>
      </c>
      <c r="J60" s="19"/>
      <c r="K60" s="19"/>
      <c r="L60" s="13" t="s">
        <v>601</v>
      </c>
      <c r="M60" s="13" t="s">
        <v>333</v>
      </c>
      <c r="N60" s="20" t="s">
        <v>334</v>
      </c>
      <c r="O60" s="15" t="str">
        <f t="shared" si="2"/>
        <v>ANA MARIA    RAMOS    CHAVIRA</v>
      </c>
      <c r="P60" s="13" t="s">
        <v>631</v>
      </c>
      <c r="Q60" s="13" t="s">
        <v>630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342</v>
      </c>
      <c r="D61" s="13">
        <v>10003665</v>
      </c>
      <c r="E61" s="13" t="s">
        <v>632</v>
      </c>
      <c r="F61" s="13" t="s">
        <v>633</v>
      </c>
      <c r="G61" s="13" t="s">
        <v>461</v>
      </c>
      <c r="H61" s="13">
        <v>30089416</v>
      </c>
      <c r="I61" s="13" t="s">
        <v>635</v>
      </c>
      <c r="J61" s="19"/>
      <c r="K61" s="19"/>
      <c r="L61" s="13" t="s">
        <v>601</v>
      </c>
      <c r="M61" s="13" t="s">
        <v>333</v>
      </c>
      <c r="N61" s="20" t="s">
        <v>334</v>
      </c>
      <c r="O61" s="15" t="str">
        <f t="shared" si="2"/>
        <v>LAURA SAMANTHA    VARELA    RODRIGUEZ</v>
      </c>
      <c r="P61" s="13" t="s">
        <v>635</v>
      </c>
      <c r="Q61" s="13" t="s">
        <v>634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428</v>
      </c>
      <c r="D62" s="13">
        <v>10003664</v>
      </c>
      <c r="E62" s="13" t="s">
        <v>636</v>
      </c>
      <c r="F62" s="13" t="s">
        <v>637</v>
      </c>
      <c r="G62" s="13" t="s">
        <v>638</v>
      </c>
      <c r="H62" s="13">
        <v>30089417</v>
      </c>
      <c r="I62" s="13" t="s">
        <v>640</v>
      </c>
      <c r="J62" s="19"/>
      <c r="K62" s="19"/>
      <c r="L62" s="13" t="s">
        <v>641</v>
      </c>
      <c r="M62" s="13" t="s">
        <v>333</v>
      </c>
      <c r="N62" s="20" t="s">
        <v>334</v>
      </c>
      <c r="O62" s="15" t="str">
        <f t="shared" si="2"/>
        <v>CELESTE    MURILLO    CHAVEZ</v>
      </c>
      <c r="P62" s="13" t="s">
        <v>640</v>
      </c>
      <c r="Q62" s="13" t="s">
        <v>639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324</v>
      </c>
      <c r="D63" s="13">
        <v>10003659</v>
      </c>
      <c r="E63" s="13" t="s">
        <v>642</v>
      </c>
      <c r="F63" s="13" t="s">
        <v>409</v>
      </c>
      <c r="G63" s="13" t="s">
        <v>643</v>
      </c>
      <c r="H63" s="13">
        <v>30089418</v>
      </c>
      <c r="I63" s="13" t="s">
        <v>645</v>
      </c>
      <c r="J63" s="19"/>
      <c r="K63" s="19"/>
      <c r="L63" s="13" t="s">
        <v>601</v>
      </c>
      <c r="M63" s="13" t="s">
        <v>333</v>
      </c>
      <c r="N63" s="20" t="s">
        <v>334</v>
      </c>
      <c r="O63" s="15" t="str">
        <f t="shared" si="2"/>
        <v>MARIA DEL CARMEN    GONZALEZ    ANDALON</v>
      </c>
      <c r="P63" s="13" t="s">
        <v>645</v>
      </c>
      <c r="Q63" s="13" t="s">
        <v>644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324</v>
      </c>
      <c r="D64" s="13">
        <v>10003659</v>
      </c>
      <c r="E64" s="13" t="s">
        <v>646</v>
      </c>
      <c r="F64" s="13" t="s">
        <v>647</v>
      </c>
      <c r="G64" s="13" t="s">
        <v>460</v>
      </c>
      <c r="H64" s="13">
        <v>30089419</v>
      </c>
      <c r="I64" s="13" t="s">
        <v>649</v>
      </c>
      <c r="J64" s="19"/>
      <c r="K64" s="19"/>
      <c r="L64" s="13" t="s">
        <v>601</v>
      </c>
      <c r="M64" s="13" t="s">
        <v>333</v>
      </c>
      <c r="N64" s="20" t="s">
        <v>334</v>
      </c>
      <c r="O64" s="15" t="str">
        <f t="shared" si="2"/>
        <v>DANIELA    TOVAR    SANCHEZ</v>
      </c>
      <c r="P64" s="13" t="s">
        <v>649</v>
      </c>
      <c r="Q64" s="13" t="s">
        <v>648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383</v>
      </c>
      <c r="D65" s="13">
        <v>10003652</v>
      </c>
      <c r="E65" s="13" t="s">
        <v>650</v>
      </c>
      <c r="F65" s="13" t="s">
        <v>651</v>
      </c>
      <c r="G65" s="13" t="s">
        <v>461</v>
      </c>
      <c r="H65" s="13">
        <v>30089421</v>
      </c>
      <c r="I65" s="13" t="s">
        <v>653</v>
      </c>
      <c r="J65" s="19"/>
      <c r="K65" s="19"/>
      <c r="L65" s="13" t="s">
        <v>601</v>
      </c>
      <c r="M65" s="13" t="s">
        <v>369</v>
      </c>
      <c r="N65" s="20" t="s">
        <v>334</v>
      </c>
      <c r="O65" s="15" t="str">
        <f t="shared" si="2"/>
        <v>LAURA    SANTIBAÑEZ    RODRIGUEZ</v>
      </c>
      <c r="P65" s="13" t="s">
        <v>653</v>
      </c>
      <c r="Q65" s="13" t="s">
        <v>652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397</v>
      </c>
      <c r="D66" s="13">
        <v>10003660</v>
      </c>
      <c r="E66" s="13" t="s">
        <v>654</v>
      </c>
      <c r="F66" s="13" t="s">
        <v>655</v>
      </c>
      <c r="G66" s="13" t="s">
        <v>656</v>
      </c>
      <c r="H66" s="13">
        <v>30089422</v>
      </c>
      <c r="I66" s="13" t="s">
        <v>658</v>
      </c>
      <c r="J66" s="19"/>
      <c r="K66" s="19"/>
      <c r="L66" s="13" t="s">
        <v>601</v>
      </c>
      <c r="M66" s="13" t="s">
        <v>396</v>
      </c>
      <c r="N66" s="20" t="s">
        <v>334</v>
      </c>
      <c r="O66" s="15" t="str">
        <f t="shared" ref="O66:O97" si="3">CONCATENATE(E66,"    ",F66,"    ",G66)</f>
        <v>STEPHANIE LARISA    CEDILLO    OROZCO</v>
      </c>
      <c r="P66" s="13" t="s">
        <v>658</v>
      </c>
      <c r="Q66" s="13" t="s">
        <v>657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390</v>
      </c>
      <c r="D67" s="13">
        <v>10003662</v>
      </c>
      <c r="E67" s="13" t="s">
        <v>659</v>
      </c>
      <c r="F67" s="13" t="s">
        <v>660</v>
      </c>
      <c r="G67" s="13" t="s">
        <v>661</v>
      </c>
      <c r="H67" s="13">
        <v>30089423</v>
      </c>
      <c r="I67" s="13" t="s">
        <v>663</v>
      </c>
      <c r="J67" s="19"/>
      <c r="K67" s="19"/>
      <c r="L67" s="13" t="s">
        <v>601</v>
      </c>
      <c r="M67" s="13" t="s">
        <v>396</v>
      </c>
      <c r="N67" s="20" t="s">
        <v>334</v>
      </c>
      <c r="O67" s="15" t="str">
        <f t="shared" si="3"/>
        <v>JUAN SALVADOR    RANGEL    COSME</v>
      </c>
      <c r="P67" s="13" t="s">
        <v>663</v>
      </c>
      <c r="Q67" s="13" t="s">
        <v>662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428</v>
      </c>
      <c r="D68" s="13">
        <v>10003664</v>
      </c>
      <c r="E68" s="13" t="s">
        <v>664</v>
      </c>
      <c r="F68" s="13" t="s">
        <v>665</v>
      </c>
      <c r="G68" s="13" t="s">
        <v>666</v>
      </c>
      <c r="H68" s="13">
        <v>30089424</v>
      </c>
      <c r="I68" s="13" t="s">
        <v>668</v>
      </c>
      <c r="J68" s="19"/>
      <c r="K68" s="19"/>
      <c r="L68" s="13" t="s">
        <v>341</v>
      </c>
      <c r="M68" s="13" t="s">
        <v>333</v>
      </c>
      <c r="N68" s="20" t="s">
        <v>334</v>
      </c>
      <c r="O68" s="15" t="str">
        <f t="shared" si="3"/>
        <v>JAVIER    PACHECO    CANO</v>
      </c>
      <c r="P68" s="13" t="s">
        <v>668</v>
      </c>
      <c r="Q68" s="13" t="s">
        <v>667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428</v>
      </c>
      <c r="D69" s="13">
        <v>10003664</v>
      </c>
      <c r="E69" s="13" t="s">
        <v>669</v>
      </c>
      <c r="F69" s="13" t="s">
        <v>670</v>
      </c>
      <c r="G69" s="13" t="s">
        <v>671</v>
      </c>
      <c r="H69" s="13">
        <v>30089425</v>
      </c>
      <c r="I69" s="13" t="s">
        <v>673</v>
      </c>
      <c r="J69" s="19"/>
      <c r="K69" s="19"/>
      <c r="L69" s="13" t="s">
        <v>341</v>
      </c>
      <c r="M69" s="13" t="s">
        <v>333</v>
      </c>
      <c r="N69" s="20" t="s">
        <v>334</v>
      </c>
      <c r="O69" s="15" t="str">
        <f t="shared" si="3"/>
        <v>AURA FABIOLA    ROMERO    FONSECA</v>
      </c>
      <c r="P69" s="13" t="s">
        <v>673</v>
      </c>
      <c r="Q69" s="13" t="s">
        <v>672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397</v>
      </c>
      <c r="D70" s="13">
        <v>10003660</v>
      </c>
      <c r="E70" s="13" t="s">
        <v>674</v>
      </c>
      <c r="F70" s="13" t="s">
        <v>564</v>
      </c>
      <c r="G70" s="13" t="s">
        <v>675</v>
      </c>
      <c r="H70" s="13">
        <v>30089426</v>
      </c>
      <c r="I70" s="13" t="s">
        <v>677</v>
      </c>
      <c r="J70" s="19"/>
      <c r="K70" s="19"/>
      <c r="L70" s="13" t="s">
        <v>641</v>
      </c>
      <c r="M70" s="13" t="s">
        <v>396</v>
      </c>
      <c r="N70" s="20" t="s">
        <v>334</v>
      </c>
      <c r="O70" s="15" t="str">
        <f t="shared" si="3"/>
        <v>MARIA DEL ROSARIO    ALVAREZ    MACIAS</v>
      </c>
      <c r="P70" s="13" t="s">
        <v>677</v>
      </c>
      <c r="Q70" s="13" t="s">
        <v>676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435</v>
      </c>
      <c r="D71" s="13">
        <v>10003656</v>
      </c>
      <c r="E71" s="13" t="s">
        <v>678</v>
      </c>
      <c r="F71" s="13" t="s">
        <v>679</v>
      </c>
      <c r="G71" s="13" t="s">
        <v>680</v>
      </c>
      <c r="H71" s="13">
        <v>30089427</v>
      </c>
      <c r="I71" s="13" t="s">
        <v>682</v>
      </c>
      <c r="J71" s="19"/>
      <c r="K71" s="19"/>
      <c r="L71" s="13" t="s">
        <v>341</v>
      </c>
      <c r="M71" s="13" t="s">
        <v>362</v>
      </c>
      <c r="N71" s="20" t="s">
        <v>334</v>
      </c>
      <c r="O71" s="15" t="str">
        <f t="shared" si="3"/>
        <v>YUNUEN STEPHANIE    JIMENEZ    MEJIA</v>
      </c>
      <c r="P71" s="13" t="s">
        <v>682</v>
      </c>
      <c r="Q71" s="13" t="s">
        <v>681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435</v>
      </c>
      <c r="D72" s="13">
        <v>10003656</v>
      </c>
      <c r="E72" s="13" t="s">
        <v>683</v>
      </c>
      <c r="F72" s="13" t="s">
        <v>684</v>
      </c>
      <c r="G72" s="13" t="s">
        <v>685</v>
      </c>
      <c r="H72" s="13">
        <v>30089428</v>
      </c>
      <c r="I72" s="13" t="s">
        <v>687</v>
      </c>
      <c r="J72" s="19"/>
      <c r="K72" s="19"/>
      <c r="L72" s="13" t="s">
        <v>341</v>
      </c>
      <c r="M72" s="13" t="s">
        <v>362</v>
      </c>
      <c r="N72" s="20" t="s">
        <v>334</v>
      </c>
      <c r="O72" s="15" t="str">
        <f t="shared" si="3"/>
        <v>EDUARDO    ABURTO    GARDUÑO</v>
      </c>
      <c r="P72" s="13" t="s">
        <v>687</v>
      </c>
      <c r="Q72" s="13" t="s">
        <v>686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324</v>
      </c>
      <c r="D73" s="13">
        <v>10003659</v>
      </c>
      <c r="E73" s="13" t="s">
        <v>688</v>
      </c>
      <c r="F73" s="13" t="s">
        <v>689</v>
      </c>
      <c r="G73" s="13" t="s">
        <v>690</v>
      </c>
      <c r="H73" s="13">
        <v>30089429</v>
      </c>
      <c r="I73" s="13" t="s">
        <v>692</v>
      </c>
      <c r="J73" s="19"/>
      <c r="K73" s="19"/>
      <c r="L73" s="13" t="s">
        <v>341</v>
      </c>
      <c r="M73" s="13" t="s">
        <v>333</v>
      </c>
      <c r="N73" s="20" t="s">
        <v>334</v>
      </c>
      <c r="O73" s="15" t="str">
        <f t="shared" si="3"/>
        <v>JORGE ARTURO    RINCON    CASIAN</v>
      </c>
      <c r="P73" s="13" t="s">
        <v>692</v>
      </c>
      <c r="Q73" s="13" t="s">
        <v>691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324</v>
      </c>
      <c r="D74" s="13">
        <v>10003659</v>
      </c>
      <c r="E74" s="13" t="s">
        <v>693</v>
      </c>
      <c r="F74" s="13" t="s">
        <v>694</v>
      </c>
      <c r="G74" s="13" t="s">
        <v>695</v>
      </c>
      <c r="H74" s="13">
        <v>30089430</v>
      </c>
      <c r="I74" s="13" t="s">
        <v>697</v>
      </c>
      <c r="J74" s="19"/>
      <c r="K74" s="19"/>
      <c r="L74" s="13" t="s">
        <v>601</v>
      </c>
      <c r="M74" s="13" t="s">
        <v>333</v>
      </c>
      <c r="N74" s="20" t="s">
        <v>334</v>
      </c>
      <c r="O74" s="15" t="str">
        <f t="shared" si="3"/>
        <v>ROBERTO    RUIZ DE ESPARZA    VIDAL</v>
      </c>
      <c r="P74" s="13" t="s">
        <v>697</v>
      </c>
      <c r="Q74" s="13" t="s">
        <v>696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342</v>
      </c>
      <c r="D75" s="13">
        <v>10003665</v>
      </c>
      <c r="E75" s="13" t="s">
        <v>698</v>
      </c>
      <c r="F75" s="13" t="s">
        <v>570</v>
      </c>
      <c r="G75" s="13" t="s">
        <v>699</v>
      </c>
      <c r="H75" s="13">
        <v>30089431</v>
      </c>
      <c r="I75" s="13" t="s">
        <v>701</v>
      </c>
      <c r="J75" s="19"/>
      <c r="K75" s="19"/>
      <c r="L75" s="13" t="s">
        <v>382</v>
      </c>
      <c r="M75" s="13" t="s">
        <v>333</v>
      </c>
      <c r="N75" s="20" t="s">
        <v>334</v>
      </c>
      <c r="O75" s="15" t="str">
        <f t="shared" si="3"/>
        <v>CARLOS ROBERTO    VERA    ZUÑIGA</v>
      </c>
      <c r="P75" s="13" t="s">
        <v>701</v>
      </c>
      <c r="Q75" s="13" t="s">
        <v>700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342</v>
      </c>
      <c r="D76" s="13">
        <v>10003665</v>
      </c>
      <c r="E76" s="13" t="s">
        <v>702</v>
      </c>
      <c r="F76" s="13" t="s">
        <v>366</v>
      </c>
      <c r="G76" s="13" t="s">
        <v>703</v>
      </c>
      <c r="H76" s="13">
        <v>30089432</v>
      </c>
      <c r="I76" s="13" t="s">
        <v>705</v>
      </c>
      <c r="J76" s="19"/>
      <c r="K76" s="19"/>
      <c r="L76" s="13" t="s">
        <v>464</v>
      </c>
      <c r="M76" s="13" t="s">
        <v>333</v>
      </c>
      <c r="N76" s="20" t="s">
        <v>334</v>
      </c>
      <c r="O76" s="15" t="str">
        <f t="shared" si="3"/>
        <v>KARINA    LOPEZ    ORTEGA</v>
      </c>
      <c r="P76" s="13" t="s">
        <v>705</v>
      </c>
      <c r="Q76" s="13" t="s">
        <v>704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342</v>
      </c>
      <c r="D77" s="13">
        <v>10003665</v>
      </c>
      <c r="E77" s="13" t="s">
        <v>706</v>
      </c>
      <c r="F77" s="13" t="s">
        <v>409</v>
      </c>
      <c r="G77" s="13" t="s">
        <v>707</v>
      </c>
      <c r="H77" s="13">
        <v>30089433</v>
      </c>
      <c r="I77" s="13" t="s">
        <v>709</v>
      </c>
      <c r="J77" s="19"/>
      <c r="K77" s="19"/>
      <c r="L77" s="13" t="s">
        <v>464</v>
      </c>
      <c r="M77" s="13" t="s">
        <v>333</v>
      </c>
      <c r="N77" s="20" t="s">
        <v>334</v>
      </c>
      <c r="O77" s="15" t="str">
        <f t="shared" si="3"/>
        <v>CLAUDIA BELEN    GONZALEZ    LANDEROS</v>
      </c>
      <c r="P77" s="13" t="s">
        <v>709</v>
      </c>
      <c r="Q77" s="13" t="s">
        <v>708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515</v>
      </c>
      <c r="D78" s="13">
        <v>10003657</v>
      </c>
      <c r="E78" s="13" t="s">
        <v>710</v>
      </c>
      <c r="F78" s="13" t="s">
        <v>461</v>
      </c>
      <c r="G78" s="13" t="s">
        <v>461</v>
      </c>
      <c r="H78" s="13">
        <v>30089434</v>
      </c>
      <c r="I78" s="13" t="s">
        <v>712</v>
      </c>
      <c r="J78" s="19"/>
      <c r="K78" s="19"/>
      <c r="L78" s="13" t="s">
        <v>581</v>
      </c>
      <c r="M78" s="13" t="s">
        <v>362</v>
      </c>
      <c r="N78" s="20" t="s">
        <v>334</v>
      </c>
      <c r="O78" s="15" t="str">
        <f t="shared" si="3"/>
        <v>JOSE LUIS    RODRIGUEZ    RODRIGUEZ</v>
      </c>
      <c r="P78" s="13" t="s">
        <v>712</v>
      </c>
      <c r="Q78" s="13" t="s">
        <v>711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342</v>
      </c>
      <c r="D79" s="13">
        <v>10003665</v>
      </c>
      <c r="E79" s="13" t="s">
        <v>713</v>
      </c>
      <c r="F79" s="13" t="s">
        <v>419</v>
      </c>
      <c r="G79" s="13" t="s">
        <v>714</v>
      </c>
      <c r="H79" s="13">
        <v>30090402</v>
      </c>
      <c r="I79" s="13" t="s">
        <v>614</v>
      </c>
      <c r="J79" s="19"/>
      <c r="K79" s="19"/>
      <c r="L79" s="13" t="s">
        <v>716</v>
      </c>
      <c r="M79" s="13" t="s">
        <v>333</v>
      </c>
      <c r="N79" s="20" t="s">
        <v>334</v>
      </c>
      <c r="O79" s="15" t="str">
        <f t="shared" si="3"/>
        <v>ARTURO DE JESUS    MENDOZA    TORRES</v>
      </c>
      <c r="P79" s="13" t="s">
        <v>614</v>
      </c>
      <c r="Q79" s="13" t="s">
        <v>715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342</v>
      </c>
      <c r="D80" s="13">
        <v>10003665</v>
      </c>
      <c r="E80" s="13" t="s">
        <v>717</v>
      </c>
      <c r="F80" s="13" t="s">
        <v>718</v>
      </c>
      <c r="G80" s="13" t="s">
        <v>616</v>
      </c>
      <c r="H80" s="13">
        <v>30090403</v>
      </c>
      <c r="I80" s="13" t="s">
        <v>720</v>
      </c>
      <c r="J80" s="19"/>
      <c r="K80" s="19"/>
      <c r="L80" s="13" t="s">
        <v>716</v>
      </c>
      <c r="M80" s="13" t="s">
        <v>333</v>
      </c>
      <c r="N80" s="20" t="s">
        <v>334</v>
      </c>
      <c r="O80" s="15" t="str">
        <f t="shared" si="3"/>
        <v>JOSE OSCAR    ORDAZ    OLVERA</v>
      </c>
      <c r="P80" s="13" t="s">
        <v>720</v>
      </c>
      <c r="Q80" s="13" t="s">
        <v>719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390</v>
      </c>
      <c r="D81" s="13">
        <v>10003662</v>
      </c>
      <c r="E81" s="13" t="s">
        <v>710</v>
      </c>
      <c r="F81" s="13" t="s">
        <v>656</v>
      </c>
      <c r="G81" s="13" t="s">
        <v>431</v>
      </c>
      <c r="H81" s="13">
        <v>30095787</v>
      </c>
      <c r="I81" s="13" t="s">
        <v>722</v>
      </c>
      <c r="J81" s="19"/>
      <c r="K81" s="19"/>
      <c r="L81" s="13" t="s">
        <v>723</v>
      </c>
      <c r="M81" s="13" t="s">
        <v>396</v>
      </c>
      <c r="N81" s="20" t="s">
        <v>334</v>
      </c>
      <c r="O81" s="15" t="str">
        <f t="shared" si="3"/>
        <v>JOSE LUIS    OROZCO    CRUZ</v>
      </c>
      <c r="P81" s="13" t="s">
        <v>722</v>
      </c>
      <c r="Q81" s="13" t="s">
        <v>721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515</v>
      </c>
      <c r="D82" s="13">
        <v>10003657</v>
      </c>
      <c r="E82" s="13" t="s">
        <v>724</v>
      </c>
      <c r="F82" s="13" t="s">
        <v>725</v>
      </c>
      <c r="G82" s="13" t="s">
        <v>726</v>
      </c>
      <c r="H82" s="13">
        <v>30106542</v>
      </c>
      <c r="I82" s="13" t="s">
        <v>728</v>
      </c>
      <c r="J82" s="19"/>
      <c r="K82" s="19"/>
      <c r="L82" s="13" t="s">
        <v>473</v>
      </c>
      <c r="M82" s="13" t="s">
        <v>362</v>
      </c>
      <c r="N82" s="20" t="s">
        <v>334</v>
      </c>
      <c r="O82" s="15" t="str">
        <f t="shared" si="3"/>
        <v>FILOMENA    MARGAIZ    RAMIREZ</v>
      </c>
      <c r="P82" s="13" t="s">
        <v>728</v>
      </c>
      <c r="Q82" s="13" t="s">
        <v>727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526</v>
      </c>
      <c r="D83" s="22">
        <v>10003663</v>
      </c>
      <c r="E83" s="22" t="s">
        <v>729</v>
      </c>
      <c r="F83" s="22" t="s">
        <v>730</v>
      </c>
      <c r="G83" s="22" t="s">
        <v>352</v>
      </c>
      <c r="H83" s="22">
        <v>30096889</v>
      </c>
      <c r="I83" s="22" t="s">
        <v>732</v>
      </c>
      <c r="J83" s="21"/>
      <c r="K83" s="21"/>
      <c r="L83" s="23"/>
      <c r="M83" s="23"/>
      <c r="N83" s="24" t="s">
        <v>334</v>
      </c>
      <c r="O83" s="25" t="str">
        <f t="shared" si="3"/>
        <v>MORENA MARIA    CANALES    MARTINEZ</v>
      </c>
      <c r="P83" s="22" t="s">
        <v>732</v>
      </c>
      <c r="Q83" s="22" t="s">
        <v>731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526</v>
      </c>
      <c r="D84" s="22">
        <v>10003663</v>
      </c>
      <c r="E84" s="22" t="s">
        <v>733</v>
      </c>
      <c r="F84" s="22" t="s">
        <v>734</v>
      </c>
      <c r="G84" s="22" t="s">
        <v>735</v>
      </c>
      <c r="H84" s="22">
        <v>30096890</v>
      </c>
      <c r="I84" s="22" t="s">
        <v>737</v>
      </c>
      <c r="J84" s="21"/>
      <c r="K84" s="21"/>
      <c r="L84" s="23"/>
      <c r="M84" s="23"/>
      <c r="N84" s="24" t="s">
        <v>334</v>
      </c>
      <c r="O84" s="25" t="str">
        <f t="shared" si="3"/>
        <v>JUAN PABLO    CASTRO    GOMEZ</v>
      </c>
      <c r="P84" s="22" t="s">
        <v>737</v>
      </c>
      <c r="Q84" s="22" t="s">
        <v>736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356</v>
      </c>
      <c r="D85" s="22">
        <v>10003654</v>
      </c>
      <c r="E85" s="22" t="s">
        <v>738</v>
      </c>
      <c r="F85" s="22" t="s">
        <v>739</v>
      </c>
      <c r="G85" s="22" t="s">
        <v>528</v>
      </c>
      <c r="H85" s="22">
        <v>30096891</v>
      </c>
      <c r="I85" s="22" t="s">
        <v>741</v>
      </c>
      <c r="J85" s="21"/>
      <c r="K85" s="21"/>
      <c r="L85" s="23"/>
      <c r="M85" s="23"/>
      <c r="N85" s="24" t="s">
        <v>334</v>
      </c>
      <c r="O85" s="25" t="str">
        <f t="shared" si="3"/>
        <v>MARIA YOSSELIN    ASCENCIO    VAZQUEZ</v>
      </c>
      <c r="P85" s="22" t="s">
        <v>741</v>
      </c>
      <c r="Q85" s="22" t="s">
        <v>740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356</v>
      </c>
      <c r="D86" s="22">
        <v>10003654</v>
      </c>
      <c r="E86" s="22" t="s">
        <v>742</v>
      </c>
      <c r="F86" s="22" t="s">
        <v>564</v>
      </c>
      <c r="G86" s="22" t="s">
        <v>622</v>
      </c>
      <c r="H86" s="22">
        <v>30096892</v>
      </c>
      <c r="I86" s="22" t="s">
        <v>744</v>
      </c>
      <c r="J86" s="21"/>
      <c r="K86" s="21"/>
      <c r="L86" s="23"/>
      <c r="M86" s="23"/>
      <c r="N86" s="24" t="s">
        <v>334</v>
      </c>
      <c r="O86" s="25" t="str">
        <f t="shared" si="3"/>
        <v>JUAN MANUEL    ALVAREZ    ZAVALA</v>
      </c>
      <c r="P86" s="22" t="s">
        <v>744</v>
      </c>
      <c r="Q86" s="22" t="s">
        <v>743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390</v>
      </c>
      <c r="D87" s="22">
        <v>10003662</v>
      </c>
      <c r="E87" s="22" t="s">
        <v>745</v>
      </c>
      <c r="F87" s="22" t="s">
        <v>714</v>
      </c>
      <c r="G87" s="22" t="s">
        <v>714</v>
      </c>
      <c r="H87" s="22">
        <v>30096893</v>
      </c>
      <c r="I87" s="22" t="s">
        <v>747</v>
      </c>
      <c r="J87" s="21"/>
      <c r="K87" s="21"/>
      <c r="L87" s="23"/>
      <c r="M87" s="23"/>
      <c r="N87" s="24" t="s">
        <v>334</v>
      </c>
      <c r="O87" s="25" t="str">
        <f t="shared" si="3"/>
        <v>MARIANA ZURIZADAI    TORRES    TORRES</v>
      </c>
      <c r="P87" s="22" t="s">
        <v>747</v>
      </c>
      <c r="Q87" s="22" t="s">
        <v>746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390</v>
      </c>
      <c r="D88" s="22">
        <v>10003662</v>
      </c>
      <c r="E88" s="22" t="s">
        <v>748</v>
      </c>
      <c r="F88" s="22" t="s">
        <v>749</v>
      </c>
      <c r="G88" s="22" t="s">
        <v>352</v>
      </c>
      <c r="H88" s="22">
        <v>30096894</v>
      </c>
      <c r="I88" s="22" t="s">
        <v>751</v>
      </c>
      <c r="J88" s="21"/>
      <c r="K88" s="21"/>
      <c r="L88" s="27"/>
      <c r="M88" s="27"/>
      <c r="N88" s="24" t="s">
        <v>334</v>
      </c>
      <c r="O88" s="25" t="str">
        <f t="shared" si="3"/>
        <v>MARTINA    MOCTEZUMA    MARTINEZ</v>
      </c>
      <c r="P88" s="22" t="s">
        <v>751</v>
      </c>
      <c r="Q88" s="22" t="s">
        <v>750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390</v>
      </c>
      <c r="D89" s="22">
        <v>10003662</v>
      </c>
      <c r="E89" s="22" t="s">
        <v>752</v>
      </c>
      <c r="F89" s="22" t="s">
        <v>461</v>
      </c>
      <c r="G89" s="22" t="s">
        <v>352</v>
      </c>
      <c r="H89" s="22">
        <v>30096895</v>
      </c>
      <c r="I89" s="22" t="s">
        <v>754</v>
      </c>
      <c r="J89" s="21"/>
      <c r="K89" s="21"/>
      <c r="L89" s="23"/>
      <c r="M89" s="23"/>
      <c r="N89" s="24" t="s">
        <v>334</v>
      </c>
      <c r="O89" s="25" t="str">
        <f t="shared" si="3"/>
        <v>ROSA CAROLINA    RODRIGUEZ    MARTINEZ</v>
      </c>
      <c r="P89" s="22" t="s">
        <v>754</v>
      </c>
      <c r="Q89" s="22" t="s">
        <v>753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370</v>
      </c>
      <c r="D90" s="22">
        <v>10003661</v>
      </c>
      <c r="E90" s="22" t="s">
        <v>755</v>
      </c>
      <c r="F90" s="22" t="s">
        <v>366</v>
      </c>
      <c r="G90" s="22" t="s">
        <v>756</v>
      </c>
      <c r="H90" s="22">
        <v>30096898</v>
      </c>
      <c r="I90" s="22" t="s">
        <v>758</v>
      </c>
      <c r="J90" s="21"/>
      <c r="K90" s="21"/>
      <c r="L90" s="23"/>
      <c r="M90" s="23"/>
      <c r="N90" s="24" t="s">
        <v>334</v>
      </c>
      <c r="O90" s="25" t="str">
        <f t="shared" si="3"/>
        <v>ADAN    LOPEZ    MONTENEGRO</v>
      </c>
      <c r="P90" s="22" t="s">
        <v>758</v>
      </c>
      <c r="Q90" s="22" t="s">
        <v>757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356</v>
      </c>
      <c r="D91" s="22">
        <v>10003654</v>
      </c>
      <c r="E91" s="22" t="s">
        <v>759</v>
      </c>
      <c r="F91" s="22" t="s">
        <v>703</v>
      </c>
      <c r="G91" s="22" t="s">
        <v>537</v>
      </c>
      <c r="H91" s="22">
        <v>30096900</v>
      </c>
      <c r="I91" s="22" t="s">
        <v>761</v>
      </c>
      <c r="J91" s="21"/>
      <c r="K91" s="21"/>
      <c r="L91" s="23"/>
      <c r="M91" s="23"/>
      <c r="N91" s="24" t="s">
        <v>334</v>
      </c>
      <c r="O91" s="25" t="str">
        <f t="shared" si="3"/>
        <v>PAULINA JAZMIN    ORTEGA    HERNANDEZ</v>
      </c>
      <c r="P91" s="22" t="s">
        <v>761</v>
      </c>
      <c r="Q91" s="22" t="s">
        <v>760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522</v>
      </c>
      <c r="D92" s="22">
        <v>10003655</v>
      </c>
      <c r="E92" s="22" t="s">
        <v>762</v>
      </c>
      <c r="F92" s="22" t="s">
        <v>352</v>
      </c>
      <c r="G92" s="22" t="s">
        <v>763</v>
      </c>
      <c r="H92" s="22">
        <v>30096903</v>
      </c>
      <c r="I92" s="22" t="s">
        <v>765</v>
      </c>
      <c r="J92" s="21"/>
      <c r="K92" s="21"/>
      <c r="L92" s="23"/>
      <c r="M92" s="23"/>
      <c r="N92" s="24" t="s">
        <v>334</v>
      </c>
      <c r="O92" s="25" t="str">
        <f t="shared" si="3"/>
        <v>IVAN    MARTINEZ    CISNEROS</v>
      </c>
      <c r="P92" s="22" t="s">
        <v>765</v>
      </c>
      <c r="Q92" s="22" t="s">
        <v>764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522</v>
      </c>
      <c r="D93" s="22">
        <v>10003655</v>
      </c>
      <c r="E93" s="22" t="s">
        <v>766</v>
      </c>
      <c r="F93" s="22" t="s">
        <v>767</v>
      </c>
      <c r="G93" s="22" t="s">
        <v>583</v>
      </c>
      <c r="H93" s="22">
        <v>30096904</v>
      </c>
      <c r="I93" s="22" t="s">
        <v>769</v>
      </c>
      <c r="J93" s="21"/>
      <c r="K93" s="21"/>
      <c r="L93" s="23"/>
      <c r="M93" s="23"/>
      <c r="N93" s="24" t="s">
        <v>334</v>
      </c>
      <c r="O93" s="25" t="str">
        <f t="shared" si="3"/>
        <v>TULIO GUILLERMO    ALAMO    ARREDONDO</v>
      </c>
      <c r="P93" s="22" t="s">
        <v>769</v>
      </c>
      <c r="Q93" s="22" t="s">
        <v>768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522</v>
      </c>
      <c r="D94" s="22">
        <v>10003655</v>
      </c>
      <c r="E94" s="22" t="s">
        <v>770</v>
      </c>
      <c r="F94" s="22" t="s">
        <v>660</v>
      </c>
      <c r="G94" s="22" t="s">
        <v>538</v>
      </c>
      <c r="H94" s="22">
        <v>30096905</v>
      </c>
      <c r="I94" s="22" t="s">
        <v>772</v>
      </c>
      <c r="J94" s="21"/>
      <c r="K94" s="21"/>
      <c r="L94" s="23"/>
      <c r="M94" s="23"/>
      <c r="N94" s="24" t="s">
        <v>334</v>
      </c>
      <c r="O94" s="25" t="str">
        <f t="shared" si="3"/>
        <v>ASTRID BERENICE    RANGEL    PEREZ</v>
      </c>
      <c r="P94" s="22" t="s">
        <v>772</v>
      </c>
      <c r="Q94" s="22" t="s">
        <v>771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435</v>
      </c>
      <c r="D95" s="22">
        <v>10003656</v>
      </c>
      <c r="E95" s="22" t="s">
        <v>773</v>
      </c>
      <c r="F95" s="22" t="s">
        <v>774</v>
      </c>
      <c r="G95" s="22" t="s">
        <v>775</v>
      </c>
      <c r="H95" s="22">
        <v>30096906</v>
      </c>
      <c r="I95" s="22" t="s">
        <v>777</v>
      </c>
      <c r="J95" s="21"/>
      <c r="K95" s="21"/>
      <c r="L95" s="23"/>
      <c r="M95" s="23"/>
      <c r="N95" s="24" t="s">
        <v>334</v>
      </c>
      <c r="O95" s="25" t="str">
        <f t="shared" si="3"/>
        <v>RODOLFO JONATHAN MARTIN    MORENO    GODINEZ</v>
      </c>
      <c r="P95" s="22" t="s">
        <v>777</v>
      </c>
      <c r="Q95" s="22" t="s">
        <v>776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363</v>
      </c>
      <c r="D96" s="22">
        <v>10003653</v>
      </c>
      <c r="E96" s="22" t="s">
        <v>778</v>
      </c>
      <c r="F96" s="22" t="s">
        <v>779</v>
      </c>
      <c r="G96" s="22" t="s">
        <v>780</v>
      </c>
      <c r="H96" s="22">
        <v>30096908</v>
      </c>
      <c r="I96" s="22" t="s">
        <v>782</v>
      </c>
      <c r="J96" s="21"/>
      <c r="K96" s="21"/>
      <c r="L96" s="23"/>
      <c r="M96" s="23"/>
      <c r="N96" s="24" t="s">
        <v>334</v>
      </c>
      <c r="O96" s="25" t="str">
        <f t="shared" si="3"/>
        <v>LILIA KAREN    MAYORGA    GUADIAN</v>
      </c>
      <c r="P96" s="22" t="s">
        <v>782</v>
      </c>
      <c r="Q96" s="22" t="s">
        <v>781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526</v>
      </c>
      <c r="D97" s="22">
        <v>10003663</v>
      </c>
      <c r="E97" s="22" t="s">
        <v>783</v>
      </c>
      <c r="F97" s="22" t="s">
        <v>481</v>
      </c>
      <c r="G97" s="22" t="s">
        <v>784</v>
      </c>
      <c r="H97" s="22">
        <v>30097416</v>
      </c>
      <c r="I97" s="22" t="s">
        <v>614</v>
      </c>
      <c r="J97" s="21"/>
      <c r="K97" s="21"/>
      <c r="L97" s="23"/>
      <c r="M97" s="23"/>
      <c r="N97" s="24" t="s">
        <v>334</v>
      </c>
      <c r="O97" s="25" t="str">
        <f t="shared" si="3"/>
        <v>PATRICIA    CORTES    VIVANCO</v>
      </c>
      <c r="P97" s="22" t="s">
        <v>614</v>
      </c>
      <c r="Q97" s="22" t="s">
        <v>785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363</v>
      </c>
      <c r="D98" s="22">
        <v>10003653</v>
      </c>
      <c r="E98" s="22" t="s">
        <v>786</v>
      </c>
      <c r="F98" s="22" t="s">
        <v>537</v>
      </c>
      <c r="G98" s="22" t="s">
        <v>787</v>
      </c>
      <c r="H98" s="22">
        <v>30097418</v>
      </c>
      <c r="I98" s="22" t="s">
        <v>789</v>
      </c>
      <c r="J98" s="21"/>
      <c r="K98" s="21"/>
      <c r="L98" s="23"/>
      <c r="M98" s="23"/>
      <c r="N98" s="24" t="s">
        <v>334</v>
      </c>
      <c r="O98" s="25" t="str">
        <f t="shared" ref="O98:O130" si="5">CONCATENATE(E98,"    ",F98,"    ",G98)</f>
        <v>SOFIA DEL PILAR    HERNANDEZ    HUERTA</v>
      </c>
      <c r="P98" s="22" t="s">
        <v>789</v>
      </c>
      <c r="Q98" s="22" t="s">
        <v>788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363</v>
      </c>
      <c r="D99" s="22">
        <v>10003653</v>
      </c>
      <c r="E99" s="22" t="s">
        <v>790</v>
      </c>
      <c r="F99" s="22" t="s">
        <v>366</v>
      </c>
      <c r="G99" s="22" t="s">
        <v>791</v>
      </c>
      <c r="H99" s="22">
        <v>30097419</v>
      </c>
      <c r="I99" s="22" t="s">
        <v>793</v>
      </c>
      <c r="J99" s="21"/>
      <c r="K99" s="21"/>
      <c r="L99" s="23"/>
      <c r="M99" s="23"/>
      <c r="N99" s="24" t="s">
        <v>334</v>
      </c>
      <c r="O99" s="25" t="str">
        <f t="shared" si="5"/>
        <v>ALEJANDRA    LOPEZ    LADRON DE GUEVARA</v>
      </c>
      <c r="P99" s="22" t="s">
        <v>793</v>
      </c>
      <c r="Q99" s="22" t="s">
        <v>792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363</v>
      </c>
      <c r="D100" s="22">
        <v>10003653</v>
      </c>
      <c r="E100" s="22" t="s">
        <v>794</v>
      </c>
      <c r="F100" s="22" t="s">
        <v>795</v>
      </c>
      <c r="G100" s="22" t="s">
        <v>796</v>
      </c>
      <c r="H100" s="22">
        <v>30097420</v>
      </c>
      <c r="I100" s="22" t="s">
        <v>798</v>
      </c>
      <c r="J100" s="21"/>
      <c r="K100" s="21"/>
      <c r="L100" s="23"/>
      <c r="M100" s="23"/>
      <c r="N100" s="24" t="s">
        <v>334</v>
      </c>
      <c r="O100" s="25" t="str">
        <f t="shared" si="5"/>
        <v>MARTHA ANGELICA    TAVAREZ    CONTRERAS</v>
      </c>
      <c r="P100" s="22" t="s">
        <v>798</v>
      </c>
      <c r="Q100" s="22" t="s">
        <v>797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435</v>
      </c>
      <c r="D101" s="22">
        <v>10003656</v>
      </c>
      <c r="E101" s="22" t="s">
        <v>799</v>
      </c>
      <c r="F101" s="22" t="s">
        <v>800</v>
      </c>
      <c r="G101" s="22" t="s">
        <v>801</v>
      </c>
      <c r="H101" s="22">
        <v>30097421</v>
      </c>
      <c r="I101" s="22" t="s">
        <v>803</v>
      </c>
      <c r="J101" s="21"/>
      <c r="K101" s="21"/>
      <c r="L101" s="23"/>
      <c r="M101" s="23"/>
      <c r="N101" s="24" t="s">
        <v>334</v>
      </c>
      <c r="O101" s="25" t="str">
        <f t="shared" si="5"/>
        <v>JUAN CARLOS    CECILIO    PADILLA</v>
      </c>
      <c r="P101" s="22" t="s">
        <v>803</v>
      </c>
      <c r="Q101" s="22" t="s">
        <v>802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435</v>
      </c>
      <c r="D102" s="22">
        <v>10003656</v>
      </c>
      <c r="E102" s="22" t="s">
        <v>804</v>
      </c>
      <c r="F102" s="22" t="s">
        <v>805</v>
      </c>
      <c r="G102" s="22" t="s">
        <v>656</v>
      </c>
      <c r="H102" s="22">
        <v>30097422</v>
      </c>
      <c r="I102" s="22" t="s">
        <v>807</v>
      </c>
      <c r="J102" s="21"/>
      <c r="K102" s="21"/>
      <c r="L102" s="23"/>
      <c r="M102" s="23"/>
      <c r="N102" s="24" t="s">
        <v>334</v>
      </c>
      <c r="O102" s="25" t="str">
        <f t="shared" si="5"/>
        <v>CARLOS GUSTAVO    SOTO    OROZCO</v>
      </c>
      <c r="P102" s="22" t="s">
        <v>807</v>
      </c>
      <c r="Q102" s="22" t="s">
        <v>806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397</v>
      </c>
      <c r="D103" s="22">
        <v>10003660</v>
      </c>
      <c r="E103" s="22" t="s">
        <v>808</v>
      </c>
      <c r="F103" s="22" t="s">
        <v>590</v>
      </c>
      <c r="G103" s="22" t="s">
        <v>809</v>
      </c>
      <c r="H103" s="22">
        <v>30097423</v>
      </c>
      <c r="I103" s="22" t="s">
        <v>811</v>
      </c>
      <c r="J103" s="21"/>
      <c r="K103" s="21"/>
      <c r="L103" s="23"/>
      <c r="M103" s="23"/>
      <c r="N103" s="24" t="s">
        <v>334</v>
      </c>
      <c r="O103" s="25" t="str">
        <f t="shared" si="5"/>
        <v>FRANCISCO JAVIER    ESPINOZA    ORTIZ</v>
      </c>
      <c r="P103" s="22" t="s">
        <v>811</v>
      </c>
      <c r="Q103" s="22" t="s">
        <v>810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397</v>
      </c>
      <c r="D104" s="22">
        <v>10003660</v>
      </c>
      <c r="E104" s="22" t="s">
        <v>812</v>
      </c>
      <c r="F104" s="22" t="s">
        <v>358</v>
      </c>
      <c r="G104" s="22" t="s">
        <v>813</v>
      </c>
      <c r="H104" s="22">
        <v>30097424</v>
      </c>
      <c r="I104" s="22" t="s">
        <v>815</v>
      </c>
      <c r="J104" s="21"/>
      <c r="K104" s="21"/>
      <c r="L104" s="23"/>
      <c r="M104" s="23"/>
      <c r="N104" s="24" t="s">
        <v>334</v>
      </c>
      <c r="O104" s="25" t="str">
        <f t="shared" si="5"/>
        <v>JORGE ALBERTO    CABALLERO    CORDOVA</v>
      </c>
      <c r="P104" s="22" t="s">
        <v>815</v>
      </c>
      <c r="Q104" s="22" t="s">
        <v>814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390</v>
      </c>
      <c r="D105" s="22">
        <v>10003662</v>
      </c>
      <c r="E105" s="22" t="s">
        <v>816</v>
      </c>
      <c r="F105" s="22" t="s">
        <v>547</v>
      </c>
      <c r="G105" s="22" t="s">
        <v>564</v>
      </c>
      <c r="H105" s="22">
        <v>30097425</v>
      </c>
      <c r="I105" s="22" t="s">
        <v>818</v>
      </c>
      <c r="J105" s="21"/>
      <c r="K105" s="21"/>
      <c r="L105" s="23"/>
      <c r="M105" s="23"/>
      <c r="N105" s="24" t="s">
        <v>334</v>
      </c>
      <c r="O105" s="25" t="str">
        <f t="shared" si="5"/>
        <v>KARLA THALIA    MENDEZ    ALVAREZ</v>
      </c>
      <c r="P105" s="22" t="s">
        <v>818</v>
      </c>
      <c r="Q105" s="22" t="s">
        <v>817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370</v>
      </c>
      <c r="D106" s="22">
        <v>10003661</v>
      </c>
      <c r="E106" s="22" t="s">
        <v>819</v>
      </c>
      <c r="F106" s="22" t="s">
        <v>638</v>
      </c>
      <c r="G106" s="22" t="s">
        <v>820</v>
      </c>
      <c r="H106" s="22">
        <v>30097427</v>
      </c>
      <c r="I106" s="22" t="s">
        <v>822</v>
      </c>
      <c r="J106" s="21"/>
      <c r="K106" s="21"/>
      <c r="L106" s="23"/>
      <c r="M106" s="23"/>
      <c r="N106" s="24" t="s">
        <v>334</v>
      </c>
      <c r="O106" s="25" t="str">
        <f t="shared" si="5"/>
        <v>GUADALUPE DEL SOCORRO    CHAVEZ    ESCOBAR</v>
      </c>
      <c r="P106" s="22" t="s">
        <v>822</v>
      </c>
      <c r="Q106" s="22" t="s">
        <v>821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370</v>
      </c>
      <c r="D107" s="22">
        <v>10003661</v>
      </c>
      <c r="E107" s="22" t="s">
        <v>823</v>
      </c>
      <c r="F107" s="22" t="s">
        <v>824</v>
      </c>
      <c r="G107" s="22" t="s">
        <v>825</v>
      </c>
      <c r="H107" s="22">
        <v>30097430</v>
      </c>
      <c r="I107" s="22" t="s">
        <v>827</v>
      </c>
      <c r="J107" s="21"/>
      <c r="K107" s="21"/>
      <c r="L107" s="23"/>
      <c r="M107" s="23"/>
      <c r="N107" s="24" t="s">
        <v>334</v>
      </c>
      <c r="O107" s="25" t="str">
        <f t="shared" si="5"/>
        <v>CRISTABEL    BORJA    AHEDO</v>
      </c>
      <c r="P107" s="22" t="s">
        <v>827</v>
      </c>
      <c r="Q107" s="22" t="s">
        <v>826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370</v>
      </c>
      <c r="D108" s="22">
        <v>10003661</v>
      </c>
      <c r="E108" s="22" t="s">
        <v>828</v>
      </c>
      <c r="F108" s="22" t="s">
        <v>829</v>
      </c>
      <c r="G108" s="22" t="s">
        <v>830</v>
      </c>
      <c r="H108" s="22">
        <v>30097432</v>
      </c>
      <c r="I108" s="22" t="s">
        <v>832</v>
      </c>
      <c r="J108" s="21"/>
      <c r="K108" s="21"/>
      <c r="L108" s="23"/>
      <c r="M108" s="23"/>
      <c r="N108" s="24" t="s">
        <v>334</v>
      </c>
      <c r="O108" s="25" t="str">
        <f t="shared" si="5"/>
        <v>ANA KARINA    PALMAS    ESPINOSA</v>
      </c>
      <c r="P108" s="22" t="s">
        <v>832</v>
      </c>
      <c r="Q108" s="22" t="s">
        <v>831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370</v>
      </c>
      <c r="D109" s="22">
        <v>10003661</v>
      </c>
      <c r="E109" s="22" t="s">
        <v>833</v>
      </c>
      <c r="F109" s="22" t="s">
        <v>528</v>
      </c>
      <c r="G109" s="22" t="s">
        <v>497</v>
      </c>
      <c r="H109" s="22">
        <v>30097434</v>
      </c>
      <c r="I109" s="22" t="s">
        <v>835</v>
      </c>
      <c r="J109" s="21"/>
      <c r="K109" s="21"/>
      <c r="L109" s="23"/>
      <c r="M109" s="23"/>
      <c r="N109" s="24" t="s">
        <v>334</v>
      </c>
      <c r="O109" s="25" t="str">
        <f t="shared" si="5"/>
        <v>BLANCA YAZMIN    VAZQUEZ    MEDINA</v>
      </c>
      <c r="P109" s="22" t="s">
        <v>835</v>
      </c>
      <c r="Q109" s="22" t="s">
        <v>834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370</v>
      </c>
      <c r="D110" s="22">
        <v>10003661</v>
      </c>
      <c r="E110" s="22" t="s">
        <v>836</v>
      </c>
      <c r="F110" s="22" t="s">
        <v>837</v>
      </c>
      <c r="G110" s="22" t="s">
        <v>775</v>
      </c>
      <c r="H110" s="22">
        <v>30097436</v>
      </c>
      <c r="I110" s="22" t="s">
        <v>839</v>
      </c>
      <c r="J110" s="21"/>
      <c r="K110" s="21"/>
      <c r="L110" s="23"/>
      <c r="M110" s="23"/>
      <c r="N110" s="24" t="s">
        <v>334</v>
      </c>
      <c r="O110" s="25" t="str">
        <f t="shared" si="5"/>
        <v>VALERIA    CECCOPIERI    GODINEZ</v>
      </c>
      <c r="P110" s="22" t="s">
        <v>839</v>
      </c>
      <c r="Q110" s="22" t="s">
        <v>838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370</v>
      </c>
      <c r="D111" s="22">
        <v>10003661</v>
      </c>
      <c r="E111" s="22" t="s">
        <v>840</v>
      </c>
      <c r="F111" s="22" t="s">
        <v>841</v>
      </c>
      <c r="G111" s="22" t="s">
        <v>469</v>
      </c>
      <c r="H111" s="22">
        <v>30097438</v>
      </c>
      <c r="I111" s="22" t="s">
        <v>839</v>
      </c>
      <c r="J111" s="21"/>
      <c r="K111" s="21"/>
      <c r="L111" s="23"/>
      <c r="M111" s="23"/>
      <c r="N111" s="24" t="s">
        <v>334</v>
      </c>
      <c r="O111" s="25" t="str">
        <f t="shared" si="5"/>
        <v>JOSE ANTONIO    JUAREZ    RIVERA</v>
      </c>
      <c r="P111" s="22" t="s">
        <v>839</v>
      </c>
      <c r="Q111" s="22" t="s">
        <v>842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363</v>
      </c>
      <c r="D112" s="22">
        <v>10003653</v>
      </c>
      <c r="E112" s="22" t="s">
        <v>843</v>
      </c>
      <c r="F112" s="22" t="s">
        <v>844</v>
      </c>
      <c r="G112" s="22" t="s">
        <v>845</v>
      </c>
      <c r="H112" s="22">
        <v>30097440</v>
      </c>
      <c r="I112" s="22" t="s">
        <v>847</v>
      </c>
      <c r="J112" s="21"/>
      <c r="K112" s="21"/>
      <c r="L112" s="23"/>
      <c r="M112" s="23"/>
      <c r="N112" s="24" t="s">
        <v>334</v>
      </c>
      <c r="O112" s="25" t="str">
        <f t="shared" si="5"/>
        <v>DANIEL MAXIMINO    CANCHOLA    MURGUIA</v>
      </c>
      <c r="P112" s="22" t="s">
        <v>847</v>
      </c>
      <c r="Q112" s="22" t="s">
        <v>846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522</v>
      </c>
      <c r="D113" s="22">
        <v>10003655</v>
      </c>
      <c r="E113" s="22" t="s">
        <v>848</v>
      </c>
      <c r="F113" s="22" t="s">
        <v>656</v>
      </c>
      <c r="G113" s="22" t="s">
        <v>849</v>
      </c>
      <c r="H113" s="22">
        <v>30097441</v>
      </c>
      <c r="I113" s="22" t="s">
        <v>851</v>
      </c>
      <c r="J113" s="21"/>
      <c r="K113" s="21"/>
      <c r="L113" s="23"/>
      <c r="M113" s="23"/>
      <c r="N113" s="24" t="s">
        <v>334</v>
      </c>
      <c r="O113" s="25" t="str">
        <f t="shared" si="5"/>
        <v>OSCAR LEONARDO    OROZCO    TURRUBIATES</v>
      </c>
      <c r="P113" s="22" t="s">
        <v>851</v>
      </c>
      <c r="Q113" s="22" t="s">
        <v>850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390</v>
      </c>
      <c r="D114" s="22">
        <v>10003662</v>
      </c>
      <c r="E114" s="22" t="s">
        <v>852</v>
      </c>
      <c r="F114" s="22" t="s">
        <v>853</v>
      </c>
      <c r="G114" s="22" t="s">
        <v>854</v>
      </c>
      <c r="H114" s="22">
        <v>30097442</v>
      </c>
      <c r="I114" s="22" t="s">
        <v>614</v>
      </c>
      <c r="J114" s="21"/>
      <c r="K114" s="21"/>
      <c r="L114" s="23"/>
      <c r="M114" s="23"/>
      <c r="N114" s="24" t="s">
        <v>334</v>
      </c>
      <c r="O114" s="25" t="str">
        <f t="shared" si="5"/>
        <v>MARIA GUADALUPE    GUERRERO    ISAIS</v>
      </c>
      <c r="P114" s="22" t="s">
        <v>614</v>
      </c>
      <c r="Q114" s="22" t="s">
        <v>855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390</v>
      </c>
      <c r="D115" s="22">
        <v>10003662</v>
      </c>
      <c r="E115" s="22" t="s">
        <v>856</v>
      </c>
      <c r="F115" s="22" t="s">
        <v>857</v>
      </c>
      <c r="G115" s="22" t="s">
        <v>858</v>
      </c>
      <c r="H115" s="22">
        <v>30097443</v>
      </c>
      <c r="I115" s="22" t="s">
        <v>860</v>
      </c>
      <c r="J115" s="21"/>
      <c r="K115" s="21"/>
      <c r="L115" s="23"/>
      <c r="M115" s="23"/>
      <c r="N115" s="24" t="s">
        <v>334</v>
      </c>
      <c r="O115" s="25" t="str">
        <f t="shared" si="5"/>
        <v>CLAUDIA CRISTINA    SANDI    GARCÍA</v>
      </c>
      <c r="P115" s="22" t="s">
        <v>860</v>
      </c>
      <c r="Q115" s="22" t="s">
        <v>859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363</v>
      </c>
      <c r="D116" s="22">
        <v>10003653</v>
      </c>
      <c r="E116" s="22" t="s">
        <v>861</v>
      </c>
      <c r="F116" s="22" t="s">
        <v>862</v>
      </c>
      <c r="G116" s="22" t="s">
        <v>863</v>
      </c>
      <c r="H116" s="22">
        <v>30097444</v>
      </c>
      <c r="I116" s="22" t="s">
        <v>865</v>
      </c>
      <c r="J116" s="21"/>
      <c r="K116" s="21"/>
      <c r="L116" s="23"/>
      <c r="M116" s="23"/>
      <c r="N116" s="24" t="s">
        <v>334</v>
      </c>
      <c r="O116" s="25" t="str">
        <f t="shared" si="5"/>
        <v>JENIFFER IRAZU    MUÑIZ    ZAMUDIO</v>
      </c>
      <c r="P116" s="22" t="s">
        <v>865</v>
      </c>
      <c r="Q116" s="22" t="s">
        <v>864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363</v>
      </c>
      <c r="D117" s="22">
        <v>10003653</v>
      </c>
      <c r="E117" s="22" t="s">
        <v>866</v>
      </c>
      <c r="F117" s="22" t="s">
        <v>726</v>
      </c>
      <c r="G117" s="22" t="s">
        <v>867</v>
      </c>
      <c r="H117" s="22">
        <v>30097445</v>
      </c>
      <c r="I117" s="22" t="s">
        <v>869</v>
      </c>
      <c r="J117" s="21"/>
      <c r="K117" s="21"/>
      <c r="L117" s="23"/>
      <c r="M117" s="23"/>
      <c r="N117" s="24" t="s">
        <v>334</v>
      </c>
      <c r="O117" s="25" t="str">
        <f t="shared" si="5"/>
        <v>HUGO    RAMIREZ    DUARTE</v>
      </c>
      <c r="P117" s="22" t="s">
        <v>869</v>
      </c>
      <c r="Q117" s="22" t="s">
        <v>868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363</v>
      </c>
      <c r="D118" s="22">
        <v>10003653</v>
      </c>
      <c r="E118" s="22" t="s">
        <v>870</v>
      </c>
      <c r="F118" s="22" t="s">
        <v>871</v>
      </c>
      <c r="G118" s="22" t="s">
        <v>872</v>
      </c>
      <c r="H118" s="22">
        <v>30097446</v>
      </c>
      <c r="I118" s="22" t="s">
        <v>874</v>
      </c>
      <c r="J118" s="21"/>
      <c r="K118" s="21"/>
      <c r="L118" s="23"/>
      <c r="M118" s="23"/>
      <c r="N118" s="24" t="s">
        <v>334</v>
      </c>
      <c r="O118" s="25" t="str">
        <f t="shared" si="5"/>
        <v>MAURICIO ARATT    JACINTO    QUIROZ</v>
      </c>
      <c r="P118" s="22" t="s">
        <v>874</v>
      </c>
      <c r="Q118" s="22" t="s">
        <v>873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435</v>
      </c>
      <c r="D119" s="22">
        <v>10003656</v>
      </c>
      <c r="E119" s="22" t="s">
        <v>875</v>
      </c>
      <c r="F119" s="22" t="s">
        <v>876</v>
      </c>
      <c r="G119" s="22" t="s">
        <v>877</v>
      </c>
      <c r="H119" s="22">
        <v>30098085</v>
      </c>
      <c r="I119" s="22" t="s">
        <v>493</v>
      </c>
      <c r="J119" s="21"/>
      <c r="K119" s="21"/>
      <c r="L119" s="23"/>
      <c r="M119" s="23"/>
      <c r="N119" s="24" t="s">
        <v>334</v>
      </c>
      <c r="O119" s="25" t="str">
        <f t="shared" si="5"/>
        <v>TANIA MARIELA    LUNA    CHAGOYA</v>
      </c>
      <c r="P119" s="22" t="s">
        <v>493</v>
      </c>
      <c r="Q119" s="22" t="s">
        <v>878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522</v>
      </c>
      <c r="D120" s="22">
        <v>10003655</v>
      </c>
      <c r="E120" s="22" t="s">
        <v>879</v>
      </c>
      <c r="F120" s="22" t="s">
        <v>880</v>
      </c>
      <c r="G120" s="22" t="s">
        <v>419</v>
      </c>
      <c r="H120" s="22">
        <v>30098089</v>
      </c>
      <c r="I120" s="22" t="s">
        <v>882</v>
      </c>
      <c r="J120" s="21"/>
      <c r="K120" s="21"/>
      <c r="L120" s="23"/>
      <c r="M120" s="23"/>
      <c r="N120" s="24" t="s">
        <v>334</v>
      </c>
      <c r="O120" s="25" t="str">
        <f t="shared" si="5"/>
        <v>ATENEA    MORALES    MENDOZA</v>
      </c>
      <c r="P120" s="22" t="s">
        <v>882</v>
      </c>
      <c r="Q120" s="22" t="s">
        <v>881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522</v>
      </c>
      <c r="D121" s="22">
        <v>10003655</v>
      </c>
      <c r="E121" s="22" t="s">
        <v>883</v>
      </c>
      <c r="F121" s="22" t="s">
        <v>726</v>
      </c>
      <c r="G121" s="22" t="s">
        <v>419</v>
      </c>
      <c r="H121" s="22">
        <v>30098090</v>
      </c>
      <c r="I121" s="22" t="s">
        <v>885</v>
      </c>
      <c r="J121" s="21"/>
      <c r="K121" s="21"/>
      <c r="L121" s="23"/>
      <c r="M121" s="23"/>
      <c r="N121" s="24" t="s">
        <v>334</v>
      </c>
      <c r="O121" s="25" t="str">
        <f t="shared" si="5"/>
        <v>LESLIE ANDREA    RAMIREZ    MENDOZA</v>
      </c>
      <c r="P121" s="22" t="s">
        <v>885</v>
      </c>
      <c r="Q121" s="22" t="s">
        <v>884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370</v>
      </c>
      <c r="D122" s="22">
        <v>10003661</v>
      </c>
      <c r="E122" s="22" t="s">
        <v>886</v>
      </c>
      <c r="F122" s="22" t="s">
        <v>887</v>
      </c>
      <c r="G122" s="22" t="s">
        <v>670</v>
      </c>
      <c r="H122" s="22">
        <v>30098092</v>
      </c>
      <c r="I122" s="22" t="s">
        <v>889</v>
      </c>
      <c r="J122" s="21"/>
      <c r="K122" s="21"/>
      <c r="L122" s="23"/>
      <c r="M122" s="23"/>
      <c r="N122" s="24" t="s">
        <v>334</v>
      </c>
      <c r="O122" s="25" t="str">
        <f t="shared" si="5"/>
        <v>ANA RUTH    ANGEL    ROMERO</v>
      </c>
      <c r="P122" s="22" t="s">
        <v>889</v>
      </c>
      <c r="Q122" s="22" t="s">
        <v>888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324</v>
      </c>
      <c r="D123" s="22">
        <v>10003659</v>
      </c>
      <c r="E123" s="22" t="s">
        <v>890</v>
      </c>
      <c r="F123" s="22" t="s">
        <v>366</v>
      </c>
      <c r="G123" s="22" t="s">
        <v>891</v>
      </c>
      <c r="H123" s="22">
        <v>30098557</v>
      </c>
      <c r="I123" s="22" t="s">
        <v>893</v>
      </c>
      <c r="J123" s="21"/>
      <c r="K123" s="21"/>
      <c r="L123" s="23"/>
      <c r="M123" s="23"/>
      <c r="N123" s="24" t="s">
        <v>334</v>
      </c>
      <c r="O123" s="25" t="str">
        <f t="shared" si="5"/>
        <v>ESTEFANIA    LOPEZ    ARREOLA</v>
      </c>
      <c r="P123" s="22" t="s">
        <v>893</v>
      </c>
      <c r="Q123" s="22" t="s">
        <v>892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435</v>
      </c>
      <c r="D124" s="22">
        <v>10003656</v>
      </c>
      <c r="E124" s="22" t="s">
        <v>894</v>
      </c>
      <c r="F124" s="22" t="s">
        <v>699</v>
      </c>
      <c r="G124" s="22" t="s">
        <v>895</v>
      </c>
      <c r="H124" s="22">
        <v>30098586</v>
      </c>
      <c r="I124" s="22" t="s">
        <v>493</v>
      </c>
      <c r="J124" s="21"/>
      <c r="K124" s="21"/>
      <c r="L124" s="23"/>
      <c r="M124" s="23"/>
      <c r="N124" s="24" t="s">
        <v>334</v>
      </c>
      <c r="O124" s="25" t="str">
        <f t="shared" si="5"/>
        <v>ANDREA DASHA    ZUÑIGA    EMBRIZ</v>
      </c>
      <c r="P124" s="22" t="s">
        <v>493</v>
      </c>
      <c r="Q124" s="22" t="s">
        <v>896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526</v>
      </c>
      <c r="D125" s="22">
        <v>10003663</v>
      </c>
      <c r="E125" s="22" t="s">
        <v>897</v>
      </c>
      <c r="F125" s="22" t="s">
        <v>898</v>
      </c>
      <c r="G125" s="22" t="s">
        <v>491</v>
      </c>
      <c r="H125" s="22">
        <v>30098841</v>
      </c>
      <c r="I125" s="22" t="s">
        <v>900</v>
      </c>
      <c r="J125" s="21"/>
      <c r="K125" s="21"/>
      <c r="L125" s="23"/>
      <c r="M125" s="23"/>
      <c r="N125" s="24" t="s">
        <v>334</v>
      </c>
      <c r="O125" s="25" t="str">
        <f t="shared" si="5"/>
        <v>CHRISTIAN ANGELICA ADELA    PORRAS    AVILA</v>
      </c>
      <c r="P125" s="22" t="s">
        <v>900</v>
      </c>
      <c r="Q125" s="22" t="s">
        <v>899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397</v>
      </c>
      <c r="D126" s="22">
        <v>10003660</v>
      </c>
      <c r="E126" s="22" t="s">
        <v>901</v>
      </c>
      <c r="F126" s="22" t="s">
        <v>880</v>
      </c>
      <c r="G126" s="22" t="s">
        <v>409</v>
      </c>
      <c r="H126" s="22">
        <v>30101680</v>
      </c>
      <c r="I126" s="22" t="s">
        <v>903</v>
      </c>
      <c r="J126" s="21"/>
      <c r="K126" s="21"/>
      <c r="L126" s="23"/>
      <c r="M126" s="23"/>
      <c r="N126" s="24" t="s">
        <v>334</v>
      </c>
      <c r="O126" s="25" t="str">
        <f t="shared" si="5"/>
        <v>ILEANA    MORALES    GONZALEZ</v>
      </c>
      <c r="P126" s="22" t="s">
        <v>903</v>
      </c>
      <c r="Q126" s="22" t="s">
        <v>902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397</v>
      </c>
      <c r="D127" s="22">
        <v>10003660</v>
      </c>
      <c r="E127" s="22" t="s">
        <v>904</v>
      </c>
      <c r="F127" s="22" t="s">
        <v>517</v>
      </c>
      <c r="G127" s="22" t="s">
        <v>679</v>
      </c>
      <c r="H127" s="22">
        <v>30101681</v>
      </c>
      <c r="I127" s="22" t="s">
        <v>906</v>
      </c>
      <c r="J127" s="21"/>
      <c r="K127" s="21"/>
      <c r="L127" s="23"/>
      <c r="M127" s="23"/>
      <c r="N127" s="24" t="s">
        <v>334</v>
      </c>
      <c r="O127" s="25" t="str">
        <f t="shared" si="5"/>
        <v>JULIO CESAR    AGUILAR    JIMENEZ</v>
      </c>
      <c r="P127" s="22" t="s">
        <v>906</v>
      </c>
      <c r="Q127" s="22" t="s">
        <v>905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397</v>
      </c>
      <c r="D128" s="22">
        <v>10003660</v>
      </c>
      <c r="E128" s="22" t="s">
        <v>907</v>
      </c>
      <c r="F128" s="22" t="s">
        <v>908</v>
      </c>
      <c r="G128" s="22" t="s">
        <v>909</v>
      </c>
      <c r="H128" s="22">
        <v>30101682</v>
      </c>
      <c r="I128" s="22" t="s">
        <v>911</v>
      </c>
      <c r="J128" s="21"/>
      <c r="K128" s="21"/>
      <c r="L128" s="23"/>
      <c r="M128" s="23"/>
      <c r="N128" s="24" t="s">
        <v>334</v>
      </c>
      <c r="O128" s="25" t="str">
        <f t="shared" si="5"/>
        <v>MIGUEL ANGEL    PRO    BUZ</v>
      </c>
      <c r="P128" s="22" t="s">
        <v>911</v>
      </c>
      <c r="Q128" s="22" t="s">
        <v>910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397</v>
      </c>
      <c r="D129" s="22">
        <v>10003660</v>
      </c>
      <c r="E129" s="22" t="s">
        <v>912</v>
      </c>
      <c r="F129" s="22" t="s">
        <v>352</v>
      </c>
      <c r="G129" s="22" t="s">
        <v>537</v>
      </c>
      <c r="H129" s="22">
        <v>30101683</v>
      </c>
      <c r="I129" s="22" t="s">
        <v>914</v>
      </c>
      <c r="J129" s="21"/>
      <c r="K129" s="21"/>
      <c r="L129" s="23"/>
      <c r="M129" s="23"/>
      <c r="N129" s="24" t="s">
        <v>334</v>
      </c>
      <c r="O129" s="25" t="str">
        <f t="shared" si="5"/>
        <v>KAREN SARAHÍ    MARTINEZ    HERNANDEZ</v>
      </c>
      <c r="P129" s="22" t="s">
        <v>914</v>
      </c>
      <c r="Q129" s="22" t="s">
        <v>913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515</v>
      </c>
      <c r="D130" s="22">
        <v>10003657</v>
      </c>
      <c r="E130" s="22" t="s">
        <v>915</v>
      </c>
      <c r="F130" s="22" t="s">
        <v>916</v>
      </c>
      <c r="G130" s="22" t="s">
        <v>917</v>
      </c>
      <c r="H130" s="22">
        <v>30104981</v>
      </c>
      <c r="I130" s="22" t="s">
        <v>919</v>
      </c>
      <c r="J130" s="6"/>
      <c r="K130" s="6"/>
      <c r="L130" s="23"/>
      <c r="M130" s="23"/>
      <c r="N130" s="24" t="s">
        <v>334</v>
      </c>
      <c r="O130" s="25" t="str">
        <f t="shared" si="5"/>
        <v>PAULO    YAÑEZ    QUINTERO</v>
      </c>
      <c r="P130" s="22" t="s">
        <v>919</v>
      </c>
      <c r="Q130" s="22" t="s">
        <v>918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363</v>
      </c>
      <c r="D131" s="22">
        <v>10003653</v>
      </c>
      <c r="E131" s="22" t="s">
        <v>391</v>
      </c>
      <c r="F131" s="22" t="s">
        <v>920</v>
      </c>
      <c r="G131" s="22" t="s">
        <v>469</v>
      </c>
      <c r="H131" s="22">
        <v>30104982</v>
      </c>
      <c r="I131" s="22" t="s">
        <v>922</v>
      </c>
      <c r="J131" s="6"/>
      <c r="K131" s="6"/>
      <c r="L131" s="23"/>
      <c r="M131" s="23"/>
      <c r="N131" s="24" t="s">
        <v>334</v>
      </c>
      <c r="O131" s="25" t="str">
        <f t="shared" ref="O131:O137" si="7">CONCATENATE(E131,"    ",F131,"    ",G131)</f>
        <v>ADRIANA    RUIZ    RIVERA</v>
      </c>
      <c r="P131" s="22" t="s">
        <v>922</v>
      </c>
      <c r="Q131" s="22" t="s">
        <v>921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397</v>
      </c>
      <c r="D132" s="22">
        <v>10003660</v>
      </c>
      <c r="E132" s="22" t="s">
        <v>799</v>
      </c>
      <c r="F132" s="22" t="s">
        <v>923</v>
      </c>
      <c r="G132" s="22" t="s">
        <v>924</v>
      </c>
      <c r="H132" s="22">
        <v>30104983</v>
      </c>
      <c r="I132" s="22" t="s">
        <v>926</v>
      </c>
      <c r="J132" s="6"/>
      <c r="K132" s="6"/>
      <c r="L132" s="23"/>
      <c r="M132" s="6"/>
      <c r="N132" s="24" t="s">
        <v>334</v>
      </c>
      <c r="O132" s="25" t="str">
        <f t="shared" si="7"/>
        <v>JUAN CARLOS    RUIZ SANTOSCOY    ZAMORA</v>
      </c>
      <c r="P132" s="22" t="s">
        <v>926</v>
      </c>
      <c r="Q132" s="22" t="s">
        <v>925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324</v>
      </c>
      <c r="D133" s="22">
        <v>10003659</v>
      </c>
      <c r="E133" s="22" t="s">
        <v>927</v>
      </c>
      <c r="F133" s="22" t="s">
        <v>928</v>
      </c>
      <c r="G133" s="22" t="s">
        <v>537</v>
      </c>
      <c r="H133" s="22">
        <v>30105037</v>
      </c>
      <c r="I133" s="22" t="s">
        <v>930</v>
      </c>
      <c r="J133" s="6"/>
      <c r="K133" s="6"/>
      <c r="L133" s="23"/>
      <c r="M133" s="6"/>
      <c r="N133" s="24" t="s">
        <v>334</v>
      </c>
      <c r="O133" s="25" t="str">
        <f t="shared" si="7"/>
        <v>LORENZO EDSON    BUENO    HERNANDEZ</v>
      </c>
      <c r="P133" s="22" t="s">
        <v>930</v>
      </c>
      <c r="Q133" s="22" t="s">
        <v>929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363</v>
      </c>
      <c r="D134" s="22">
        <v>10003653</v>
      </c>
      <c r="E134" s="22" t="s">
        <v>931</v>
      </c>
      <c r="F134" s="22" t="s">
        <v>564</v>
      </c>
      <c r="G134" s="22" t="s">
        <v>344</v>
      </c>
      <c r="H134" s="22">
        <v>30105116</v>
      </c>
      <c r="I134" s="22" t="s">
        <v>933</v>
      </c>
      <c r="J134" s="6"/>
      <c r="K134" s="6"/>
      <c r="L134" s="23"/>
      <c r="M134" s="6"/>
      <c r="N134" s="24" t="s">
        <v>334</v>
      </c>
      <c r="O134" s="25" t="str">
        <f t="shared" si="7"/>
        <v>ALEJANDRO    ALVAREZ    GARCIA</v>
      </c>
      <c r="P134" s="22" t="s">
        <v>933</v>
      </c>
      <c r="Q134" s="22" t="s">
        <v>932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397</v>
      </c>
      <c r="D135" s="22">
        <v>10003660</v>
      </c>
      <c r="E135" s="22" t="s">
        <v>931</v>
      </c>
      <c r="F135" s="22" t="s">
        <v>934</v>
      </c>
      <c r="G135" s="22" t="s">
        <v>935</v>
      </c>
      <c r="H135" s="22">
        <v>30105117</v>
      </c>
      <c r="I135" s="22" t="s">
        <v>937</v>
      </c>
      <c r="J135" s="6"/>
      <c r="K135" s="6"/>
      <c r="L135" s="23"/>
      <c r="M135" s="6"/>
      <c r="N135" s="24" t="s">
        <v>334</v>
      </c>
      <c r="O135" s="25" t="str">
        <f t="shared" si="7"/>
        <v>ALEJANDRO    AYALA    SERRATO</v>
      </c>
      <c r="P135" s="22" t="s">
        <v>937</v>
      </c>
      <c r="Q135" s="22" t="s">
        <v>936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390</v>
      </c>
      <c r="D136" s="22">
        <v>10003662</v>
      </c>
      <c r="E136" s="22" t="s">
        <v>938</v>
      </c>
      <c r="F136" s="22" t="s">
        <v>939</v>
      </c>
      <c r="G136" s="22" t="s">
        <v>537</v>
      </c>
      <c r="H136" s="22">
        <v>30106227</v>
      </c>
      <c r="I136" s="22" t="s">
        <v>754</v>
      </c>
      <c r="J136" s="6"/>
      <c r="K136" s="6"/>
      <c r="L136" s="23"/>
      <c r="M136" s="6"/>
      <c r="N136" s="24" t="s">
        <v>334</v>
      </c>
      <c r="O136" s="25" t="str">
        <f t="shared" si="7"/>
        <v>MARIA DEL PILAR    CARRILLO    HERNANDEZ</v>
      </c>
      <c r="P136" s="22" t="s">
        <v>754</v>
      </c>
      <c r="Q136" s="22" t="s">
        <v>940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522</v>
      </c>
      <c r="D137" s="22">
        <v>10003655</v>
      </c>
      <c r="E137" s="22" t="s">
        <v>941</v>
      </c>
      <c r="F137" s="22" t="s">
        <v>409</v>
      </c>
      <c r="G137" s="22" t="s">
        <v>942</v>
      </c>
      <c r="H137" s="22">
        <v>30106793</v>
      </c>
      <c r="I137" s="22" t="s">
        <v>944</v>
      </c>
      <c r="J137" s="6"/>
      <c r="K137" s="6"/>
      <c r="L137" s="6"/>
      <c r="M137" s="6"/>
      <c r="N137" s="24" t="s">
        <v>334</v>
      </c>
      <c r="O137" s="25" t="str">
        <f t="shared" si="7"/>
        <v>SUSANA PATRICIA    GONZALEZ    AVIÑA</v>
      </c>
      <c r="P137" s="22" t="s">
        <v>944</v>
      </c>
      <c r="Q137" s="22" t="s">
        <v>943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2017-03-17T19:17:11Z</cp:lastPrinted>
  <dcterms:created xsi:type="dcterms:W3CDTF">2016-02-08T15:52:06Z</dcterms:created>
  <dcterms:modified xsi:type="dcterms:W3CDTF">2021-11-09T15:51:31Z</dcterms:modified>
</cp:coreProperties>
</file>